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F5603F2-5D52-44C0-BA1D-785E9689CB4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M35" i="11"/>
  <c r="E35" i="11"/>
  <c r="M34" i="11"/>
  <c r="M36" i="11" s="1"/>
  <c r="K33" i="11"/>
  <c r="H30" i="11"/>
  <c r="E30" i="11"/>
  <c r="M29" i="11"/>
  <c r="G29" i="11"/>
  <c r="G35" i="11" s="1"/>
  <c r="F29" i="11"/>
  <c r="F35" i="11" s="1"/>
  <c r="E29" i="11"/>
  <c r="M28" i="11"/>
  <c r="E28" i="11"/>
  <c r="E34" i="11" s="1"/>
  <c r="M27" i="11"/>
  <c r="M33" i="11" s="1"/>
  <c r="L27" i="11"/>
  <c r="L33" i="11" s="1"/>
  <c r="K27" i="11"/>
  <c r="D29" i="11"/>
  <c r="D28" i="11"/>
  <c r="D27" i="11"/>
  <c r="N21" i="8"/>
  <c r="M21" i="8"/>
  <c r="L21" i="8"/>
  <c r="K21" i="8"/>
  <c r="J21" i="8"/>
  <c r="I21" i="8"/>
  <c r="H21" i="8"/>
  <c r="H22" i="8" s="1"/>
  <c r="G21" i="8"/>
  <c r="F21" i="8"/>
  <c r="E21" i="8"/>
  <c r="D21" i="8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J60" i="8"/>
  <c r="I60" i="8"/>
  <c r="H60" i="8"/>
  <c r="H63" i="8" s="1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M31" i="11" s="1"/>
  <c r="L48" i="8"/>
  <c r="L31" i="11" s="1"/>
  <c r="K48" i="8"/>
  <c r="K31" i="11" s="1"/>
  <c r="J48" i="8"/>
  <c r="I48" i="8"/>
  <c r="H48" i="8"/>
  <c r="G48" i="8"/>
  <c r="F48" i="8"/>
  <c r="E48" i="8"/>
  <c r="D52" i="8"/>
  <c r="D51" i="8"/>
  <c r="D50" i="8"/>
  <c r="D49" i="8"/>
  <c r="D48" i="8"/>
  <c r="M36" i="8"/>
  <c r="M41" i="8" s="1"/>
  <c r="M9" i="11" s="1"/>
  <c r="L36" i="8"/>
  <c r="L41" i="8" s="1"/>
  <c r="L9" i="11" s="1"/>
  <c r="K36" i="8"/>
  <c r="K41" i="8" s="1"/>
  <c r="J36" i="8"/>
  <c r="J41" i="8" s="1"/>
  <c r="I36" i="8"/>
  <c r="I41" i="8" s="1"/>
  <c r="H36" i="8"/>
  <c r="H41" i="8" s="1"/>
  <c r="H9" i="11" s="1"/>
  <c r="G36" i="8"/>
  <c r="G41" i="8" s="1"/>
  <c r="G9" i="11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G24" i="8"/>
  <c r="F24" i="8"/>
  <c r="E24" i="8"/>
  <c r="D24" i="8"/>
  <c r="N24" i="8"/>
  <c r="N14" i="8"/>
  <c r="M14" i="8"/>
  <c r="L14" i="8"/>
  <c r="K14" i="8"/>
  <c r="J14" i="8"/>
  <c r="I14" i="8"/>
  <c r="H14" i="8"/>
  <c r="G14" i="8"/>
  <c r="F14" i="8"/>
  <c r="E14" i="8"/>
  <c r="D14" i="8"/>
  <c r="N8" i="8"/>
  <c r="M8" i="8"/>
  <c r="M12" i="8" s="1"/>
  <c r="M11" i="11" s="1"/>
  <c r="L8" i="8"/>
  <c r="L12" i="8" s="1"/>
  <c r="L11" i="11" s="1"/>
  <c r="K8" i="8"/>
  <c r="K12" i="8" s="1"/>
  <c r="K11" i="11" s="1"/>
  <c r="J8" i="8"/>
  <c r="I8" i="8"/>
  <c r="H8" i="8"/>
  <c r="G8" i="8"/>
  <c r="F8" i="8"/>
  <c r="E8" i="8"/>
  <c r="D8" i="8"/>
  <c r="N5" i="8"/>
  <c r="N12" i="8" s="1"/>
  <c r="M5" i="8"/>
  <c r="L5" i="8"/>
  <c r="L28" i="11" s="1"/>
  <c r="L34" i="11" s="1"/>
  <c r="K5" i="8"/>
  <c r="K28" i="11" s="1"/>
  <c r="K34" i="11" s="1"/>
  <c r="J5" i="8"/>
  <c r="J12" i="8" s="1"/>
  <c r="J11" i="11" s="1"/>
  <c r="I5" i="8"/>
  <c r="I12" i="8" s="1"/>
  <c r="I11" i="11" s="1"/>
  <c r="H5" i="8"/>
  <c r="H12" i="8" s="1"/>
  <c r="H11" i="11" s="1"/>
  <c r="G5" i="8"/>
  <c r="G30" i="11" s="1"/>
  <c r="F5" i="8"/>
  <c r="F30" i="11" s="1"/>
  <c r="E5" i="8"/>
  <c r="E11" i="11" s="1"/>
  <c r="D5" i="8"/>
  <c r="D11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L6" i="1" s="1"/>
  <c r="I6" i="3"/>
  <c r="J6" i="3"/>
  <c r="J14" i="3" s="1"/>
  <c r="K6" i="3"/>
  <c r="B6" i="3"/>
  <c r="C5" i="1"/>
  <c r="D5" i="1"/>
  <c r="E5" i="1"/>
  <c r="F5" i="1"/>
  <c r="G5" i="1"/>
  <c r="H5" i="1"/>
  <c r="I5" i="1"/>
  <c r="J5" i="1"/>
  <c r="K5" i="1"/>
  <c r="B5" i="1"/>
  <c r="B6" i="1" s="1"/>
  <c r="B19" i="1" s="1"/>
  <c r="F13" i="1"/>
  <c r="G13" i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D21" i="2" s="1"/>
  <c r="E18" i="2"/>
  <c r="F18" i="2"/>
  <c r="G18" i="2"/>
  <c r="H18" i="2"/>
  <c r="I18" i="2"/>
  <c r="J18" i="2"/>
  <c r="K18" i="2"/>
  <c r="B17" i="2"/>
  <c r="C4" i="2"/>
  <c r="C23" i="2" s="1"/>
  <c r="D4" i="2"/>
  <c r="E4" i="2"/>
  <c r="E5" i="2"/>
  <c r="F4" i="2"/>
  <c r="F23" i="2" s="1"/>
  <c r="G4" i="2"/>
  <c r="H4" i="2"/>
  <c r="I4" i="2"/>
  <c r="I5" i="2"/>
  <c r="J4" i="2"/>
  <c r="J5" i="2"/>
  <c r="J23" i="2" s="1"/>
  <c r="K4" i="2"/>
  <c r="K23" i="2" s="1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E14" i="3" s="1"/>
  <c r="F4" i="3"/>
  <c r="G4" i="3"/>
  <c r="G14" i="3" s="1"/>
  <c r="H4" i="3"/>
  <c r="L4" i="1" s="1"/>
  <c r="L23" i="1" s="1"/>
  <c r="I4" i="3"/>
  <c r="I14" i="3" s="1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I23" i="1" s="1"/>
  <c r="E4" i="1"/>
  <c r="E20" i="2" s="1"/>
  <c r="F4" i="1"/>
  <c r="F20" i="2" s="1"/>
  <c r="G4" i="1"/>
  <c r="G6" i="1" s="1"/>
  <c r="G19" i="1" s="1"/>
  <c r="H4" i="1"/>
  <c r="I4" i="1"/>
  <c r="I6" i="1" s="1"/>
  <c r="I19" i="1" s="1"/>
  <c r="J4" i="1"/>
  <c r="J21" i="2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G12" i="1"/>
  <c r="H12" i="1"/>
  <c r="H13" i="1" s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H1" i="1" s="1"/>
  <c r="H16" i="2"/>
  <c r="H23" i="2"/>
  <c r="J6" i="1"/>
  <c r="J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E21" i="2"/>
  <c r="C21" i="2"/>
  <c r="B18" i="2"/>
  <c r="B21" i="2"/>
  <c r="B13" i="2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D20" i="2"/>
  <c r="A1" i="3"/>
  <c r="A1" i="2"/>
  <c r="A1" i="4" s="1"/>
  <c r="H23" i="1"/>
  <c r="L13" i="1" l="1"/>
  <c r="L14" i="1" s="1"/>
  <c r="L25" i="1" s="1"/>
  <c r="I21" i="2"/>
  <c r="J14" i="1"/>
  <c r="C14" i="3"/>
  <c r="I16" i="2"/>
  <c r="M15" i="8"/>
  <c r="M17" i="11" s="1"/>
  <c r="D30" i="11"/>
  <c r="F28" i="11"/>
  <c r="F34" i="11" s="1"/>
  <c r="I29" i="11"/>
  <c r="I35" i="11" s="1"/>
  <c r="L30" i="11"/>
  <c r="D34" i="11"/>
  <c r="L11" i="1"/>
  <c r="M11" i="1" s="1"/>
  <c r="K30" i="11"/>
  <c r="D33" i="11"/>
  <c r="K16" i="2"/>
  <c r="D31" i="11"/>
  <c r="G28" i="11"/>
  <c r="G34" i="11" s="1"/>
  <c r="J29" i="11"/>
  <c r="J35" i="11" s="1"/>
  <c r="M30" i="11"/>
  <c r="D35" i="11"/>
  <c r="E27" i="11"/>
  <c r="E33" i="11" s="1"/>
  <c r="E36" i="11" s="1"/>
  <c r="H28" i="11"/>
  <c r="H34" i="11" s="1"/>
  <c r="K29" i="11"/>
  <c r="K35" i="11" s="1"/>
  <c r="K36" i="11" s="1"/>
  <c r="E31" i="11"/>
  <c r="H14" i="3"/>
  <c r="L5" i="1"/>
  <c r="J30" i="11"/>
  <c r="K21" i="2"/>
  <c r="H29" i="11"/>
  <c r="H35" i="11" s="1"/>
  <c r="G23" i="2"/>
  <c r="F27" i="11"/>
  <c r="F33" i="11" s="1"/>
  <c r="I28" i="11"/>
  <c r="I34" i="11" s="1"/>
  <c r="I36" i="11" s="1"/>
  <c r="L29" i="11"/>
  <c r="L35" i="11" s="1"/>
  <c r="L36" i="11" s="1"/>
  <c r="F31" i="11"/>
  <c r="O27" i="11"/>
  <c r="I30" i="11"/>
  <c r="L10" i="1"/>
  <c r="P28" i="11"/>
  <c r="G17" i="11"/>
  <c r="G80" i="8"/>
  <c r="F11" i="11"/>
  <c r="P11" i="11" s="1"/>
  <c r="G27" i="11"/>
  <c r="G33" i="11" s="1"/>
  <c r="J28" i="11"/>
  <c r="J34" i="11" s="1"/>
  <c r="G31" i="11"/>
  <c r="K6" i="1"/>
  <c r="K19" i="1" s="1"/>
  <c r="H15" i="8"/>
  <c r="H17" i="11" s="1"/>
  <c r="G11" i="11"/>
  <c r="O11" i="11" s="1"/>
  <c r="H27" i="11"/>
  <c r="H33" i="11" s="1"/>
  <c r="H31" i="11"/>
  <c r="E1" i="3"/>
  <c r="E23" i="2"/>
  <c r="G14" i="1"/>
  <c r="H25" i="8"/>
  <c r="H18" i="11" s="1"/>
  <c r="I27" i="11"/>
  <c r="I33" i="11" s="1"/>
  <c r="I31" i="11"/>
  <c r="E1" i="2"/>
  <c r="F14" i="1"/>
  <c r="J27" i="11"/>
  <c r="J33" i="11" s="1"/>
  <c r="J31" i="11"/>
  <c r="B15" i="12"/>
  <c r="D13" i="12"/>
  <c r="D12" i="12"/>
  <c r="D11" i="12"/>
  <c r="D10" i="12"/>
  <c r="D9" i="12"/>
  <c r="E9" i="12" s="1"/>
  <c r="D8" i="12"/>
  <c r="D7" i="12"/>
  <c r="D6" i="12"/>
  <c r="D5" i="12"/>
  <c r="J9" i="11"/>
  <c r="K9" i="11"/>
  <c r="G63" i="8"/>
  <c r="L58" i="8"/>
  <c r="F80" i="8"/>
  <c r="H80" i="8"/>
  <c r="I63" i="8"/>
  <c r="G94" i="8"/>
  <c r="G107" i="8" s="1"/>
  <c r="E105" i="8"/>
  <c r="G105" i="8"/>
  <c r="D58" i="8"/>
  <c r="J63" i="8"/>
  <c r="H94" i="8"/>
  <c r="F94" i="8"/>
  <c r="K80" i="8"/>
  <c r="I105" i="8"/>
  <c r="M105" i="8"/>
  <c r="D94" i="8"/>
  <c r="E58" i="8"/>
  <c r="G58" i="8"/>
  <c r="K63" i="8"/>
  <c r="E94" i="8"/>
  <c r="N25" i="8"/>
  <c r="F9" i="11"/>
  <c r="F58" i="8"/>
  <c r="L63" i="8"/>
  <c r="L65" i="8" s="1"/>
  <c r="L67" i="8" s="1"/>
  <c r="D80" i="8"/>
  <c r="I80" i="8"/>
  <c r="L80" i="8"/>
  <c r="M63" i="8"/>
  <c r="J80" i="8"/>
  <c r="D105" i="8"/>
  <c r="H58" i="8"/>
  <c r="H65" i="8" s="1"/>
  <c r="H67" i="8" s="1"/>
  <c r="I9" i="11"/>
  <c r="I58" i="8"/>
  <c r="I65" i="8" s="1"/>
  <c r="I67" i="8" s="1"/>
  <c r="K58" i="8"/>
  <c r="M58" i="8"/>
  <c r="E63" i="8"/>
  <c r="I94" i="8"/>
  <c r="I107" i="8" s="1"/>
  <c r="M94" i="8"/>
  <c r="F105" i="8"/>
  <c r="G18" i="11"/>
  <c r="J58" i="8"/>
  <c r="D63" i="8"/>
  <c r="F63" i="8"/>
  <c r="M80" i="8"/>
  <c r="J94" i="8"/>
  <c r="L94" i="8"/>
  <c r="L107" i="8" s="1"/>
  <c r="K94" i="8"/>
  <c r="H105" i="8"/>
  <c r="L105" i="8"/>
  <c r="F5" i="11"/>
  <c r="G11" i="8"/>
  <c r="G17" i="8" s="1"/>
  <c r="I15" i="8"/>
  <c r="I17" i="11" s="1"/>
  <c r="J105" i="8"/>
  <c r="H5" i="11"/>
  <c r="E80" i="8"/>
  <c r="K105" i="8"/>
  <c r="E9" i="11"/>
  <c r="H107" i="8"/>
  <c r="I25" i="8"/>
  <c r="I18" i="11" s="1"/>
  <c r="N6" i="8"/>
  <c r="J22" i="8"/>
  <c r="J25" i="8"/>
  <c r="J18" i="11" s="1"/>
  <c r="K25" i="8"/>
  <c r="K18" i="11" s="1"/>
  <c r="J15" i="8"/>
  <c r="J17" i="11" s="1"/>
  <c r="G5" i="11"/>
  <c r="H11" i="8"/>
  <c r="H17" i="8" s="1"/>
  <c r="E18" i="11"/>
  <c r="M25" i="8"/>
  <c r="M18" i="11" s="1"/>
  <c r="H9" i="8"/>
  <c r="M9" i="8"/>
  <c r="J11" i="8"/>
  <c r="J17" i="8" s="1"/>
  <c r="D18" i="11"/>
  <c r="M22" i="8"/>
  <c r="L22" i="8"/>
  <c r="I11" i="8"/>
  <c r="I17" i="8" s="1"/>
  <c r="F18" i="11"/>
  <c r="D17" i="11"/>
  <c r="F17" i="11"/>
  <c r="I6" i="8"/>
  <c r="I5" i="11" s="1"/>
  <c r="I9" i="8"/>
  <c r="L25" i="8"/>
  <c r="L18" i="11" s="1"/>
  <c r="J9" i="8"/>
  <c r="K6" i="8"/>
  <c r="K5" i="11" s="1"/>
  <c r="N9" i="8"/>
  <c r="N22" i="8"/>
  <c r="K11" i="8"/>
  <c r="K17" i="8" s="1"/>
  <c r="K15" i="8"/>
  <c r="K17" i="11" s="1"/>
  <c r="L11" i="8"/>
  <c r="L17" i="8" s="1"/>
  <c r="L15" i="8"/>
  <c r="L17" i="11" s="1"/>
  <c r="E5" i="11"/>
  <c r="L6" i="8"/>
  <c r="L5" i="11" s="1"/>
  <c r="E11" i="8"/>
  <c r="E17" i="8" s="1"/>
  <c r="E17" i="1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B14" i="1"/>
  <c r="L19" i="1"/>
  <c r="L24" i="1" s="1"/>
  <c r="G20" i="2"/>
  <c r="D6" i="1"/>
  <c r="D19" i="1" s="1"/>
  <c r="J16" i="2"/>
  <c r="G16" i="2"/>
  <c r="D13" i="1"/>
  <c r="E13" i="1" s="1"/>
  <c r="E14" i="1" s="1"/>
  <c r="I25" i="1" s="1"/>
  <c r="E24" i="2"/>
  <c r="L7" i="1"/>
  <c r="D14" i="3"/>
  <c r="D24" i="2"/>
  <c r="F21" i="2"/>
  <c r="K24" i="2"/>
  <c r="B14" i="3"/>
  <c r="G21" i="2"/>
  <c r="E6" i="1"/>
  <c r="E19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H24" i="1" s="1"/>
  <c r="L8" i="1"/>
  <c r="M8" i="1" s="1"/>
  <c r="J24" i="2"/>
  <c r="B20" i="2"/>
  <c r="K14" i="3"/>
  <c r="I24" i="2"/>
  <c r="H24" i="2"/>
  <c r="B16" i="2"/>
  <c r="G24" i="2"/>
  <c r="K24" i="1"/>
  <c r="L9" i="1"/>
  <c r="M9" i="1" s="1"/>
  <c r="E16" i="2"/>
  <c r="F24" i="2"/>
  <c r="J25" i="1"/>
  <c r="I20" i="2"/>
  <c r="H20" i="2"/>
  <c r="K23" i="1"/>
  <c r="M23" i="1" s="1"/>
  <c r="M4" i="1" s="1"/>
  <c r="H6" i="1"/>
  <c r="H19" i="1" s="1"/>
  <c r="J24" i="1" s="1"/>
  <c r="F6" i="1"/>
  <c r="F19" i="1" s="1"/>
  <c r="E1" i="4"/>
  <c r="M24" i="1" l="1"/>
  <c r="F6" i="11"/>
  <c r="F12" i="11"/>
  <c r="F25" i="11"/>
  <c r="F21" i="11"/>
  <c r="F13" i="11"/>
  <c r="F19" i="11" s="1"/>
  <c r="O17" i="11"/>
  <c r="P17" i="11"/>
  <c r="H18" i="8"/>
  <c r="H12" i="11" s="1"/>
  <c r="H25" i="11"/>
  <c r="H21" i="11"/>
  <c r="H13" i="11"/>
  <c r="H19" i="11" s="1"/>
  <c r="M107" i="8"/>
  <c r="M40" i="11"/>
  <c r="M38" i="11"/>
  <c r="E38" i="11"/>
  <c r="E40" i="11"/>
  <c r="P29" i="11"/>
  <c r="I18" i="8"/>
  <c r="I12" i="11" s="1"/>
  <c r="I25" i="11"/>
  <c r="I21" i="11"/>
  <c r="I13" i="11"/>
  <c r="I19" i="11" s="1"/>
  <c r="O33" i="11"/>
  <c r="P33" i="11"/>
  <c r="D21" i="11"/>
  <c r="I4" i="12" a="1"/>
  <c r="D13" i="11"/>
  <c r="D12" i="11"/>
  <c r="D25" i="11"/>
  <c r="O18" i="11"/>
  <c r="P18" i="11"/>
  <c r="G27" i="8"/>
  <c r="G14" i="11" s="1"/>
  <c r="G12" i="11"/>
  <c r="G25" i="11"/>
  <c r="G21" i="11"/>
  <c r="G13" i="11"/>
  <c r="G19" i="11" s="1"/>
  <c r="J40" i="11"/>
  <c r="J38" i="11"/>
  <c r="H36" i="11"/>
  <c r="P34" i="11"/>
  <c r="O34" i="11"/>
  <c r="D36" i="11"/>
  <c r="O29" i="11"/>
  <c r="J18" i="8"/>
  <c r="J12" i="11" s="1"/>
  <c r="J25" i="11"/>
  <c r="J21" i="11"/>
  <c r="J13" i="11"/>
  <c r="J19" i="11" s="1"/>
  <c r="H39" i="11"/>
  <c r="H38" i="11"/>
  <c r="H40" i="11"/>
  <c r="O28" i="11"/>
  <c r="P5" i="11"/>
  <c r="O5" i="11"/>
  <c r="L40" i="11"/>
  <c r="L38" i="11"/>
  <c r="L39" i="11"/>
  <c r="F38" i="11"/>
  <c r="F40" i="11"/>
  <c r="P35" i="11"/>
  <c r="O35" i="11"/>
  <c r="P27" i="11"/>
  <c r="I39" i="11"/>
  <c r="I40" i="11"/>
  <c r="I38" i="11"/>
  <c r="J36" i="11"/>
  <c r="F36" i="11"/>
  <c r="L25" i="11"/>
  <c r="L21" i="11"/>
  <c r="L13" i="11"/>
  <c r="L19" i="11" s="1"/>
  <c r="L18" i="8"/>
  <c r="L12" i="11" s="1"/>
  <c r="D40" i="11"/>
  <c r="D39" i="11"/>
  <c r="D38" i="11"/>
  <c r="K40" i="11"/>
  <c r="K38" i="11"/>
  <c r="O30" i="11"/>
  <c r="P30" i="11"/>
  <c r="E6" i="11"/>
  <c r="E12" i="11"/>
  <c r="E13" i="11"/>
  <c r="E19" i="11" s="1"/>
  <c r="E25" i="11"/>
  <c r="E21" i="11"/>
  <c r="N8" i="1"/>
  <c r="G36" i="11"/>
  <c r="N9" i="1"/>
  <c r="I24" i="1"/>
  <c r="M25" i="11"/>
  <c r="M21" i="11"/>
  <c r="M13" i="11"/>
  <c r="M19" i="11" s="1"/>
  <c r="M18" i="8"/>
  <c r="M12" i="11" s="1"/>
  <c r="K25" i="11"/>
  <c r="K21" i="11"/>
  <c r="K13" i="11"/>
  <c r="K19" i="11" s="1"/>
  <c r="K18" i="8"/>
  <c r="K12" i="11" s="1"/>
  <c r="O9" i="11"/>
  <c r="P9" i="11"/>
  <c r="G38" i="11"/>
  <c r="G40" i="11"/>
  <c r="O31" i="11"/>
  <c r="P31" i="11"/>
  <c r="E12" i="12"/>
  <c r="E13" i="12"/>
  <c r="E10" i="12"/>
  <c r="D14" i="12"/>
  <c r="E14" i="12" s="1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27" i="8"/>
  <c r="G33" i="8"/>
  <c r="G23" i="11" s="1"/>
  <c r="M27" i="8"/>
  <c r="M19" i="8"/>
  <c r="D27" i="8"/>
  <c r="N27" i="8"/>
  <c r="N19" i="8"/>
  <c r="L27" i="8"/>
  <c r="L19" i="8"/>
  <c r="K27" i="8"/>
  <c r="K19" i="8"/>
  <c r="F27" i="8"/>
  <c r="G7" i="11" s="1"/>
  <c r="D14" i="1"/>
  <c r="H25" i="1" s="1"/>
  <c r="N25" i="1" s="1"/>
  <c r="N14" i="1" s="1"/>
  <c r="N24" i="1"/>
  <c r="N23" i="1"/>
  <c r="N4" i="1" s="1"/>
  <c r="N6" i="1" s="1"/>
  <c r="N10" i="1" s="1"/>
  <c r="N12" i="1" s="1"/>
  <c r="N13" i="1" s="1"/>
  <c r="M6" i="1"/>
  <c r="M10" i="1" s="1"/>
  <c r="M12" i="1" s="1"/>
  <c r="M13" i="1" s="1"/>
  <c r="M15" i="1" s="1"/>
  <c r="P6" i="11" l="1"/>
  <c r="O6" i="11"/>
  <c r="P36" i="11"/>
  <c r="O36" i="11"/>
  <c r="P25" i="11"/>
  <c r="O25" i="11"/>
  <c r="K39" i="11"/>
  <c r="O12" i="11"/>
  <c r="P12" i="11"/>
  <c r="E39" i="11"/>
  <c r="P39" i="11" s="1"/>
  <c r="P38" i="11"/>
  <c r="O38" i="11"/>
  <c r="O13" i="11"/>
  <c r="D19" i="11"/>
  <c r="P13" i="11"/>
  <c r="I4" i="12"/>
  <c r="I6" i="12"/>
  <c r="I7" i="12"/>
  <c r="I9" i="12"/>
  <c r="J9" i="12" s="1"/>
  <c r="I5" i="12"/>
  <c r="I13" i="12"/>
  <c r="J13" i="12" s="1"/>
  <c r="I10" i="12"/>
  <c r="J10" i="12" s="1"/>
  <c r="I8" i="12"/>
  <c r="I12" i="12"/>
  <c r="I11" i="12"/>
  <c r="M39" i="11"/>
  <c r="G39" i="11"/>
  <c r="P40" i="11"/>
  <c r="O40" i="11"/>
  <c r="J39" i="11"/>
  <c r="P21" i="11"/>
  <c r="O21" i="11"/>
  <c r="F39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14" i="11"/>
  <c r="F33" i="8"/>
  <c r="F23" i="11" s="1"/>
  <c r="K28" i="8"/>
  <c r="K14" i="11" s="1"/>
  <c r="K31" i="8"/>
  <c r="K33" i="8"/>
  <c r="G38" i="8"/>
  <c r="G15" i="11"/>
  <c r="L28" i="8"/>
  <c r="L14" i="11" s="1"/>
  <c r="L33" i="8"/>
  <c r="L23" i="11" s="1"/>
  <c r="L31" i="8"/>
  <c r="N33" i="8"/>
  <c r="N28" i="8"/>
  <c r="N31" i="8"/>
  <c r="E14" i="11"/>
  <c r="E33" i="8"/>
  <c r="E23" i="11" s="1"/>
  <c r="M28" i="8"/>
  <c r="M14" i="11" s="1"/>
  <c r="M33" i="8"/>
  <c r="M23" i="11" s="1"/>
  <c r="M31" i="8"/>
  <c r="D33" i="8"/>
  <c r="D23" i="11" s="1"/>
  <c r="D14" i="11"/>
  <c r="N5" i="1"/>
  <c r="N15" i="1"/>
  <c r="M5" i="1"/>
  <c r="I15" i="12" l="1"/>
  <c r="I18" i="12"/>
  <c r="I17" i="12"/>
  <c r="I14" i="12"/>
  <c r="J14" i="12" s="1"/>
  <c r="I16" i="12"/>
  <c r="J16" i="12" s="1"/>
  <c r="P7" i="11"/>
  <c r="O7" i="11"/>
  <c r="K8" i="11"/>
  <c r="K23" i="11"/>
  <c r="P23" i="11" s="1"/>
  <c r="O39" i="11"/>
  <c r="J11" i="12"/>
  <c r="J12" i="12"/>
  <c r="O19" i="11"/>
  <c r="P19" i="11"/>
  <c r="O14" i="11"/>
  <c r="P14" i="11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15" i="11"/>
  <c r="D38" i="8"/>
  <c r="N4" i="12" s="1" a="1"/>
  <c r="L34" i="8"/>
  <c r="L15" i="11" s="1"/>
  <c r="L38" i="8"/>
  <c r="M34" i="8"/>
  <c r="M15" i="11" s="1"/>
  <c r="M38" i="8"/>
  <c r="E15" i="11"/>
  <c r="E38" i="8"/>
  <c r="K34" i="8"/>
  <c r="K15" i="11" s="1"/>
  <c r="K38" i="8"/>
  <c r="F38" i="8"/>
  <c r="F15" i="11"/>
  <c r="J17" i="12" l="1"/>
  <c r="P8" i="11"/>
  <c r="O8" i="11"/>
  <c r="J18" i="12"/>
  <c r="J15" i="12"/>
  <c r="O15" i="11"/>
  <c r="P15" i="11"/>
  <c r="O23" i="11"/>
  <c r="N8" i="12"/>
  <c r="N7" i="12"/>
  <c r="N4" i="12"/>
  <c r="N12" i="12"/>
  <c r="O12" i="12" s="1"/>
  <c r="N9" i="12"/>
  <c r="N6" i="12"/>
  <c r="N11" i="12"/>
  <c r="N5" i="12"/>
  <c r="N10" i="12"/>
  <c r="O10" i="12" s="1"/>
  <c r="N13" i="12"/>
  <c r="O13" i="12" s="1"/>
  <c r="E18" i="12"/>
  <c r="J39" i="8"/>
  <c r="J44" i="8"/>
  <c r="J22" i="11" s="1"/>
  <c r="J24" i="11" s="1"/>
  <c r="J42" i="8"/>
  <c r="I44" i="8"/>
  <c r="I22" i="11" s="1"/>
  <c r="I24" i="11" s="1"/>
  <c r="I42" i="8"/>
  <c r="I39" i="8"/>
  <c r="H42" i="8"/>
  <c r="H44" i="8"/>
  <c r="H22" i="11" s="1"/>
  <c r="H24" i="11" s="1"/>
  <c r="F44" i="8"/>
  <c r="F22" i="11" s="1"/>
  <c r="F24" i="11" s="1"/>
  <c r="F42" i="8"/>
  <c r="K39" i="8"/>
  <c r="K42" i="8"/>
  <c r="K44" i="8"/>
  <c r="K22" i="11" s="1"/>
  <c r="K24" i="11" s="1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N14" i="12" l="1"/>
  <c r="O14" i="12" s="1"/>
  <c r="N15" i="12"/>
  <c r="O15" i="12" s="1"/>
  <c r="N17" i="12"/>
  <c r="N16" i="12"/>
  <c r="O16" i="12" s="1"/>
  <c r="N18" i="12"/>
  <c r="O18" i="12" s="1"/>
  <c r="P22" i="11"/>
  <c r="D24" i="11"/>
  <c r="O22" i="11"/>
  <c r="O11" i="12"/>
  <c r="O9" i="12"/>
  <c r="P24" i="11" l="1"/>
  <c r="O24" i="11"/>
  <c r="O17" i="12"/>
</calcChain>
</file>

<file path=xl/sharedStrings.xml><?xml version="1.0" encoding="utf-8"?>
<sst xmlns="http://schemas.openxmlformats.org/spreadsheetml/2006/main" count="293" uniqueCount="179">
  <si>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</si>
  <si>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</si>
  <si>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</si>
  <si>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</si>
  <si>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</si>
  <si>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</si>
  <si>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</si>
  <si>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</si>
  <si>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</si>
  <si>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</si>
  <si>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</si>
  <si>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</si>
  <si>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</si>
  <si>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</si>
  <si>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</si>
  <si>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</si>
  <si>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</si>
  <si>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</si>
  <si>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</si>
  <si>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</si>
  <si>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</si>
  <si>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</si>
  <si>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</si>
  <si>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</si>
  <si>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</si>
  <si>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</si>
  <si>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</si>
  <si>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</si>
  <si>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</si>
  <si>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</si>
  <si>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</si>
  <si>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</si>
  <si>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</si>
  <si>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</si>
  <si>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</si>
  <si>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</si>
  <si>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</si>
  <si>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</si>
  <si>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</si>
  <si>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</si>
  <si>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</si>
  <si>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</si>
  <si>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</si>
  <si>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</si>
  <si>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</si>
  <si>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</si>
  <si>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</si>
  <si>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</si>
  <si>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</si>
  <si>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</si>
  <si>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</si>
  <si>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</si>
  <si>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GLAND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</si>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</sst>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8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8" borderId="0" xfId="0" applyFill="1"/>
    <xf numFmtId="173" fontId="0" fillId="8" borderId="0" xfId="0" applyNumberFormat="1" applyFill="1"/>
    <xf numFmtId="4" fontId="0" fillId="8" borderId="0" xfId="0" applyNumberFormat="1" applyFill="1"/>
    <xf numFmtId="167" fontId="0" fillId="8" borderId="0" xfId="6" applyNumberFormat="1" applyFont="1" applyFill="1"/>
    <xf numFmtId="0" fontId="10" fillId="6" borderId="0" xfId="0" applyFont="1" applyFill="1" applyAlignment="1">
      <alignment horizontal="center" vertical="center"/>
    </xf>
    <xf numFmtId="0" fontId="0" fillId="0" borderId="2" xfId="0" applyBorder="1"/>
    <xf numFmtId="10" fontId="0" fillId="0" borderId="2" xfId="6" applyNumberFormat="1" applyFont="1" applyBorder="1"/>
    <xf numFmtId="0" fontId="0" fillId="0" borderId="0" xfId="0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" fontId="0" fillId="0" borderId="2" xfId="0" applyNumberFormat="1" applyBorder="1"/>
    <xf numFmtId="1" fontId="0" fillId="0" borderId="0" xfId="0" applyNumberFormat="1" applyBorder="1"/>
    <xf numFmtId="1" fontId="0" fillId="0" borderId="3" xfId="0" applyNumberFormat="1" applyBorder="1"/>
    <xf numFmtId="17" fontId="5" fillId="7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0" fontId="10" fillId="6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43" fontId="1" fillId="0" borderId="1" xfId="1" applyFont="1" applyBorder="1"/>
    <xf numFmtId="0" fontId="0" fillId="0" borderId="1" xfId="0" applyBorder="1"/>
    <xf numFmtId="0" fontId="1" fillId="0" borderId="4" xfId="0" applyFont="1" applyBorder="1"/>
    <xf numFmtId="43" fontId="2" fillId="10" borderId="0" xfId="5" applyNumberFormat="1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K14" activePane="bottomRight" state="frozen"/>
      <selection activeCell="I2" sqref="I2"/>
      <selection pane="topRight" activeCell="I2" sqref="I2"/>
      <selection pane="bottomLeft" activeCell="I2" sqref="I2"/>
      <selection pane="bottomRight" activeCell="A20" sqref="A20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GLAND PHARMA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42094</v>
      </c>
      <c r="C3" s="12">
        <f>'Data Sheet'!C16</f>
        <v>42460</v>
      </c>
      <c r="D3" s="12">
        <f>'Data Sheet'!D16</f>
        <v>42825</v>
      </c>
      <c r="E3" s="12">
        <f>'Data Sheet'!E16</f>
        <v>43190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0</v>
      </c>
      <c r="F4" s="1">
        <f>'Data Sheet'!F17</f>
        <v>2633.24</v>
      </c>
      <c r="G4" s="1">
        <f>'Data Sheet'!G17</f>
        <v>3462.88</v>
      </c>
      <c r="H4" s="1">
        <f>'Data Sheet'!H17</f>
        <v>4400.71</v>
      </c>
      <c r="I4" s="1">
        <f>'Data Sheet'!I17</f>
        <v>3624.6</v>
      </c>
      <c r="J4" s="1">
        <f>'Data Sheet'!J17</f>
        <v>5664.72</v>
      </c>
      <c r="K4" s="1">
        <f>'Data Sheet'!K17</f>
        <v>5616.5</v>
      </c>
      <c r="L4" s="1">
        <f>SUM(Quarters!H4:K4)</f>
        <v>5616.5</v>
      </c>
      <c r="M4" s="1">
        <f>$K4+M23*K4</f>
        <v>6092.2834465523765</v>
      </c>
      <c r="N4" s="1">
        <f>$K4+N23*L4</f>
        <v>5616.5</v>
      </c>
    </row>
    <row r="5" spans="1:14" x14ac:dyDescent="0.3">
      <c r="A5" t="s">
        <v>6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0</v>
      </c>
      <c r="F5" s="6">
        <f>SUM('Data Sheet'!F18,'Data Sheet'!F20:F24, -1*'Data Sheet'!F19)</f>
        <v>1677.78</v>
      </c>
      <c r="G5" s="6">
        <f>SUM('Data Sheet'!G18,'Data Sheet'!G20:G24, -1*'Data Sheet'!G19)</f>
        <v>2160.66</v>
      </c>
      <c r="H5" s="6">
        <f>SUM('Data Sheet'!H18,'Data Sheet'!H20:H24, -1*'Data Sheet'!H19)</f>
        <v>2890.3800000000006</v>
      </c>
      <c r="I5" s="6">
        <f>SUM('Data Sheet'!I18,'Data Sheet'!I20:I24, -1*'Data Sheet'!I19)</f>
        <v>2599.7499999999995</v>
      </c>
      <c r="J5" s="6">
        <f>SUM('Data Sheet'!J18,'Data Sheet'!J20:J24, -1*'Data Sheet'!J19)</f>
        <v>4331.6499999999996</v>
      </c>
      <c r="K5" s="6">
        <f>SUM('Data Sheet'!K18,'Data Sheet'!K20:K24, -1*'Data Sheet'!K19)</f>
        <v>4347.58</v>
      </c>
      <c r="L5" s="6">
        <f>SUM(Quarters!H5:K5)</f>
        <v>4347.58</v>
      </c>
      <c r="M5" s="6">
        <f t="shared" ref="M5:N5" si="0">M4-M6</f>
        <v>4609.9270719755987</v>
      </c>
      <c r="N5" s="6">
        <f t="shared" si="0"/>
        <v>4347.58</v>
      </c>
    </row>
    <row r="6" spans="1:14" s="2" customFormat="1" x14ac:dyDescent="0.3">
      <c r="A6" s="2" t="s">
        <v>7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0</v>
      </c>
      <c r="F6" s="1">
        <f t="shared" si="1"/>
        <v>955.45999999999981</v>
      </c>
      <c r="G6" s="1">
        <f t="shared" si="1"/>
        <v>1302.2200000000003</v>
      </c>
      <c r="H6" s="1">
        <f t="shared" si="1"/>
        <v>1510.3299999999995</v>
      </c>
      <c r="I6" s="1">
        <f t="shared" si="1"/>
        <v>1024.8500000000004</v>
      </c>
      <c r="J6" s="1">
        <f t="shared" si="1"/>
        <v>1333.0700000000006</v>
      </c>
      <c r="K6" s="1">
        <f t="shared" si="1"/>
        <v>1268.92</v>
      </c>
      <c r="L6" s="1">
        <f>SUM(Quarters!H6:K6)</f>
        <v>1268.92</v>
      </c>
      <c r="M6" s="1">
        <f>M4*M24</f>
        <v>1482.3563745767779</v>
      </c>
      <c r="N6" s="1">
        <f>N4*N24</f>
        <v>1268.92</v>
      </c>
    </row>
    <row r="7" spans="1:14" x14ac:dyDescent="0.3">
      <c r="A7" t="s">
        <v>8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0</v>
      </c>
      <c r="F7" s="6">
        <f>'Data Sheet'!F25</f>
        <v>139.16999999999999</v>
      </c>
      <c r="G7" s="6">
        <f>'Data Sheet'!G25</f>
        <v>134.78</v>
      </c>
      <c r="H7" s="6">
        <f>'Data Sheet'!H25</f>
        <v>223.76</v>
      </c>
      <c r="I7" s="6">
        <f>'Data Sheet'!I25</f>
        <v>183.92</v>
      </c>
      <c r="J7" s="6">
        <f>'Data Sheet'!J25</f>
        <v>170.24</v>
      </c>
      <c r="K7" s="6">
        <f>'Data Sheet'!K25</f>
        <v>213.61</v>
      </c>
      <c r="L7" s="6">
        <f>SUM(Quarters!H7:K7)</f>
        <v>213.61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0</v>
      </c>
      <c r="F8" s="6">
        <f>'Data Sheet'!F26</f>
        <v>94.59</v>
      </c>
      <c r="G8" s="6">
        <f>'Data Sheet'!G26</f>
        <v>98.78</v>
      </c>
      <c r="H8" s="6">
        <f>'Data Sheet'!H26</f>
        <v>110.3</v>
      </c>
      <c r="I8" s="6">
        <f>'Data Sheet'!I26</f>
        <v>146.74</v>
      </c>
      <c r="J8" s="6">
        <f>'Data Sheet'!J26</f>
        <v>344.57</v>
      </c>
      <c r="K8" s="6">
        <f>'Data Sheet'!K26</f>
        <v>377.87</v>
      </c>
      <c r="L8" s="6">
        <f>SUM(Quarters!H8:K8)</f>
        <v>377.88</v>
      </c>
      <c r="M8" s="6">
        <f>+$L8</f>
        <v>377.88</v>
      </c>
      <c r="N8" s="6">
        <f>+$L8</f>
        <v>377.88</v>
      </c>
    </row>
    <row r="9" spans="1:14" x14ac:dyDescent="0.3">
      <c r="A9" t="s">
        <v>10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7.18</v>
      </c>
      <c r="G9" s="6">
        <f>'Data Sheet'!G27</f>
        <v>3.41</v>
      </c>
      <c r="H9" s="6">
        <f>'Data Sheet'!H27</f>
        <v>5.24</v>
      </c>
      <c r="I9" s="6">
        <f>'Data Sheet'!I27</f>
        <v>7.45</v>
      </c>
      <c r="J9" s="6">
        <f>'Data Sheet'!J27</f>
        <v>26.2</v>
      </c>
      <c r="K9" s="6">
        <f>'Data Sheet'!K27</f>
        <v>42</v>
      </c>
      <c r="L9" s="6">
        <f>SUM(Quarters!H9:K9)</f>
        <v>42</v>
      </c>
      <c r="M9" s="6">
        <f>+$L9</f>
        <v>42</v>
      </c>
      <c r="N9" s="6">
        <f>+$L9</f>
        <v>42</v>
      </c>
    </row>
    <row r="10" spans="1:14" x14ac:dyDescent="0.3">
      <c r="A10" t="s">
        <v>11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0</v>
      </c>
      <c r="F10" s="6">
        <f>'Data Sheet'!F28</f>
        <v>992.86</v>
      </c>
      <c r="G10" s="6">
        <f>'Data Sheet'!G28</f>
        <v>1334.81</v>
      </c>
      <c r="H10" s="6">
        <f>'Data Sheet'!H28</f>
        <v>1618.55</v>
      </c>
      <c r="I10" s="6">
        <f>'Data Sheet'!I28</f>
        <v>1054.58</v>
      </c>
      <c r="J10" s="6">
        <f>'Data Sheet'!J28</f>
        <v>1132.54</v>
      </c>
      <c r="K10" s="6">
        <f>'Data Sheet'!K28</f>
        <v>1062.6600000000001</v>
      </c>
      <c r="L10" s="6">
        <f>SUM(Quarters!H10:K10)</f>
        <v>1062.6499999999999</v>
      </c>
      <c r="M10" s="6">
        <f>M6+M7-SUM(M8:M9)</f>
        <v>1062.4763745767777</v>
      </c>
      <c r="N10" s="6">
        <f>N6+N7-SUM(N8:N9)</f>
        <v>849.04000000000008</v>
      </c>
    </row>
    <row r="11" spans="1:14" x14ac:dyDescent="0.3">
      <c r="A11" t="s">
        <v>12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0</v>
      </c>
      <c r="F11" s="6">
        <f>'Data Sheet'!F29</f>
        <v>220.01</v>
      </c>
      <c r="G11" s="6">
        <f>'Data Sheet'!G29</f>
        <v>337.85</v>
      </c>
      <c r="H11" s="6">
        <f>'Data Sheet'!H29</f>
        <v>406.89</v>
      </c>
      <c r="I11" s="6">
        <f>'Data Sheet'!I29</f>
        <v>273.54000000000002</v>
      </c>
      <c r="J11" s="6">
        <f>'Data Sheet'!J29</f>
        <v>360.08</v>
      </c>
      <c r="K11" s="6">
        <f>'Data Sheet'!K29</f>
        <v>364.13</v>
      </c>
      <c r="L11" s="6">
        <f>SUM(Quarters!H11:K11)</f>
        <v>364.12</v>
      </c>
      <c r="M11" s="7">
        <f>IF($L10&gt;0,$L11/$L10,0)</f>
        <v>0.34265280195737075</v>
      </c>
      <c r="N11" s="7">
        <f>IF($L10&gt;0,$L11/$L10,0)</f>
        <v>0.34265280195737075</v>
      </c>
    </row>
    <row r="12" spans="1:14" s="2" customFormat="1" x14ac:dyDescent="0.3">
      <c r="A12" s="2" t="s">
        <v>13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0</v>
      </c>
      <c r="F12" s="1">
        <f>'Data Sheet'!F30</f>
        <v>772.86</v>
      </c>
      <c r="G12" s="1">
        <f>'Data Sheet'!G30</f>
        <v>996.96</v>
      </c>
      <c r="H12" s="1">
        <f>'Data Sheet'!H30</f>
        <v>1211.6600000000001</v>
      </c>
      <c r="I12" s="1">
        <f>'Data Sheet'!I30</f>
        <v>781.04</v>
      </c>
      <c r="J12" s="1">
        <f>'Data Sheet'!J30</f>
        <v>772.46</v>
      </c>
      <c r="K12" s="1">
        <f>'Data Sheet'!K30</f>
        <v>698.53</v>
      </c>
      <c r="L12" s="1">
        <f>SUM(Quarters!H12:K12)</f>
        <v>698.52</v>
      </c>
      <c r="M12" s="1">
        <f>M10-M11*M10</f>
        <v>698.41586781453589</v>
      </c>
      <c r="N12" s="1">
        <f>N10-N11*N10</f>
        <v>558.11406502611408</v>
      </c>
    </row>
    <row r="13" spans="1:14" x14ac:dyDescent="0.3">
      <c r="A13" t="s">
        <v>46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0</v>
      </c>
      <c r="F13" s="6">
        <f>IF('Data Sheet'!F93&gt;0,F12/'Data Sheet'!F93,0)</f>
        <v>49.894125242091675</v>
      </c>
      <c r="G13" s="6">
        <f>IF('Data Sheet'!G93&gt;0,G12/'Data Sheet'!G93,0)</f>
        <v>60.938875305623476</v>
      </c>
      <c r="H13" s="6">
        <f>IF('Data Sheet'!H93&gt;0,H12/'Data Sheet'!H93,0)</f>
        <v>73.746804625684732</v>
      </c>
      <c r="I13" s="6">
        <f>IF('Data Sheet'!I93&gt;0,I12/'Data Sheet'!I93,0)</f>
        <v>47.421979356405586</v>
      </c>
      <c r="J13" s="6">
        <f>IF('Data Sheet'!J93&gt;0,J12/'Data Sheet'!J93,0)</f>
        <v>46.901032179720708</v>
      </c>
      <c r="K13" s="6">
        <f>IF('Data Sheet'!K93&gt;0,K12/'Data Sheet'!K93,0)</f>
        <v>42.386529126213588</v>
      </c>
      <c r="L13" s="6">
        <f>IF('Data Sheet'!$B6&gt;0,'Profit &amp; Loss'!L12/'Data Sheet'!$B6,0)</f>
        <v>42.397132263560486</v>
      </c>
      <c r="M13" s="6">
        <f>IF('Data Sheet'!$B6&gt;0,'Profit &amp; Loss'!M12/'Data Sheet'!$B6,0)</f>
        <v>42.390811891860295</v>
      </c>
      <c r="N13" s="6">
        <f>IF('Data Sheet'!$B6&gt;0,'Profit &amp; Loss'!N12/'Data Sheet'!$B6,0)</f>
        <v>33.875101404491723</v>
      </c>
    </row>
    <row r="14" spans="1:14" x14ac:dyDescent="0.3">
      <c r="A14" t="s">
        <v>15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>
        <f t="shared" si="2"/>
        <v>40.668620606644197</v>
      </c>
      <c r="H14" s="6">
        <f t="shared" si="2"/>
        <v>44.376837974349236</v>
      </c>
      <c r="I14" s="6">
        <f t="shared" si="2"/>
        <v>26.743927967837756</v>
      </c>
      <c r="J14" s="6">
        <f t="shared" si="2"/>
        <v>39.343483804986661</v>
      </c>
      <c r="K14" s="6">
        <f t="shared" si="2"/>
        <v>37.568539647545563</v>
      </c>
      <c r="L14" s="6">
        <f t="shared" ref="L14" si="3">IF(L13&gt;0,L15/L13,0)</f>
        <v>41.290528546068828</v>
      </c>
      <c r="M14" s="6">
        <f>M25</f>
        <v>41.290528546068828</v>
      </c>
      <c r="N14" s="6">
        <f>N25</f>
        <v>36.2366199916097</v>
      </c>
    </row>
    <row r="15" spans="1:14" s="2" customFormat="1" x14ac:dyDescent="0.3">
      <c r="A15" s="2" t="s">
        <v>47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2478.3000000000002</v>
      </c>
      <c r="H15" s="1">
        <f>'Data Sheet'!H90</f>
        <v>3272.65</v>
      </c>
      <c r="I15" s="1">
        <f>'Data Sheet'!I90</f>
        <v>1268.25</v>
      </c>
      <c r="J15" s="1">
        <f>'Data Sheet'!J90</f>
        <v>1845.25</v>
      </c>
      <c r="K15" s="1">
        <f>'Data Sheet'!K90</f>
        <v>1592.4</v>
      </c>
      <c r="L15" s="1">
        <f>'Data Sheet'!B8</f>
        <v>1750.6</v>
      </c>
      <c r="M15" s="8">
        <f>M13*M14</f>
        <v>1750.3390285118915</v>
      </c>
      <c r="N15" s="9">
        <f>N13*N14</f>
        <v>1227.5191767718106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0.42642984750019414</v>
      </c>
      <c r="K18" s="5">
        <f>IF('Data Sheet'!K30&gt;0, 'Data Sheet'!K31/'Data Sheet'!K30, 0)</f>
        <v>0.42466322133623469</v>
      </c>
    </row>
    <row r="19" spans="1:14" x14ac:dyDescent="0.3">
      <c r="A19" t="s">
        <v>178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</v>
      </c>
      <c r="F19" s="5">
        <f t="shared" si="5"/>
        <v>0.36284577174887206</v>
      </c>
      <c r="G19" s="5">
        <f t="shared" si="5"/>
        <v>0.37605114817723984</v>
      </c>
      <c r="H19" s="5">
        <f t="shared" si="5"/>
        <v>0.34320143794978525</v>
      </c>
      <c r="I19" s="5">
        <f t="shared" si="5"/>
        <v>0.28274844120730575</v>
      </c>
      <c r="J19" s="5">
        <f t="shared" si="5"/>
        <v>0.23532848931632994</v>
      </c>
      <c r="K19" s="5">
        <f t="shared" si="5"/>
        <v>0.22592717884803704</v>
      </c>
      <c r="L19" s="5">
        <f t="shared" si="4"/>
        <v>0.22592717884803704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 t="str">
        <f>IF(B4=0,"",POWER($K4/B4,1/9)-1)</f>
        <v/>
      </c>
      <c r="I23" s="5" t="str">
        <f>IF(D4=0,"",POWER($K4/D4,1/7)-1)</f>
        <v/>
      </c>
      <c r="J23" s="5">
        <f>IF(F4=0,"",POWER($K4/F4,1/5)-1)</f>
        <v>0.16357682801318951</v>
      </c>
      <c r="K23" s="5">
        <f>IF(H4=0,"",POWER($K4/H4, 1/3)-1)</f>
        <v>8.4711732672015705E-2</v>
      </c>
      <c r="L23" s="5">
        <f>IF(ISERROR(MAX(IF(J4=0,"",(K4-J4)/J4),IF(K4=0,"",(L4-K4)/K4))),"",MAX(IF(J4=0,"",(K4-J4)/J4),IF(K4=0,"",(L4-K4)/K4)))</f>
        <v>0</v>
      </c>
      <c r="M23" s="16">
        <f>MAX(K23:L23)</f>
        <v>8.4711732672015705E-2</v>
      </c>
      <c r="N23" s="16">
        <f>MIN(H23:L23)</f>
        <v>0</v>
      </c>
    </row>
    <row r="24" spans="1:14" x14ac:dyDescent="0.3">
      <c r="G24" t="s">
        <v>17</v>
      </c>
      <c r="H24" s="5">
        <f>IF(SUM(B4:$K$4)=0,"",SUMPRODUCT(B19:$K$19,B4:$K$4)/SUM(B4:$K$4))</f>
        <v>0.29110545553318262</v>
      </c>
      <c r="I24" s="5">
        <f>IF(SUM(E4:$K$4)=0,"",SUMPRODUCT(E19:$K$19,E4:$K$4)/SUM(E4:$K$4))</f>
        <v>0.29110545553318262</v>
      </c>
      <c r="J24" s="5">
        <f>IF(SUM(G4:$K$4)=0,"",SUMPRODUCT(G19:$K$19,G4:$K$4)/SUM(G4:$K$4))</f>
        <v>0.28280882113326611</v>
      </c>
      <c r="K24" s="5">
        <f>IF(SUM(I4:$K$4)=0, "", SUMPRODUCT(I19:$K$19,I4:$K$4)/SUM(I4:$K$4))</f>
        <v>0.24331703992131939</v>
      </c>
      <c r="L24" s="5">
        <f>L19</f>
        <v>0.22592717884803704</v>
      </c>
      <c r="M24" s="16">
        <f>MAX(K24:L24)</f>
        <v>0.24331703992131939</v>
      </c>
      <c r="N24" s="16">
        <f>MIN(H24:L24)</f>
        <v>0.22592717884803704</v>
      </c>
    </row>
    <row r="25" spans="1:14" x14ac:dyDescent="0.3">
      <c r="G25" t="s">
        <v>22</v>
      </c>
      <c r="H25" s="6">
        <f>IF(ISERROR(AVERAGEIF(B14:$L14,"&gt;0")),"",AVERAGEIF(B14:$L14,"&gt;0"))</f>
        <v>38.331989757905369</v>
      </c>
      <c r="I25" s="6">
        <f>IF(ISERROR(AVERAGEIF(E14:$L14,"&gt;0")),"",AVERAGEIF(E14:$L14,"&gt;0"))</f>
        <v>38.331989757905369</v>
      </c>
      <c r="J25" s="6">
        <f>IF(ISERROR(AVERAGEIF(G14:$L14,"&gt;0")),"",AVERAGEIF(G14:$L14,"&gt;0"))</f>
        <v>38.331989757905369</v>
      </c>
      <c r="K25" s="6">
        <f>IF(ISERROR(AVERAGEIF(I14:$L14,"&gt;0")),"",AVERAGEIF(I14:$L14,"&gt;0"))</f>
        <v>36.2366199916097</v>
      </c>
      <c r="L25" s="6">
        <f>L14</f>
        <v>41.290528546068828</v>
      </c>
      <c r="M25" s="1">
        <f>MAX(K25:L25)</f>
        <v>41.290528546068828</v>
      </c>
      <c r="N25" s="1">
        <f>MIN(H25:L25)</f>
        <v>36.2366199916097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ColWidth="8.77734375" defaultRowHeight="14.4" x14ac:dyDescent="0.3"/>
  <cols>
    <col min="1" max="1" width="21.55468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GLAND PHARMA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938.29</v>
      </c>
      <c r="C4" s="1">
        <f>'Data Sheet'!C42</f>
        <v>785.01</v>
      </c>
      <c r="D4" s="1">
        <f>'Data Sheet'!D42</f>
        <v>1208.69</v>
      </c>
      <c r="E4" s="1">
        <f>'Data Sheet'!E42</f>
        <v>1373.42</v>
      </c>
      <c r="F4" s="1">
        <f>'Data Sheet'!F42</f>
        <v>1545.16</v>
      </c>
      <c r="G4" s="1">
        <f>'Data Sheet'!G42</f>
        <v>1537.45</v>
      </c>
      <c r="H4" s="1">
        <f>'Data Sheet'!H42</f>
        <v>1401.71</v>
      </c>
      <c r="I4" s="1">
        <f>'Data Sheet'!I42</f>
        <v>1405.83</v>
      </c>
      <c r="J4" s="1">
        <f>'Data Sheet'!J42</f>
        <v>1384.05</v>
      </c>
      <c r="K4" s="1">
        <f>'Data Sheet'!K42</f>
        <v>1424.91</v>
      </c>
    </row>
    <row r="5" spans="1:11" x14ac:dyDescent="0.3">
      <c r="A5" t="s">
        <v>6</v>
      </c>
      <c r="B5" s="6">
        <f>'Data Sheet'!B43</f>
        <v>648.72</v>
      </c>
      <c r="C5" s="6">
        <f>'Data Sheet'!C43</f>
        <v>616.6</v>
      </c>
      <c r="D5" s="6">
        <f>'Data Sheet'!D43</f>
        <v>914.73</v>
      </c>
      <c r="E5" s="6">
        <f>'Data Sheet'!E43</f>
        <v>1049.3399999999999</v>
      </c>
      <c r="F5" s="6">
        <f>'Data Sheet'!F43</f>
        <v>1188.77</v>
      </c>
      <c r="G5" s="6">
        <f>'Data Sheet'!G43</f>
        <v>1178.8</v>
      </c>
      <c r="H5" s="6">
        <f>'Data Sheet'!H43</f>
        <v>1137.31</v>
      </c>
      <c r="I5" s="6">
        <f>'Data Sheet'!I43</f>
        <v>1108.78</v>
      </c>
      <c r="J5" s="6">
        <f>'Data Sheet'!J43</f>
        <v>1024.0899999999999</v>
      </c>
      <c r="K5" s="6">
        <f>'Data Sheet'!K43</f>
        <v>1077.4000000000001</v>
      </c>
    </row>
    <row r="6" spans="1:11" s="2" customFormat="1" x14ac:dyDescent="0.3">
      <c r="A6" s="2" t="s">
        <v>7</v>
      </c>
      <c r="B6" s="1">
        <f>'Data Sheet'!B50</f>
        <v>289.57</v>
      </c>
      <c r="C6" s="1">
        <f>'Data Sheet'!C50</f>
        <v>168.41</v>
      </c>
      <c r="D6" s="1">
        <f>'Data Sheet'!D50</f>
        <v>293.95999999999998</v>
      </c>
      <c r="E6" s="1">
        <f>'Data Sheet'!E50</f>
        <v>324.08</v>
      </c>
      <c r="F6" s="1">
        <f>'Data Sheet'!F50</f>
        <v>356.39</v>
      </c>
      <c r="G6" s="1">
        <f>'Data Sheet'!G50</f>
        <v>358.65</v>
      </c>
      <c r="H6" s="1">
        <f>'Data Sheet'!H50</f>
        <v>264.39999999999998</v>
      </c>
      <c r="I6" s="1">
        <f>'Data Sheet'!I50</f>
        <v>297.05</v>
      </c>
      <c r="J6" s="1">
        <f>'Data Sheet'!J50</f>
        <v>359.96</v>
      </c>
      <c r="K6" s="1">
        <f>'Data Sheet'!K50</f>
        <v>347.51</v>
      </c>
    </row>
    <row r="7" spans="1:11" x14ac:dyDescent="0.3">
      <c r="A7" t="s">
        <v>8</v>
      </c>
      <c r="B7" s="6">
        <f>'Data Sheet'!B44</f>
        <v>61.51</v>
      </c>
      <c r="C7" s="6">
        <f>'Data Sheet'!C44</f>
        <v>-17.52</v>
      </c>
      <c r="D7" s="6">
        <f>'Data Sheet'!D44</f>
        <v>37.54</v>
      </c>
      <c r="E7" s="6">
        <f>'Data Sheet'!E44</f>
        <v>53.16</v>
      </c>
      <c r="F7" s="6">
        <f>'Data Sheet'!F44</f>
        <v>37.39</v>
      </c>
      <c r="G7" s="6">
        <f>'Data Sheet'!G44</f>
        <v>42.15</v>
      </c>
      <c r="H7" s="6">
        <f>'Data Sheet'!H44</f>
        <v>51.43</v>
      </c>
      <c r="I7" s="6">
        <f>'Data Sheet'!I44</f>
        <v>59.66</v>
      </c>
      <c r="J7" s="6">
        <f>'Data Sheet'!J44</f>
        <v>58.49</v>
      </c>
      <c r="K7" s="6">
        <f>'Data Sheet'!K44</f>
        <v>44.03</v>
      </c>
    </row>
    <row r="8" spans="1:11" x14ac:dyDescent="0.3">
      <c r="A8" t="s">
        <v>9</v>
      </c>
      <c r="B8" s="6">
        <f>'Data Sheet'!B45</f>
        <v>37.61</v>
      </c>
      <c r="C8" s="6">
        <f>'Data Sheet'!C45</f>
        <v>37.54</v>
      </c>
      <c r="D8" s="6">
        <f>'Data Sheet'!D45</f>
        <v>65.319999999999993</v>
      </c>
      <c r="E8" s="6">
        <f>'Data Sheet'!E45</f>
        <v>81.3</v>
      </c>
      <c r="F8" s="6">
        <f>'Data Sheet'!F45</f>
        <v>105.34</v>
      </c>
      <c r="G8" s="6">
        <f>'Data Sheet'!G45</f>
        <v>92.61</v>
      </c>
      <c r="H8" s="6">
        <f>'Data Sheet'!H45</f>
        <v>91.96</v>
      </c>
      <c r="I8" s="6">
        <f>'Data Sheet'!I45</f>
        <v>93.83</v>
      </c>
      <c r="J8" s="6">
        <f>'Data Sheet'!J45</f>
        <v>96.33</v>
      </c>
      <c r="K8" s="6">
        <f>'Data Sheet'!K45</f>
        <v>95.76</v>
      </c>
    </row>
    <row r="9" spans="1:11" x14ac:dyDescent="0.3">
      <c r="A9" t="s">
        <v>10</v>
      </c>
      <c r="B9" s="6">
        <f>'Data Sheet'!B46</f>
        <v>2.62</v>
      </c>
      <c r="C9" s="6">
        <f>'Data Sheet'!C46</f>
        <v>2.2000000000000002</v>
      </c>
      <c r="D9" s="6">
        <f>'Data Sheet'!D46</f>
        <v>4.92</v>
      </c>
      <c r="E9" s="6">
        <f>'Data Sheet'!E46</f>
        <v>6.05</v>
      </c>
      <c r="F9" s="6">
        <f>'Data Sheet'!F46</f>
        <v>5.28</v>
      </c>
      <c r="G9" s="6">
        <f>'Data Sheet'!G46</f>
        <v>9.9600000000000009</v>
      </c>
      <c r="H9" s="6">
        <f>'Data Sheet'!H46</f>
        <v>5.62</v>
      </c>
      <c r="I9" s="6">
        <f>'Data Sheet'!I46</f>
        <v>6.11</v>
      </c>
      <c r="J9" s="6">
        <f>'Data Sheet'!J46</f>
        <v>22.82</v>
      </c>
      <c r="K9" s="6">
        <f>'Data Sheet'!K46</f>
        <v>7.45</v>
      </c>
    </row>
    <row r="10" spans="1:11" x14ac:dyDescent="0.3">
      <c r="A10" t="s">
        <v>11</v>
      </c>
      <c r="B10" s="6">
        <f>'Data Sheet'!B47</f>
        <v>310.85000000000002</v>
      </c>
      <c r="C10" s="6">
        <f>'Data Sheet'!C47</f>
        <v>111.15</v>
      </c>
      <c r="D10" s="6">
        <f>'Data Sheet'!D47</f>
        <v>261.26</v>
      </c>
      <c r="E10" s="6">
        <f>'Data Sheet'!E47</f>
        <v>289.89</v>
      </c>
      <c r="F10" s="6">
        <f>'Data Sheet'!F47</f>
        <v>283.16000000000003</v>
      </c>
      <c r="G10" s="6">
        <f>'Data Sheet'!G47</f>
        <v>298.23</v>
      </c>
      <c r="H10" s="6">
        <f>'Data Sheet'!H47</f>
        <v>218.25</v>
      </c>
      <c r="I10" s="6">
        <f>'Data Sheet'!I47</f>
        <v>256.77</v>
      </c>
      <c r="J10" s="6">
        <f>'Data Sheet'!J47</f>
        <v>299.3</v>
      </c>
      <c r="K10" s="6">
        <f>'Data Sheet'!K47</f>
        <v>288.33</v>
      </c>
    </row>
    <row r="11" spans="1:11" x14ac:dyDescent="0.3">
      <c r="A11" t="s">
        <v>12</v>
      </c>
      <c r="B11" s="6">
        <f>'Data Sheet'!B48</f>
        <v>78.900000000000006</v>
      </c>
      <c r="C11" s="6">
        <f>'Data Sheet'!C48</f>
        <v>32.47</v>
      </c>
      <c r="D11" s="6">
        <f>'Data Sheet'!D48</f>
        <v>67.16</v>
      </c>
      <c r="E11" s="6">
        <f>'Data Sheet'!E48</f>
        <v>95.8</v>
      </c>
      <c r="F11" s="6">
        <f>'Data Sheet'!F48</f>
        <v>91.31</v>
      </c>
      <c r="G11" s="6">
        <f>'Data Sheet'!G48</f>
        <v>105.81</v>
      </c>
      <c r="H11" s="6">
        <f>'Data Sheet'!H48</f>
        <v>74.48</v>
      </c>
      <c r="I11" s="6">
        <f>'Data Sheet'!I48</f>
        <v>93.24</v>
      </c>
      <c r="J11" s="6">
        <f>'Data Sheet'!J48</f>
        <v>94.61</v>
      </c>
      <c r="K11" s="6">
        <f>'Data Sheet'!K48</f>
        <v>101.79</v>
      </c>
    </row>
    <row r="12" spans="1:11" s="2" customFormat="1" x14ac:dyDescent="0.3">
      <c r="A12" s="2" t="s">
        <v>13</v>
      </c>
      <c r="B12" s="1">
        <f>'Data Sheet'!B49</f>
        <v>231.95</v>
      </c>
      <c r="C12" s="1">
        <f>'Data Sheet'!C49</f>
        <v>78.680000000000007</v>
      </c>
      <c r="D12" s="1">
        <f>'Data Sheet'!D49</f>
        <v>194.1</v>
      </c>
      <c r="E12" s="1">
        <f>'Data Sheet'!E49</f>
        <v>194.08</v>
      </c>
      <c r="F12" s="1">
        <f>'Data Sheet'!F49</f>
        <v>191.86</v>
      </c>
      <c r="G12" s="1">
        <f>'Data Sheet'!G49</f>
        <v>192.42</v>
      </c>
      <c r="H12" s="1">
        <f>'Data Sheet'!H49</f>
        <v>143.76</v>
      </c>
      <c r="I12" s="1">
        <f>'Data Sheet'!I49</f>
        <v>163.53</v>
      </c>
      <c r="J12" s="1">
        <f>'Data Sheet'!J49</f>
        <v>204.69</v>
      </c>
      <c r="K12" s="1">
        <f>'Data Sheet'!K49</f>
        <v>186.54</v>
      </c>
    </row>
    <row r="14" spans="1:11" s="2" customFormat="1" x14ac:dyDescent="0.3">
      <c r="A14" s="2" t="s">
        <v>178</v>
      </c>
      <c r="B14" s="10">
        <f>IF(B4&gt;0,B6/B4,"")</f>
        <v>0.30861460742414393</v>
      </c>
      <c r="C14" s="10">
        <f t="shared" ref="C14:K14" si="0">IF(C4&gt;0,C6/C4,"")</f>
        <v>0.21453229895160572</v>
      </c>
      <c r="D14" s="10">
        <f t="shared" si="0"/>
        <v>0.24320545383845318</v>
      </c>
      <c r="E14" s="10">
        <f t="shared" si="0"/>
        <v>0.23596569148548877</v>
      </c>
      <c r="F14" s="10">
        <f t="shared" si="0"/>
        <v>0.23064925315177714</v>
      </c>
      <c r="G14" s="10">
        <f t="shared" si="0"/>
        <v>0.23327587889037041</v>
      </c>
      <c r="H14" s="10">
        <f t="shared" si="0"/>
        <v>0.18862674875687552</v>
      </c>
      <c r="I14" s="10">
        <f t="shared" si="0"/>
        <v>0.21129866342303125</v>
      </c>
      <c r="J14" s="10">
        <f t="shared" si="0"/>
        <v>0.26007730934576062</v>
      </c>
      <c r="K14" s="10">
        <f t="shared" si="0"/>
        <v>0.24388206974475579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I4" activePane="bottomRight" state="frozen"/>
      <selection activeCell="C4" sqref="C4"/>
      <selection pane="topRight" activeCell="C4" sqref="C4"/>
      <selection pane="bottomLeft" activeCell="C4" sqref="C4"/>
      <selection pane="bottomRight" activeCell="J1" sqref="J1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GLAND PHARMA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42094</v>
      </c>
      <c r="C3" s="12">
        <f>'Data Sheet'!C56</f>
        <v>42460</v>
      </c>
      <c r="D3" s="12">
        <f>'Data Sheet'!D56</f>
        <v>42825</v>
      </c>
      <c r="E3" s="12">
        <f>'Data Sheet'!E56</f>
        <v>43190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0</v>
      </c>
      <c r="C4" s="14">
        <f>'Data Sheet'!C57</f>
        <v>0</v>
      </c>
      <c r="D4" s="14">
        <f>'Data Sheet'!D57</f>
        <v>0</v>
      </c>
      <c r="E4" s="14">
        <f>'Data Sheet'!E57</f>
        <v>0</v>
      </c>
      <c r="F4" s="14">
        <f>'Data Sheet'!F57</f>
        <v>15.5</v>
      </c>
      <c r="G4" s="14">
        <f>'Data Sheet'!G57</f>
        <v>16.36</v>
      </c>
      <c r="H4" s="14">
        <f>'Data Sheet'!H57</f>
        <v>16.43</v>
      </c>
      <c r="I4" s="14">
        <f>'Data Sheet'!I57</f>
        <v>16.47</v>
      </c>
      <c r="J4" s="14">
        <f>'Data Sheet'!J57</f>
        <v>16.47</v>
      </c>
      <c r="K4" s="14">
        <f>'Data Sheet'!K57</f>
        <v>16.48</v>
      </c>
    </row>
    <row r="5" spans="1:11" x14ac:dyDescent="0.3">
      <c r="A5" t="s">
        <v>24</v>
      </c>
      <c r="B5" s="14">
        <f>'Data Sheet'!B58</f>
        <v>0</v>
      </c>
      <c r="C5" s="14">
        <f>'Data Sheet'!C58</f>
        <v>0</v>
      </c>
      <c r="D5" s="14">
        <f>'Data Sheet'!D58</f>
        <v>0</v>
      </c>
      <c r="E5" s="14">
        <f>'Data Sheet'!E58</f>
        <v>0</v>
      </c>
      <c r="F5" s="14">
        <f>'Data Sheet'!F58</f>
        <v>3630.74</v>
      </c>
      <c r="G5" s="14">
        <f>'Data Sheet'!G58</f>
        <v>5886.88</v>
      </c>
      <c r="H5" s="14">
        <f>'Data Sheet'!H58</f>
        <v>7141.19</v>
      </c>
      <c r="I5" s="14">
        <f>'Data Sheet'!I58</f>
        <v>7942.25</v>
      </c>
      <c r="J5" s="14">
        <f>'Data Sheet'!J58</f>
        <v>8707.3700000000008</v>
      </c>
      <c r="K5" s="14">
        <f>'Data Sheet'!K58</f>
        <v>9134.27</v>
      </c>
    </row>
    <row r="6" spans="1:11" x14ac:dyDescent="0.3">
      <c r="A6" t="s">
        <v>60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4.96</v>
      </c>
      <c r="G6" s="14">
        <f>'Data Sheet'!G59</f>
        <v>5</v>
      </c>
      <c r="H6" s="14">
        <f>'Data Sheet'!H59</f>
        <v>4.74</v>
      </c>
      <c r="I6" s="14">
        <f>'Data Sheet'!I59</f>
        <v>4.45</v>
      </c>
      <c r="J6" s="14">
        <f>'Data Sheet'!J59</f>
        <v>372.17</v>
      </c>
      <c r="K6" s="14">
        <f>'Data Sheet'!K59</f>
        <v>313.73</v>
      </c>
    </row>
    <row r="7" spans="1:11" x14ac:dyDescent="0.3">
      <c r="A7" t="s">
        <v>61</v>
      </c>
      <c r="B7" s="14">
        <f>'Data Sheet'!B60</f>
        <v>0</v>
      </c>
      <c r="C7" s="14">
        <f>'Data Sheet'!C60</f>
        <v>0</v>
      </c>
      <c r="D7" s="14">
        <f>'Data Sheet'!D60</f>
        <v>0</v>
      </c>
      <c r="E7" s="14">
        <f>'Data Sheet'!E60</f>
        <v>0</v>
      </c>
      <c r="F7" s="14">
        <f>'Data Sheet'!F60</f>
        <v>434.83</v>
      </c>
      <c r="G7" s="14">
        <f>'Data Sheet'!G60</f>
        <v>587.84</v>
      </c>
      <c r="H7" s="14">
        <f>'Data Sheet'!H60</f>
        <v>671.27</v>
      </c>
      <c r="I7" s="14">
        <f>'Data Sheet'!I60</f>
        <v>814.37</v>
      </c>
      <c r="J7" s="14">
        <f>'Data Sheet'!J60</f>
        <v>1514.8</v>
      </c>
      <c r="K7" s="14">
        <f>'Data Sheet'!K60</f>
        <v>1760.44</v>
      </c>
    </row>
    <row r="8" spans="1:11" s="2" customFormat="1" x14ac:dyDescent="0.3">
      <c r="A8" s="2" t="s">
        <v>25</v>
      </c>
      <c r="B8" s="15">
        <f>'Data Sheet'!B61</f>
        <v>0</v>
      </c>
      <c r="C8" s="15">
        <f>'Data Sheet'!C61</f>
        <v>0</v>
      </c>
      <c r="D8" s="15">
        <f>'Data Sheet'!D61</f>
        <v>0</v>
      </c>
      <c r="E8" s="15">
        <f>'Data Sheet'!E61</f>
        <v>0</v>
      </c>
      <c r="F8" s="15">
        <f>'Data Sheet'!F61</f>
        <v>4086.03</v>
      </c>
      <c r="G8" s="15">
        <f>'Data Sheet'!G61</f>
        <v>6496.08</v>
      </c>
      <c r="H8" s="15">
        <f>'Data Sheet'!H61</f>
        <v>7833.63</v>
      </c>
      <c r="I8" s="15">
        <f>'Data Sheet'!I61</f>
        <v>8777.5400000000009</v>
      </c>
      <c r="J8" s="15">
        <f>'Data Sheet'!J61</f>
        <v>10610.81</v>
      </c>
      <c r="K8" s="15">
        <f>'Data Sheet'!K61</f>
        <v>11224.92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0</v>
      </c>
      <c r="C10" s="14">
        <f>'Data Sheet'!C62</f>
        <v>0</v>
      </c>
      <c r="D10" s="14">
        <f>'Data Sheet'!D62</f>
        <v>0</v>
      </c>
      <c r="E10" s="14">
        <f>'Data Sheet'!E62</f>
        <v>0</v>
      </c>
      <c r="F10" s="14">
        <f>'Data Sheet'!F62</f>
        <v>968.1</v>
      </c>
      <c r="G10" s="14">
        <f>'Data Sheet'!G62</f>
        <v>954.23</v>
      </c>
      <c r="H10" s="14">
        <f>'Data Sheet'!H62</f>
        <v>1502.19</v>
      </c>
      <c r="I10" s="14">
        <f>'Data Sheet'!I62</f>
        <v>1570.55</v>
      </c>
      <c r="J10" s="14">
        <f>'Data Sheet'!J62</f>
        <v>3946.75</v>
      </c>
      <c r="K10" s="14">
        <f>'Data Sheet'!K62</f>
        <v>4147.24</v>
      </c>
    </row>
    <row r="11" spans="1:11" x14ac:dyDescent="0.3">
      <c r="A11" t="s">
        <v>27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188.47</v>
      </c>
      <c r="G11" s="14">
        <f>'Data Sheet'!G63</f>
        <v>337.81</v>
      </c>
      <c r="H11" s="14">
        <f>'Data Sheet'!H63</f>
        <v>190.75</v>
      </c>
      <c r="I11" s="14">
        <f>'Data Sheet'!I63</f>
        <v>177.22</v>
      </c>
      <c r="J11" s="14">
        <f>'Data Sheet'!J63</f>
        <v>237.88</v>
      </c>
      <c r="K11" s="14">
        <f>'Data Sheet'!K63</f>
        <v>150.56</v>
      </c>
    </row>
    <row r="12" spans="1:11" x14ac:dyDescent="0.3">
      <c r="A12" t="s">
        <v>28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</v>
      </c>
      <c r="F12" s="14">
        <f>'Data Sheet'!F64</f>
        <v>0</v>
      </c>
      <c r="G12" s="14">
        <f>'Data Sheet'!G64</f>
        <v>0</v>
      </c>
      <c r="H12" s="14">
        <f>'Data Sheet'!H64</f>
        <v>154.87</v>
      </c>
      <c r="I12" s="14">
        <f>'Data Sheet'!I64</f>
        <v>0</v>
      </c>
      <c r="J12" s="14">
        <f>'Data Sheet'!J64</f>
        <v>0</v>
      </c>
      <c r="K12" s="14">
        <f>'Data Sheet'!K64</f>
        <v>0</v>
      </c>
    </row>
    <row r="13" spans="1:11" x14ac:dyDescent="0.3">
      <c r="A13" t="s">
        <v>62</v>
      </c>
      <c r="B13" s="14">
        <f>'Data Sheet'!B65</f>
        <v>0</v>
      </c>
      <c r="C13" s="14">
        <f>'Data Sheet'!C65</f>
        <v>0</v>
      </c>
      <c r="D13" s="14">
        <f>'Data Sheet'!D65</f>
        <v>0</v>
      </c>
      <c r="E13" s="14">
        <f>'Data Sheet'!E65</f>
        <v>0</v>
      </c>
      <c r="F13" s="14">
        <f>'Data Sheet'!F65</f>
        <v>2929.46</v>
      </c>
      <c r="G13" s="14">
        <f>'Data Sheet'!G65</f>
        <v>5204.04</v>
      </c>
      <c r="H13" s="14">
        <f>'Data Sheet'!H65</f>
        <v>5985.82</v>
      </c>
      <c r="I13" s="14">
        <f>'Data Sheet'!I65</f>
        <v>7029.77</v>
      </c>
      <c r="J13" s="14">
        <f>'Data Sheet'!J65</f>
        <v>6426.18</v>
      </c>
      <c r="K13" s="14">
        <f>'Data Sheet'!K65</f>
        <v>6927.12</v>
      </c>
    </row>
    <row r="14" spans="1:11" s="2" customFormat="1" x14ac:dyDescent="0.3">
      <c r="A14" s="2" t="s">
        <v>25</v>
      </c>
      <c r="B14" s="14">
        <f>'Data Sheet'!B66</f>
        <v>0</v>
      </c>
      <c r="C14" s="14">
        <f>'Data Sheet'!C66</f>
        <v>0</v>
      </c>
      <c r="D14" s="14">
        <f>'Data Sheet'!D66</f>
        <v>0</v>
      </c>
      <c r="E14" s="14">
        <f>'Data Sheet'!E66</f>
        <v>0</v>
      </c>
      <c r="F14" s="14">
        <f>'Data Sheet'!F66</f>
        <v>4086.03</v>
      </c>
      <c r="G14" s="14">
        <f>'Data Sheet'!G66</f>
        <v>6496.08</v>
      </c>
      <c r="H14" s="14">
        <f>'Data Sheet'!H66</f>
        <v>7833.63</v>
      </c>
      <c r="I14" s="14">
        <f>'Data Sheet'!I66</f>
        <v>8777.5400000000009</v>
      </c>
      <c r="J14" s="14">
        <f>'Data Sheet'!J66</f>
        <v>10610.81</v>
      </c>
      <c r="K14" s="14">
        <f>'Data Sheet'!K66</f>
        <v>11224.92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4">
        <f t="shared" si="0"/>
        <v>0</v>
      </c>
      <c r="F16" s="4">
        <f t="shared" si="0"/>
        <v>2494.63</v>
      </c>
      <c r="G16" s="4">
        <f t="shared" si="0"/>
        <v>4616.2</v>
      </c>
      <c r="H16" s="4">
        <f t="shared" si="0"/>
        <v>5314.5499999999993</v>
      </c>
      <c r="I16" s="4">
        <f t="shared" si="0"/>
        <v>6215.4000000000005</v>
      </c>
      <c r="J16" s="4">
        <f t="shared" si="0"/>
        <v>4911.38</v>
      </c>
      <c r="K16" s="4">
        <f t="shared" si="0"/>
        <v>5166.68</v>
      </c>
    </row>
    <row r="17" spans="1:11" x14ac:dyDescent="0.3">
      <c r="A17" t="s">
        <v>42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601.79</v>
      </c>
      <c r="G17" s="4">
        <f>'Data Sheet'!G67</f>
        <v>670.97</v>
      </c>
      <c r="H17" s="4">
        <f>'Data Sheet'!H67</f>
        <v>1074.81</v>
      </c>
      <c r="I17" s="4">
        <f>'Data Sheet'!I67</f>
        <v>871.39</v>
      </c>
      <c r="J17" s="4">
        <f>'Data Sheet'!J67</f>
        <v>1558.69</v>
      </c>
      <c r="K17" s="4">
        <f>'Data Sheet'!K67</f>
        <v>1516.53</v>
      </c>
    </row>
    <row r="18" spans="1:11" x14ac:dyDescent="0.3">
      <c r="A18" t="s">
        <v>43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756.28</v>
      </c>
      <c r="G18" s="4">
        <f>'Data Sheet'!G68</f>
        <v>1275.17</v>
      </c>
      <c r="H18" s="4">
        <f>'Data Sheet'!H68</f>
        <v>1185.67</v>
      </c>
      <c r="I18" s="4">
        <f>'Data Sheet'!I68</f>
        <v>1945.3</v>
      </c>
      <c r="J18" s="4">
        <f>'Data Sheet'!J68</f>
        <v>1655.24</v>
      </c>
      <c r="K18" s="4">
        <f>'Data Sheet'!K68</f>
        <v>1685.22</v>
      </c>
    </row>
    <row r="20" spans="1:11" x14ac:dyDescent="0.3">
      <c r="A20" t="s">
        <v>44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83.415621059986933</v>
      </c>
      <c r="G20" s="4">
        <f>IF('Profit &amp; Loss'!G4&gt;0,'Balance Sheet'!G17/('Profit &amp; Loss'!G4/365),0)</f>
        <v>70.722649933003737</v>
      </c>
      <c r="H20" s="4">
        <f>IF('Profit &amp; Loss'!H4&gt;0,'Balance Sheet'!H17/('Profit &amp; Loss'!H4/365),0)</f>
        <v>89.145990078873638</v>
      </c>
      <c r="I20" s="4">
        <f>IF('Profit &amp; Loss'!I4&gt;0,'Balance Sheet'!I17/('Profit &amp; Loss'!I4/365),0)</f>
        <v>87.74964133973404</v>
      </c>
      <c r="J20" s="4">
        <f>IF('Profit &amp; Loss'!J4&gt;0,'Balance Sheet'!J17/('Profit &amp; Loss'!J4/365),0)</f>
        <v>100.4324750384838</v>
      </c>
      <c r="K20" s="4">
        <f>IF('Profit &amp; Loss'!K4&gt;0,'Balance Sheet'!K17/('Profit &amp; Loss'!K4/365),0)</f>
        <v>98.554874031870384</v>
      </c>
    </row>
    <row r="21" spans="1:11" x14ac:dyDescent="0.3">
      <c r="A21" t="s">
        <v>45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3.4818321256677418</v>
      </c>
      <c r="G21" s="4">
        <f>IF('Balance Sheet'!G18&gt;0,'Profit &amp; Loss'!G4/'Balance Sheet'!G18,0)</f>
        <v>2.7156222307613884</v>
      </c>
      <c r="H21" s="4">
        <f>IF('Balance Sheet'!H18&gt;0,'Profit &amp; Loss'!H4/'Balance Sheet'!H18,0)</f>
        <v>3.7115807939814616</v>
      </c>
      <c r="I21" s="4">
        <f>IF('Balance Sheet'!I18&gt;0,'Profit &amp; Loss'!I4/'Balance Sheet'!I18,0)</f>
        <v>1.8632601655271681</v>
      </c>
      <c r="J21" s="4">
        <f>IF('Balance Sheet'!J18&gt;0,'Profit &amp; Loss'!J4/'Balance Sheet'!J18,0)</f>
        <v>3.4222952562770357</v>
      </c>
      <c r="K21" s="4">
        <f>IF('Balance Sheet'!K18&gt;0,'Profit &amp; Loss'!K4/'Balance Sheet'!K18,0)</f>
        <v>3.3327992784324896</v>
      </c>
    </row>
    <row r="23" spans="1:11" s="2" customFormat="1" x14ac:dyDescent="0.3">
      <c r="A23" s="2" t="s">
        <v>48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 t="str">
        <f>IF(SUM('Balance Sheet'!D4:D5)&gt;0,'Profit &amp; Loss'!D12/SUM('Balance Sheet'!D4:D5),"")</f>
        <v/>
      </c>
      <c r="E23" s="10" t="str">
        <f>IF(SUM('Balance Sheet'!E4:E5)&gt;0,'Profit &amp; Loss'!E12/SUM('Balance Sheet'!E4:E5),"")</f>
        <v/>
      </c>
      <c r="F23" s="10">
        <f>IF(SUM('Balance Sheet'!F4:F5)&gt;0,'Profit &amp; Loss'!F12/SUM('Balance Sheet'!F4:F5),"")</f>
        <v>0.21196081442801354</v>
      </c>
      <c r="G23" s="10">
        <f>IF(SUM('Balance Sheet'!G4:G5)&gt;0,'Profit &amp; Loss'!G12/SUM('Balance Sheet'!G4:G5),"")</f>
        <v>0.16888352836747278</v>
      </c>
      <c r="H23" s="10">
        <f>IF(SUM('Balance Sheet'!H4:H5)&gt;0,'Profit &amp; Loss'!H12/SUM('Balance Sheet'!H4:H5),"")</f>
        <v>0.16928252687345796</v>
      </c>
      <c r="I23" s="10">
        <f>IF(SUM('Balance Sheet'!I4:I5)&gt;0,'Profit &amp; Loss'!I12/SUM('Balance Sheet'!I4:I5),"")</f>
        <v>9.8136383740098906E-2</v>
      </c>
      <c r="J23" s="10">
        <f>IF(SUM('Balance Sheet'!J4:J5)&gt;0,'Profit &amp; Loss'!J12/SUM('Balance Sheet'!J4:J5),"")</f>
        <v>8.8545869708752112E-2</v>
      </c>
      <c r="K23" s="10">
        <f>IF(SUM('Balance Sheet'!K4:K5)&gt;0,'Profit &amp; Loss'!K12/SUM('Balance Sheet'!K4:K5),"")</f>
        <v>7.6335819468349581E-2</v>
      </c>
    </row>
    <row r="24" spans="1:11" s="2" customFormat="1" x14ac:dyDescent="0.3">
      <c r="A24" s="2" t="s">
        <v>49</v>
      </c>
      <c r="B24" s="10"/>
      <c r="C24" s="10" t="str">
        <f>IF((B4+B5+B6+C4+C5+C6)&gt;0,('Profit &amp; Loss'!C10+'Profit &amp; Loss'!C9)*2/(B4+B5+B6+C4+C5+C6),"")</f>
        <v/>
      </c>
      <c r="D24" s="10" t="str">
        <f>IF((C4+C5+C6+D4+D5+D6)&gt;0,('Profit &amp; Loss'!D10+'Profit &amp; Loss'!D9)*2/(C4+C5+C6+D4+D5+D6),"")</f>
        <v/>
      </c>
      <c r="E24" s="10" t="str">
        <f>IF((D4+D5+D6+E4+E5+E6)&gt;0,('Profit &amp; Loss'!E10+'Profit &amp; Loss'!E9)*2/(D4+D5+D6+E4+E5+E6),"")</f>
        <v/>
      </c>
      <c r="F24" s="10">
        <f>IF((E4+E5+E6+F4+F5+F6)&gt;0,('Profit &amp; Loss'!F10+'Profit &amp; Loss'!F9)*2/(E4+E5+E6+F4+F5+F6),"")</f>
        <v>0.54778702892199826</v>
      </c>
      <c r="G24" s="10">
        <f>IF((F4+F5+F6+G4+G5+G6)&gt;0,('Profit &amp; Loss'!G10+'Profit &amp; Loss'!G9)*2/(F4+F5+F6+G4+G5+G6),"")</f>
        <v>0.27997874352472529</v>
      </c>
      <c r="H24" s="10">
        <f>IF((G4+G5+G6+H4+H5+H6)&gt;0,('Profit &amp; Loss'!H10+'Profit &amp; Loss'!H9)*2/(G4+G5+G6+H4+H5+H6),"")</f>
        <v>0.24846449283123956</v>
      </c>
      <c r="I24" s="10">
        <f>IF((H4+H5+H6+I4+I5+I6)&gt;0,('Profit &amp; Loss'!I10+'Profit &amp; Loss'!I9)*2/(H4+H5+H6+I4+I5+I6),"")</f>
        <v>0.14042879819748463</v>
      </c>
      <c r="J24" s="10">
        <f>IF((I4+I5+I6+J4+J5+J6)&gt;0,('Profit &amp; Loss'!J10+'Profit &amp; Loss'!J9)*2/(I4+I5+I6+J4+J5+J6),"")</f>
        <v>0.13584943707728039</v>
      </c>
      <c r="K24" s="10">
        <f>IF((J4+J5+J6+K4+K5+K6)&gt;0,('Profit &amp; Loss'!K10+'Profit &amp; Loss'!K9)*2/(J4+J5+J6+K4+K5+K6),"")</f>
        <v>0.11903349534414231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GLAND PHARMA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42094</v>
      </c>
      <c r="C3" s="12">
        <f>'Data Sheet'!C81</f>
        <v>42460</v>
      </c>
      <c r="D3" s="12">
        <f>'Data Sheet'!D81</f>
        <v>42825</v>
      </c>
      <c r="E3" s="12">
        <f>'Data Sheet'!E81</f>
        <v>43190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700.94</v>
      </c>
      <c r="G4" s="1">
        <f>'Data Sheet'!G82</f>
        <v>604.92999999999995</v>
      </c>
      <c r="H4" s="1">
        <f>'Data Sheet'!H82</f>
        <v>790.77</v>
      </c>
      <c r="I4" s="1">
        <f>'Data Sheet'!I82</f>
        <v>363.97</v>
      </c>
      <c r="J4" s="1">
        <f>'Data Sheet'!J82</f>
        <v>996.8</v>
      </c>
      <c r="K4" s="1">
        <f>'Data Sheet'!K82</f>
        <v>914.73</v>
      </c>
    </row>
    <row r="5" spans="1:11" x14ac:dyDescent="0.3">
      <c r="A5" t="s">
        <v>32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0</v>
      </c>
      <c r="F5" s="6">
        <f>'Data Sheet'!F83</f>
        <v>-760.97</v>
      </c>
      <c r="G5" s="6">
        <f>'Data Sheet'!G83</f>
        <v>-1520.42</v>
      </c>
      <c r="H5" s="6">
        <f>'Data Sheet'!H83</f>
        <v>-999.31</v>
      </c>
      <c r="I5" s="6">
        <f>'Data Sheet'!I83</f>
        <v>1211.19</v>
      </c>
      <c r="J5" s="6">
        <f>'Data Sheet'!J83</f>
        <v>-1749.19</v>
      </c>
      <c r="K5" s="6">
        <f>'Data Sheet'!K83</f>
        <v>1704.74</v>
      </c>
    </row>
    <row r="6" spans="1:11" x14ac:dyDescent="0.3">
      <c r="A6" t="s">
        <v>33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0</v>
      </c>
      <c r="F6" s="6">
        <f>'Data Sheet'!F84</f>
        <v>-6.87</v>
      </c>
      <c r="G6" s="6">
        <f>'Data Sheet'!G84</f>
        <v>1238.46</v>
      </c>
      <c r="H6" s="6">
        <f>'Data Sheet'!H84</f>
        <v>34.9</v>
      </c>
      <c r="I6" s="6">
        <f>'Data Sheet'!I84</f>
        <v>14.92</v>
      </c>
      <c r="J6" s="6">
        <f>'Data Sheet'!J84</f>
        <v>-799.42</v>
      </c>
      <c r="K6" s="6">
        <f>'Data Sheet'!K84</f>
        <v>-433.48</v>
      </c>
    </row>
    <row r="7" spans="1:11" s="2" customFormat="1" x14ac:dyDescent="0.3">
      <c r="A7" s="2" t="s">
        <v>34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-66.91</v>
      </c>
      <c r="G7" s="1">
        <f>'Data Sheet'!G85</f>
        <v>322.97000000000003</v>
      </c>
      <c r="H7" s="1">
        <f>'Data Sheet'!H85</f>
        <v>-173.64</v>
      </c>
      <c r="I7" s="1">
        <f>'Data Sheet'!I85</f>
        <v>1590.08</v>
      </c>
      <c r="J7" s="1">
        <f>'Data Sheet'!J85</f>
        <v>-1551.81</v>
      </c>
      <c r="K7" s="1">
        <f>'Data Sheet'!K85</f>
        <v>2185.9899999999998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J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41" t="str">
        <f>IF(B2&lt;&gt;B3, "A NEW VERSION OF THE WORKSHEET IS AVAILABLE", "")</f>
        <v/>
      </c>
      <c r="F1" s="41"/>
      <c r="G1" s="41"/>
      <c r="H1" s="41"/>
      <c r="I1" s="41"/>
      <c r="J1" s="41"/>
      <c r="K1" s="41"/>
    </row>
    <row r="2" spans="1:11" x14ac:dyDescent="0.3">
      <c r="A2" s="1" t="s">
        <v>50</v>
      </c>
      <c r="B2" s="4">
        <v>2.1</v>
      </c>
      <c r="E2" s="77"/>
      <c r="F2" s="77"/>
      <c r="G2" s="77"/>
      <c r="H2" s="77"/>
      <c r="I2" s="77"/>
      <c r="J2" s="77"/>
      <c r="K2" s="77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16.475642636810235</v>
      </c>
    </row>
    <row r="7" spans="1:11" x14ac:dyDescent="0.3">
      <c r="A7" s="4" t="s">
        <v>30</v>
      </c>
      <c r="B7">
        <v>1</v>
      </c>
    </row>
    <row r="8" spans="1:11" x14ac:dyDescent="0.3">
      <c r="A8" s="4" t="s">
        <v>41</v>
      </c>
      <c r="B8">
        <v>1750.6</v>
      </c>
    </row>
    <row r="9" spans="1:11" x14ac:dyDescent="0.3">
      <c r="A9" s="4" t="s">
        <v>68</v>
      </c>
      <c r="B9">
        <v>28842.26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42094</v>
      </c>
      <c r="C16" s="12">
        <v>42460</v>
      </c>
      <c r="D16" s="12">
        <v>42825</v>
      </c>
      <c r="E16" s="12">
        <v>43190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/>
      <c r="C17"/>
      <c r="D17"/>
      <c r="E17"/>
      <c r="F17">
        <v>2633.24</v>
      </c>
      <c r="G17">
        <v>3462.88</v>
      </c>
      <c r="H17">
        <v>4400.71</v>
      </c>
      <c r="I17">
        <v>3624.6</v>
      </c>
      <c r="J17">
        <v>5664.72</v>
      </c>
      <c r="K17">
        <v>5616.5</v>
      </c>
    </row>
    <row r="18" spans="1:11" s="6" customFormat="1" x14ac:dyDescent="0.3">
      <c r="A18" s="4" t="s">
        <v>69</v>
      </c>
      <c r="B18"/>
      <c r="C18"/>
      <c r="D18"/>
      <c r="E18"/>
      <c r="F18">
        <v>1108.93</v>
      </c>
      <c r="G18">
        <v>1765.36</v>
      </c>
      <c r="H18">
        <v>2072.5300000000002</v>
      </c>
      <c r="I18">
        <v>1732.34</v>
      </c>
      <c r="J18">
        <v>2045.2</v>
      </c>
      <c r="K18">
        <v>1986.97</v>
      </c>
    </row>
    <row r="19" spans="1:11" s="6" customFormat="1" x14ac:dyDescent="0.3">
      <c r="A19" s="4" t="s">
        <v>70</v>
      </c>
      <c r="B19"/>
      <c r="C19"/>
      <c r="D19"/>
      <c r="E19"/>
      <c r="F19">
        <v>6.9</v>
      </c>
      <c r="G19">
        <v>273.49</v>
      </c>
      <c r="H19">
        <v>-36.69</v>
      </c>
      <c r="I19">
        <v>46.92</v>
      </c>
      <c r="J19">
        <v>-127.89</v>
      </c>
      <c r="K19">
        <v>-103.41</v>
      </c>
    </row>
    <row r="20" spans="1:11" s="6" customFormat="1" x14ac:dyDescent="0.3">
      <c r="A20" s="4" t="s">
        <v>71</v>
      </c>
      <c r="B20"/>
      <c r="C20"/>
      <c r="D20"/>
      <c r="E20"/>
      <c r="F20">
        <v>78.5</v>
      </c>
      <c r="G20">
        <v>74.59</v>
      </c>
      <c r="H20">
        <v>95.05</v>
      </c>
      <c r="I20">
        <v>124.84</v>
      </c>
      <c r="J20">
        <v>229.99</v>
      </c>
      <c r="K20">
        <v>199.15</v>
      </c>
    </row>
    <row r="21" spans="1:11" s="6" customFormat="1" x14ac:dyDescent="0.3">
      <c r="A21" s="4" t="s">
        <v>72</v>
      </c>
      <c r="B21"/>
      <c r="C21"/>
      <c r="D21"/>
      <c r="E21"/>
      <c r="F21">
        <v>102.23</v>
      </c>
      <c r="G21">
        <v>130.84</v>
      </c>
      <c r="H21">
        <v>137.19</v>
      </c>
      <c r="I21">
        <v>153.85</v>
      </c>
      <c r="J21">
        <v>295.16000000000003</v>
      </c>
      <c r="K21"/>
    </row>
    <row r="22" spans="1:11" s="6" customFormat="1" x14ac:dyDescent="0.3">
      <c r="A22" s="4" t="s">
        <v>73</v>
      </c>
      <c r="B22"/>
      <c r="C22"/>
      <c r="D22"/>
      <c r="E22"/>
      <c r="F22">
        <v>277.66000000000003</v>
      </c>
      <c r="G22">
        <v>311.36</v>
      </c>
      <c r="H22">
        <v>338.57</v>
      </c>
      <c r="I22">
        <v>403.26</v>
      </c>
      <c r="J22">
        <v>1256.8900000000001</v>
      </c>
      <c r="K22">
        <v>1401.56</v>
      </c>
    </row>
    <row r="23" spans="1:11" s="6" customFormat="1" x14ac:dyDescent="0.3">
      <c r="A23" s="4" t="s">
        <v>74</v>
      </c>
      <c r="B23"/>
      <c r="C23"/>
      <c r="D23"/>
      <c r="E23"/>
      <c r="F23">
        <v>98.54</v>
      </c>
      <c r="G23">
        <v>128.47999999999999</v>
      </c>
      <c r="H23">
        <v>177.92</v>
      </c>
      <c r="I23">
        <v>187.93</v>
      </c>
      <c r="J23">
        <v>286.86</v>
      </c>
      <c r="K23"/>
    </row>
    <row r="24" spans="1:11" s="6" customFormat="1" x14ac:dyDescent="0.3">
      <c r="A24" s="4" t="s">
        <v>75</v>
      </c>
      <c r="B24"/>
      <c r="C24"/>
      <c r="D24"/>
      <c r="E24"/>
      <c r="F24">
        <v>18.82</v>
      </c>
      <c r="G24">
        <v>23.52</v>
      </c>
      <c r="H24">
        <v>32.43</v>
      </c>
      <c r="I24">
        <v>44.45</v>
      </c>
      <c r="J24">
        <v>89.66</v>
      </c>
      <c r="K24">
        <v>656.49</v>
      </c>
    </row>
    <row r="25" spans="1:11" s="6" customFormat="1" x14ac:dyDescent="0.3">
      <c r="A25" s="6" t="s">
        <v>8</v>
      </c>
      <c r="B25"/>
      <c r="C25"/>
      <c r="D25"/>
      <c r="E25"/>
      <c r="F25">
        <v>139.16999999999999</v>
      </c>
      <c r="G25">
        <v>134.78</v>
      </c>
      <c r="H25">
        <v>223.76</v>
      </c>
      <c r="I25">
        <v>183.92</v>
      </c>
      <c r="J25">
        <v>170.24</v>
      </c>
      <c r="K25">
        <v>213.61</v>
      </c>
    </row>
    <row r="26" spans="1:11" s="6" customFormat="1" x14ac:dyDescent="0.3">
      <c r="A26" s="6" t="s">
        <v>9</v>
      </c>
      <c r="B26"/>
      <c r="C26"/>
      <c r="D26"/>
      <c r="E26"/>
      <c r="F26">
        <v>94.59</v>
      </c>
      <c r="G26">
        <v>98.78</v>
      </c>
      <c r="H26">
        <v>110.3</v>
      </c>
      <c r="I26">
        <v>146.74</v>
      </c>
      <c r="J26">
        <v>344.57</v>
      </c>
      <c r="K26">
        <v>377.87</v>
      </c>
    </row>
    <row r="27" spans="1:11" s="6" customFormat="1" x14ac:dyDescent="0.3">
      <c r="A27" s="6" t="s">
        <v>10</v>
      </c>
      <c r="B27"/>
      <c r="C27"/>
      <c r="D27"/>
      <c r="E27"/>
      <c r="F27">
        <v>7.18</v>
      </c>
      <c r="G27">
        <v>3.41</v>
      </c>
      <c r="H27">
        <v>5.24</v>
      </c>
      <c r="I27">
        <v>7.45</v>
      </c>
      <c r="J27">
        <v>26.2</v>
      </c>
      <c r="K27">
        <v>42</v>
      </c>
    </row>
    <row r="28" spans="1:11" s="6" customFormat="1" x14ac:dyDescent="0.3">
      <c r="A28" s="6" t="s">
        <v>11</v>
      </c>
      <c r="B28"/>
      <c r="C28"/>
      <c r="D28"/>
      <c r="E28"/>
      <c r="F28">
        <v>992.86</v>
      </c>
      <c r="G28">
        <v>1334.81</v>
      </c>
      <c r="H28">
        <v>1618.55</v>
      </c>
      <c r="I28">
        <v>1054.58</v>
      </c>
      <c r="J28">
        <v>1132.54</v>
      </c>
      <c r="K28">
        <v>1062.6600000000001</v>
      </c>
    </row>
    <row r="29" spans="1:11" s="6" customFormat="1" x14ac:dyDescent="0.3">
      <c r="A29" s="6" t="s">
        <v>12</v>
      </c>
      <c r="B29"/>
      <c r="C29"/>
      <c r="D29"/>
      <c r="E29"/>
      <c r="F29">
        <v>220.01</v>
      </c>
      <c r="G29">
        <v>337.85</v>
      </c>
      <c r="H29">
        <v>406.89</v>
      </c>
      <c r="I29">
        <v>273.54000000000002</v>
      </c>
      <c r="J29">
        <v>360.08</v>
      </c>
      <c r="K29">
        <v>364.13</v>
      </c>
    </row>
    <row r="30" spans="1:11" s="6" customFormat="1" x14ac:dyDescent="0.3">
      <c r="A30" s="6" t="s">
        <v>13</v>
      </c>
      <c r="B30"/>
      <c r="C30"/>
      <c r="D30"/>
      <c r="E30"/>
      <c r="F30">
        <v>772.86</v>
      </c>
      <c r="G30">
        <v>996.96</v>
      </c>
      <c r="H30">
        <v>1211.6600000000001</v>
      </c>
      <c r="I30">
        <v>781.04</v>
      </c>
      <c r="J30">
        <v>772.46</v>
      </c>
      <c r="K30">
        <v>698.53</v>
      </c>
    </row>
    <row r="31" spans="1:11" s="6" customFormat="1" x14ac:dyDescent="0.3">
      <c r="A31" s="6" t="s">
        <v>59</v>
      </c>
      <c r="C31"/>
      <c r="J31">
        <v>329.4</v>
      </c>
      <c r="K31">
        <v>296.64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938.29</v>
      </c>
      <c r="C42">
        <v>785.01</v>
      </c>
      <c r="D42">
        <v>1208.69</v>
      </c>
      <c r="E42">
        <v>1373.42</v>
      </c>
      <c r="F42">
        <v>1545.16</v>
      </c>
      <c r="G42">
        <v>1537.45</v>
      </c>
      <c r="H42">
        <v>1401.71</v>
      </c>
      <c r="I42">
        <v>1405.83</v>
      </c>
      <c r="J42">
        <v>1384.05</v>
      </c>
      <c r="K42">
        <v>1424.91</v>
      </c>
    </row>
    <row r="43" spans="1:11" s="6" customFormat="1" x14ac:dyDescent="0.3">
      <c r="A43" s="6" t="s">
        <v>6</v>
      </c>
      <c r="B43">
        <v>648.72</v>
      </c>
      <c r="C43">
        <v>616.6</v>
      </c>
      <c r="D43">
        <v>914.73</v>
      </c>
      <c r="E43">
        <v>1049.3399999999999</v>
      </c>
      <c r="F43">
        <v>1188.77</v>
      </c>
      <c r="G43">
        <v>1178.8</v>
      </c>
      <c r="H43">
        <v>1137.31</v>
      </c>
      <c r="I43">
        <v>1108.78</v>
      </c>
      <c r="J43">
        <v>1024.0899999999999</v>
      </c>
      <c r="K43">
        <v>1077.4000000000001</v>
      </c>
    </row>
    <row r="44" spans="1:11" s="6" customFormat="1" x14ac:dyDescent="0.3">
      <c r="A44" s="6" t="s">
        <v>8</v>
      </c>
      <c r="B44">
        <v>61.51</v>
      </c>
      <c r="C44">
        <v>-17.52</v>
      </c>
      <c r="D44">
        <v>37.54</v>
      </c>
      <c r="E44">
        <v>53.16</v>
      </c>
      <c r="F44">
        <v>37.39</v>
      </c>
      <c r="G44">
        <v>42.15</v>
      </c>
      <c r="H44">
        <v>51.43</v>
      </c>
      <c r="I44">
        <v>59.66</v>
      </c>
      <c r="J44">
        <v>58.49</v>
      </c>
      <c r="K44">
        <v>44.03</v>
      </c>
    </row>
    <row r="45" spans="1:11" s="6" customFormat="1" x14ac:dyDescent="0.3">
      <c r="A45" s="6" t="s">
        <v>9</v>
      </c>
      <c r="B45">
        <v>37.61</v>
      </c>
      <c r="C45">
        <v>37.54</v>
      </c>
      <c r="D45">
        <v>65.319999999999993</v>
      </c>
      <c r="E45">
        <v>81.3</v>
      </c>
      <c r="F45">
        <v>105.34</v>
      </c>
      <c r="G45">
        <v>92.61</v>
      </c>
      <c r="H45">
        <v>91.96</v>
      </c>
      <c r="I45">
        <v>93.83</v>
      </c>
      <c r="J45">
        <v>96.33</v>
      </c>
      <c r="K45">
        <v>95.76</v>
      </c>
    </row>
    <row r="46" spans="1:11" s="6" customFormat="1" x14ac:dyDescent="0.3">
      <c r="A46" s="6" t="s">
        <v>10</v>
      </c>
      <c r="B46">
        <v>2.62</v>
      </c>
      <c r="C46">
        <v>2.2000000000000002</v>
      </c>
      <c r="D46">
        <v>4.92</v>
      </c>
      <c r="E46">
        <v>6.05</v>
      </c>
      <c r="F46">
        <v>5.28</v>
      </c>
      <c r="G46">
        <v>9.9600000000000009</v>
      </c>
      <c r="H46">
        <v>5.62</v>
      </c>
      <c r="I46">
        <v>6.11</v>
      </c>
      <c r="J46">
        <v>22.82</v>
      </c>
      <c r="K46">
        <v>7.45</v>
      </c>
    </row>
    <row r="47" spans="1:11" s="6" customFormat="1" x14ac:dyDescent="0.3">
      <c r="A47" s="6" t="s">
        <v>11</v>
      </c>
      <c r="B47">
        <v>310.85000000000002</v>
      </c>
      <c r="C47">
        <v>111.15</v>
      </c>
      <c r="D47">
        <v>261.26</v>
      </c>
      <c r="E47">
        <v>289.89</v>
      </c>
      <c r="F47">
        <v>283.16000000000003</v>
      </c>
      <c r="G47">
        <v>298.23</v>
      </c>
      <c r="H47">
        <v>218.25</v>
      </c>
      <c r="I47">
        <v>256.77</v>
      </c>
      <c r="J47">
        <v>299.3</v>
      </c>
      <c r="K47">
        <v>288.33</v>
      </c>
    </row>
    <row r="48" spans="1:11" s="6" customFormat="1" x14ac:dyDescent="0.3">
      <c r="A48" s="6" t="s">
        <v>12</v>
      </c>
      <c r="B48">
        <v>78.900000000000006</v>
      </c>
      <c r="C48">
        <v>32.47</v>
      </c>
      <c r="D48">
        <v>67.16</v>
      </c>
      <c r="E48">
        <v>95.8</v>
      </c>
      <c r="F48">
        <v>91.31</v>
      </c>
      <c r="G48">
        <v>105.81</v>
      </c>
      <c r="H48">
        <v>74.48</v>
      </c>
      <c r="I48">
        <v>93.24</v>
      </c>
      <c r="J48">
        <v>94.61</v>
      </c>
      <c r="K48">
        <v>101.79</v>
      </c>
    </row>
    <row r="49" spans="1:11" s="6" customFormat="1" x14ac:dyDescent="0.3">
      <c r="A49" s="6" t="s">
        <v>13</v>
      </c>
      <c r="B49">
        <v>231.95</v>
      </c>
      <c r="C49">
        <v>78.680000000000007</v>
      </c>
      <c r="D49">
        <v>194.1</v>
      </c>
      <c r="E49">
        <v>194.08</v>
      </c>
      <c r="F49">
        <v>191.86</v>
      </c>
      <c r="G49">
        <v>192.42</v>
      </c>
      <c r="H49">
        <v>143.76</v>
      </c>
      <c r="I49">
        <v>163.53</v>
      </c>
      <c r="J49">
        <v>204.69</v>
      </c>
      <c r="K49">
        <v>186.54</v>
      </c>
    </row>
    <row r="50" spans="1:11" x14ac:dyDescent="0.3">
      <c r="A50" s="6" t="s">
        <v>7</v>
      </c>
      <c r="B50">
        <v>289.57</v>
      </c>
      <c r="C50">
        <v>168.41</v>
      </c>
      <c r="D50">
        <v>293.95999999999998</v>
      </c>
      <c r="E50">
        <v>324.08</v>
      </c>
      <c r="F50">
        <v>356.39</v>
      </c>
      <c r="G50">
        <v>358.65</v>
      </c>
      <c r="H50">
        <v>264.39999999999998</v>
      </c>
      <c r="I50">
        <v>297.05</v>
      </c>
      <c r="J50">
        <v>359.96</v>
      </c>
      <c r="K50">
        <v>347.51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42094</v>
      </c>
      <c r="C56" s="12">
        <v>42460</v>
      </c>
      <c r="D56" s="12">
        <v>42825</v>
      </c>
      <c r="E56" s="12">
        <v>43190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/>
      <c r="C57"/>
      <c r="D57"/>
      <c r="E57"/>
      <c r="F57">
        <v>15.5</v>
      </c>
      <c r="G57">
        <v>16.36</v>
      </c>
      <c r="H57">
        <v>16.43</v>
      </c>
      <c r="I57">
        <v>16.47</v>
      </c>
      <c r="J57">
        <v>16.47</v>
      </c>
      <c r="K57">
        <v>16.48</v>
      </c>
    </row>
    <row r="58" spans="1:11" x14ac:dyDescent="0.3">
      <c r="A58" s="6" t="s">
        <v>24</v>
      </c>
      <c r="B58"/>
      <c r="C58"/>
      <c r="D58"/>
      <c r="E58"/>
      <c r="F58">
        <v>3630.74</v>
      </c>
      <c r="G58">
        <v>5886.88</v>
      </c>
      <c r="H58">
        <v>7141.19</v>
      </c>
      <c r="I58">
        <v>7942.25</v>
      </c>
      <c r="J58">
        <v>8707.3700000000008</v>
      </c>
      <c r="K58">
        <v>9134.27</v>
      </c>
    </row>
    <row r="59" spans="1:11" x14ac:dyDescent="0.3">
      <c r="A59" s="6" t="s">
        <v>60</v>
      </c>
      <c r="B59"/>
      <c r="C59"/>
      <c r="D59"/>
      <c r="E59"/>
      <c r="F59">
        <v>4.96</v>
      </c>
      <c r="G59">
        <v>5</v>
      </c>
      <c r="H59">
        <v>4.74</v>
      </c>
      <c r="I59">
        <v>4.45</v>
      </c>
      <c r="J59">
        <v>372.17</v>
      </c>
      <c r="K59">
        <v>313.73</v>
      </c>
    </row>
    <row r="60" spans="1:11" x14ac:dyDescent="0.3">
      <c r="A60" s="6" t="s">
        <v>61</v>
      </c>
      <c r="B60"/>
      <c r="C60"/>
      <c r="D60"/>
      <c r="E60"/>
      <c r="F60">
        <v>434.83</v>
      </c>
      <c r="G60">
        <v>587.84</v>
      </c>
      <c r="H60">
        <v>671.27</v>
      </c>
      <c r="I60">
        <v>814.37</v>
      </c>
      <c r="J60">
        <v>1514.8</v>
      </c>
      <c r="K60">
        <v>1760.44</v>
      </c>
    </row>
    <row r="61" spans="1:11" s="1" customFormat="1" x14ac:dyDescent="0.3">
      <c r="A61" s="1" t="s">
        <v>25</v>
      </c>
      <c r="B61"/>
      <c r="C61"/>
      <c r="D61"/>
      <c r="E61"/>
      <c r="F61">
        <v>4086.03</v>
      </c>
      <c r="G61">
        <v>6496.08</v>
      </c>
      <c r="H61">
        <v>7833.63</v>
      </c>
      <c r="I61">
        <v>8777.5400000000009</v>
      </c>
      <c r="J61">
        <v>10610.81</v>
      </c>
      <c r="K61">
        <v>11224.92</v>
      </c>
    </row>
    <row r="62" spans="1:11" x14ac:dyDescent="0.3">
      <c r="A62" s="6" t="s">
        <v>26</v>
      </c>
      <c r="B62"/>
      <c r="C62"/>
      <c r="D62"/>
      <c r="E62"/>
      <c r="F62">
        <v>968.1</v>
      </c>
      <c r="G62">
        <v>954.23</v>
      </c>
      <c r="H62">
        <v>1502.19</v>
      </c>
      <c r="I62">
        <v>1570.55</v>
      </c>
      <c r="J62">
        <v>3946.75</v>
      </c>
      <c r="K62">
        <v>4147.24</v>
      </c>
    </row>
    <row r="63" spans="1:11" x14ac:dyDescent="0.3">
      <c r="A63" s="6" t="s">
        <v>27</v>
      </c>
      <c r="B63"/>
      <c r="C63"/>
      <c r="D63"/>
      <c r="E63"/>
      <c r="F63">
        <v>188.47</v>
      </c>
      <c r="G63">
        <v>337.81</v>
      </c>
      <c r="H63">
        <v>190.75</v>
      </c>
      <c r="I63">
        <v>177.22</v>
      </c>
      <c r="J63">
        <v>237.88</v>
      </c>
      <c r="K63">
        <v>150.56</v>
      </c>
    </row>
    <row r="64" spans="1:11" x14ac:dyDescent="0.3">
      <c r="A64" s="6" t="s">
        <v>28</v>
      </c>
      <c r="B64"/>
      <c r="C64"/>
      <c r="D64"/>
      <c r="E64"/>
      <c r="F64"/>
      <c r="G64"/>
      <c r="H64">
        <v>154.87</v>
      </c>
      <c r="I64"/>
      <c r="J64"/>
      <c r="K64"/>
    </row>
    <row r="65" spans="1:11" x14ac:dyDescent="0.3">
      <c r="A65" s="6" t="s">
        <v>62</v>
      </c>
      <c r="B65"/>
      <c r="C65"/>
      <c r="D65"/>
      <c r="E65"/>
      <c r="F65">
        <v>2929.46</v>
      </c>
      <c r="G65">
        <v>5204.04</v>
      </c>
      <c r="H65">
        <v>5985.82</v>
      </c>
      <c r="I65">
        <v>7029.77</v>
      </c>
      <c r="J65">
        <v>6426.18</v>
      </c>
      <c r="K65">
        <v>6927.12</v>
      </c>
    </row>
    <row r="66" spans="1:11" s="1" customFormat="1" x14ac:dyDescent="0.3">
      <c r="A66" s="1" t="s">
        <v>25</v>
      </c>
      <c r="B66"/>
      <c r="C66"/>
      <c r="D66"/>
      <c r="E66"/>
      <c r="F66">
        <v>4086.03</v>
      </c>
      <c r="G66">
        <v>6496.08</v>
      </c>
      <c r="H66">
        <v>7833.63</v>
      </c>
      <c r="I66">
        <v>8777.5400000000009</v>
      </c>
      <c r="J66">
        <v>10610.81</v>
      </c>
      <c r="K66">
        <v>11224.92</v>
      </c>
    </row>
    <row r="67" spans="1:11" s="6" customFormat="1" x14ac:dyDescent="0.3">
      <c r="A67" s="6" t="s">
        <v>67</v>
      </c>
      <c r="B67"/>
      <c r="C67"/>
      <c r="D67"/>
      <c r="E67"/>
      <c r="F67">
        <v>601.79</v>
      </c>
      <c r="G67">
        <v>670.97</v>
      </c>
      <c r="H67">
        <v>1074.81</v>
      </c>
      <c r="I67">
        <v>871.39</v>
      </c>
      <c r="J67">
        <v>1558.69</v>
      </c>
      <c r="K67">
        <v>1516.53</v>
      </c>
    </row>
    <row r="68" spans="1:11" x14ac:dyDescent="0.3">
      <c r="A68" s="6" t="s">
        <v>43</v>
      </c>
      <c r="B68"/>
      <c r="C68"/>
      <c r="D68"/>
      <c r="E68"/>
      <c r="F68">
        <v>756.28</v>
      </c>
      <c r="G68">
        <v>1275.17</v>
      </c>
      <c r="H68">
        <v>1185.67</v>
      </c>
      <c r="I68">
        <v>1945.3</v>
      </c>
      <c r="J68">
        <v>1655.24</v>
      </c>
      <c r="K68">
        <v>1685.22</v>
      </c>
    </row>
    <row r="69" spans="1:11" x14ac:dyDescent="0.3">
      <c r="A69" s="4" t="s">
        <v>76</v>
      </c>
      <c r="B69"/>
      <c r="C69"/>
      <c r="D69"/>
      <c r="E69"/>
      <c r="F69">
        <v>1325.19</v>
      </c>
      <c r="G69">
        <v>3005.75</v>
      </c>
      <c r="H69">
        <v>3093.44</v>
      </c>
      <c r="I69">
        <v>3770.68</v>
      </c>
      <c r="J69">
        <v>1839.43</v>
      </c>
      <c r="K69">
        <v>2556.21</v>
      </c>
    </row>
    <row r="70" spans="1:11" x14ac:dyDescent="0.3">
      <c r="A70" s="4" t="s">
        <v>63</v>
      </c>
      <c r="B70"/>
      <c r="C70"/>
      <c r="D70"/>
      <c r="E70"/>
      <c r="F70">
        <v>154949490</v>
      </c>
      <c r="G70">
        <v>163592923</v>
      </c>
      <c r="H70">
        <v>164302723</v>
      </c>
      <c r="I70">
        <v>164700823</v>
      </c>
      <c r="J70">
        <v>164708123</v>
      </c>
      <c r="K70"/>
    </row>
    <row r="71" spans="1:11" x14ac:dyDescent="0.3">
      <c r="A71" s="4" t="s">
        <v>64</v>
      </c>
    </row>
    <row r="72" spans="1:11" x14ac:dyDescent="0.3">
      <c r="A72" s="4" t="s">
        <v>77</v>
      </c>
      <c r="B72"/>
      <c r="C72"/>
      <c r="D72"/>
      <c r="E72"/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42094</v>
      </c>
      <c r="C81" s="12">
        <v>42460</v>
      </c>
      <c r="D81" s="12">
        <v>42825</v>
      </c>
      <c r="E81" s="12">
        <v>43190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/>
      <c r="C82"/>
      <c r="D82"/>
      <c r="E82"/>
      <c r="F82">
        <v>700.94</v>
      </c>
      <c r="G82">
        <v>604.92999999999995</v>
      </c>
      <c r="H82">
        <v>790.77</v>
      </c>
      <c r="I82">
        <v>363.97</v>
      </c>
      <c r="J82">
        <v>996.8</v>
      </c>
      <c r="K82">
        <v>914.73</v>
      </c>
    </row>
    <row r="83" spans="1:11" s="6" customFormat="1" x14ac:dyDescent="0.3">
      <c r="A83" s="6" t="s">
        <v>32</v>
      </c>
      <c r="B83"/>
      <c r="C83"/>
      <c r="D83"/>
      <c r="E83"/>
      <c r="F83">
        <v>-760.97</v>
      </c>
      <c r="G83">
        <v>-1520.42</v>
      </c>
      <c r="H83">
        <v>-999.31</v>
      </c>
      <c r="I83">
        <v>1211.19</v>
      </c>
      <c r="J83">
        <v>-1749.19</v>
      </c>
      <c r="K83">
        <v>1704.74</v>
      </c>
    </row>
    <row r="84" spans="1:11" s="6" customFormat="1" x14ac:dyDescent="0.3">
      <c r="A84" s="6" t="s">
        <v>33</v>
      </c>
      <c r="B84"/>
      <c r="C84"/>
      <c r="D84"/>
      <c r="E84"/>
      <c r="F84">
        <v>-6.87</v>
      </c>
      <c r="G84">
        <v>1238.46</v>
      </c>
      <c r="H84">
        <v>34.9</v>
      </c>
      <c r="I84">
        <v>14.92</v>
      </c>
      <c r="J84">
        <v>-799.42</v>
      </c>
      <c r="K84">
        <v>-433.48</v>
      </c>
    </row>
    <row r="85" spans="1:11" s="1" customFormat="1" x14ac:dyDescent="0.3">
      <c r="A85" s="6" t="s">
        <v>34</v>
      </c>
      <c r="B85"/>
      <c r="C85"/>
      <c r="D85"/>
      <c r="E85"/>
      <c r="F85">
        <v>-66.91</v>
      </c>
      <c r="G85">
        <v>322.97000000000003</v>
      </c>
      <c r="H85">
        <v>-173.64</v>
      </c>
      <c r="I85">
        <v>1590.08</v>
      </c>
      <c r="J85">
        <v>-1551.81</v>
      </c>
      <c r="K85">
        <v>2185.9899999999998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/>
      <c r="C90"/>
      <c r="D90"/>
      <c r="E90"/>
      <c r="F90"/>
      <c r="G90">
        <v>2478.3000000000002</v>
      </c>
      <c r="H90">
        <v>3272.65</v>
      </c>
      <c r="I90">
        <v>1268.25</v>
      </c>
      <c r="J90">
        <v>1845.25</v>
      </c>
      <c r="K90">
        <v>1592.4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/>
      <c r="C93" s="20"/>
      <c r="D93" s="20"/>
      <c r="E93" s="20"/>
      <c r="F93" s="20">
        <v>15.49</v>
      </c>
      <c r="G93" s="20">
        <v>16.36</v>
      </c>
      <c r="H93" s="20">
        <v>16.43</v>
      </c>
      <c r="I93" s="20">
        <v>16.47</v>
      </c>
      <c r="J93" s="20">
        <v>16.47</v>
      </c>
      <c r="K93" s="20">
        <v>16.48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topLeftCell="B1" workbookViewId="0">
      <pane ySplit="3" topLeftCell="A96" activePane="bottomLeft" state="frozen"/>
      <selection pane="bottomLeft" activeCell="K113" sqref="K113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65" t="str">
        <f>"Historical Financial Statement - "&amp;'Data Sheet'!B1</f>
        <v>Historical Financial Statement - GLAND PHARMA LTD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x14ac:dyDescent="0.3">
      <c r="B3" s="21" t="s">
        <v>80</v>
      </c>
      <c r="C3" s="21"/>
      <c r="D3" s="22">
        <f>'Data Sheet'!B16</f>
        <v>42094</v>
      </c>
      <c r="E3" s="22">
        <f>'Data Sheet'!C16</f>
        <v>42460</v>
      </c>
      <c r="F3" s="22">
        <f>'Data Sheet'!D16</f>
        <v>42825</v>
      </c>
      <c r="G3" s="22">
        <f>'Data Sheet'!E16</f>
        <v>43190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81</v>
      </c>
    </row>
    <row r="4" spans="1:14" x14ac:dyDescent="0.3">
      <c r="A4" t="s">
        <v>83</v>
      </c>
      <c r="B4" s="66" t="s">
        <v>82</v>
      </c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4" ht="15" customHeight="1" x14ac:dyDescent="0.3">
      <c r="B5" t="s">
        <v>5</v>
      </c>
      <c r="D5" s="24">
        <f>IFERROR('Data Sheet'!B17,0)</f>
        <v>0</v>
      </c>
      <c r="E5" s="24">
        <f>IFERROR('Data Sheet'!C17,0)</f>
        <v>0</v>
      </c>
      <c r="F5" s="24">
        <f>IFERROR('Data Sheet'!D17,0)</f>
        <v>0</v>
      </c>
      <c r="G5" s="24">
        <f>IFERROR('Data Sheet'!E17,0)</f>
        <v>0</v>
      </c>
      <c r="H5" s="24">
        <f>IFERROR('Data Sheet'!F17,0)</f>
        <v>2633.24</v>
      </c>
      <c r="I5" s="24">
        <f>IFERROR('Data Sheet'!G17,0)</f>
        <v>3462.88</v>
      </c>
      <c r="J5" s="24">
        <f>IFERROR('Data Sheet'!H17,0)</f>
        <v>4400.71</v>
      </c>
      <c r="K5" s="24">
        <f>IFERROR('Data Sheet'!I17,0)</f>
        <v>3624.6</v>
      </c>
      <c r="L5" s="24">
        <f>IFERROR('Data Sheet'!J17,0)</f>
        <v>5664.72</v>
      </c>
      <c r="M5" s="24">
        <f>IFERROR('Data Sheet'!K17,0)</f>
        <v>5616.5</v>
      </c>
      <c r="N5" s="24">
        <f>IFERROR(SUM('Data Sheet'!H42:K42),0)</f>
        <v>5616.5</v>
      </c>
    </row>
    <row r="6" spans="1:14" x14ac:dyDescent="0.3">
      <c r="B6" s="25" t="s">
        <v>21</v>
      </c>
      <c r="C6" s="25"/>
      <c r="D6" s="25" t="s">
        <v>84</v>
      </c>
      <c r="E6" s="26"/>
      <c r="F6" s="26"/>
      <c r="G6" s="26"/>
      <c r="H6" s="26"/>
      <c r="I6" s="26">
        <f t="shared" ref="F6:N6" si="0">I5/H5 - 1</f>
        <v>0.31506433139402423</v>
      </c>
      <c r="J6" s="26">
        <f t="shared" si="0"/>
        <v>0.27082370743427431</v>
      </c>
      <c r="K6" s="26">
        <f t="shared" si="0"/>
        <v>-0.17636017824396522</v>
      </c>
      <c r="L6" s="26">
        <f t="shared" si="0"/>
        <v>0.56285383214699558</v>
      </c>
      <c r="M6" s="26">
        <f t="shared" si="0"/>
        <v>-8.5123360024855765E-3</v>
      </c>
      <c r="N6" s="26">
        <f t="shared" si="0"/>
        <v>0</v>
      </c>
    </row>
    <row r="8" spans="1:14" x14ac:dyDescent="0.3">
      <c r="B8" t="s">
        <v>85</v>
      </c>
      <c r="D8" s="24">
        <f>IFERROR(SUM('Data Sheet'!B18,'Data Sheet'!B20:B22)-1*'Data Sheet'!B19,0)</f>
        <v>0</v>
      </c>
      <c r="E8" s="24">
        <f>IFERROR(SUM('Data Sheet'!C18,'Data Sheet'!C20:C22)-1*'Data Sheet'!C19,0)</f>
        <v>0</v>
      </c>
      <c r="F8" s="24">
        <f>IFERROR(SUM('Data Sheet'!D18,'Data Sheet'!D20:D22)-1*'Data Sheet'!D19,0)</f>
        <v>0</v>
      </c>
      <c r="G8" s="24">
        <f>IFERROR(SUM('Data Sheet'!E18,'Data Sheet'!E20:E22)-1*'Data Sheet'!E19,0)</f>
        <v>0</v>
      </c>
      <c r="H8" s="24">
        <f>IFERROR(SUM('Data Sheet'!F18,'Data Sheet'!F20:F22)-1*'Data Sheet'!F19,0)</f>
        <v>1560.42</v>
      </c>
      <c r="I8" s="24">
        <f>IFERROR(SUM('Data Sheet'!G18,'Data Sheet'!G20:G22)-1*'Data Sheet'!G19,0)</f>
        <v>2008.6599999999996</v>
      </c>
      <c r="J8" s="24">
        <f>IFERROR(SUM('Data Sheet'!H18,'Data Sheet'!H20:H22)-1*'Data Sheet'!H19,0)</f>
        <v>2680.0300000000007</v>
      </c>
      <c r="K8" s="24">
        <f>IFERROR(SUM('Data Sheet'!I18,'Data Sheet'!I20:I22)-1*'Data Sheet'!I19,0)</f>
        <v>2367.37</v>
      </c>
      <c r="L8" s="24">
        <f>IFERROR(SUM('Data Sheet'!J18,'Data Sheet'!J20:J22)-1*'Data Sheet'!J19,0)</f>
        <v>3955.1299999999997</v>
      </c>
      <c r="M8" s="24">
        <f>IFERROR(SUM('Data Sheet'!K18,'Data Sheet'!K20:K22)-1*'Data Sheet'!K19,0)</f>
        <v>3691.0899999999997</v>
      </c>
      <c r="N8" s="24">
        <f>IFERROR(SUM('Data Sheet'!H43:K43),0)</f>
        <v>4347.58</v>
      </c>
    </row>
    <row r="9" spans="1:14" x14ac:dyDescent="0.3">
      <c r="B9" s="25" t="s">
        <v>86</v>
      </c>
      <c r="C9" s="25"/>
      <c r="D9" s="26"/>
      <c r="E9" s="26"/>
      <c r="F9" s="26"/>
      <c r="G9" s="26"/>
      <c r="H9" s="26">
        <f t="shared" ref="E9:N9" si="1">H8/H5</f>
        <v>0.59258555999453155</v>
      </c>
      <c r="I9" s="26">
        <f t="shared" si="1"/>
        <v>0.58005475211384727</v>
      </c>
      <c r="J9" s="26">
        <f t="shared" si="1"/>
        <v>0.60899945690581758</v>
      </c>
      <c r="K9" s="26">
        <f t="shared" si="1"/>
        <v>0.65313965678971475</v>
      </c>
      <c r="L9" s="26">
        <f t="shared" si="1"/>
        <v>0.69820397124659284</v>
      </c>
      <c r="M9" s="26">
        <f t="shared" si="1"/>
        <v>0.6571868601442179</v>
      </c>
      <c r="N9" s="26">
        <f t="shared" si="1"/>
        <v>0.77407282115196296</v>
      </c>
    </row>
    <row r="11" spans="1:14" x14ac:dyDescent="0.3">
      <c r="B11" s="68" t="s">
        <v>87</v>
      </c>
      <c r="C11" s="68"/>
      <c r="D11" s="69">
        <f t="shared" ref="D11:N11" si="2">D5-D8</f>
        <v>0</v>
      </c>
      <c r="E11" s="69">
        <f t="shared" si="2"/>
        <v>0</v>
      </c>
      <c r="F11" s="69">
        <f t="shared" si="2"/>
        <v>0</v>
      </c>
      <c r="G11" s="69">
        <f t="shared" si="2"/>
        <v>0</v>
      </c>
      <c r="H11" s="69">
        <f t="shared" si="2"/>
        <v>1072.8199999999997</v>
      </c>
      <c r="I11" s="69">
        <f t="shared" si="2"/>
        <v>1454.2200000000005</v>
      </c>
      <c r="J11" s="69">
        <f t="shared" si="2"/>
        <v>1720.6799999999994</v>
      </c>
      <c r="K11" s="69">
        <f t="shared" si="2"/>
        <v>1257.23</v>
      </c>
      <c r="L11" s="69">
        <f t="shared" si="2"/>
        <v>1709.5900000000006</v>
      </c>
      <c r="M11" s="69">
        <f t="shared" si="2"/>
        <v>1925.4100000000003</v>
      </c>
      <c r="N11" s="69">
        <f t="shared" si="2"/>
        <v>1268.92</v>
      </c>
    </row>
    <row r="12" spans="1:14" x14ac:dyDescent="0.3">
      <c r="B12" s="28" t="s">
        <v>145</v>
      </c>
      <c r="C12" s="28"/>
      <c r="D12" s="28"/>
      <c r="E12" s="28"/>
      <c r="F12" s="28"/>
      <c r="G12" s="28"/>
      <c r="H12" s="28">
        <f t="shared" ref="E12:N12" si="3">(H5-H8)/H5</f>
        <v>0.40741444000546845</v>
      </c>
      <c r="I12" s="28">
        <f t="shared" si="3"/>
        <v>0.41994524788615267</v>
      </c>
      <c r="J12" s="28">
        <f t="shared" si="3"/>
        <v>0.39100054309418236</v>
      </c>
      <c r="K12" s="28">
        <f t="shared" si="3"/>
        <v>0.3468603432102853</v>
      </c>
      <c r="L12" s="28">
        <f t="shared" si="3"/>
        <v>0.30179602875340716</v>
      </c>
      <c r="M12" s="28">
        <f t="shared" si="3"/>
        <v>0.3428131398557821</v>
      </c>
      <c r="N12" s="28">
        <f t="shared" si="3"/>
        <v>0.22592717884803704</v>
      </c>
    </row>
    <row r="14" spans="1:14" x14ac:dyDescent="0.3">
      <c r="B14" t="s">
        <v>88</v>
      </c>
      <c r="D14" s="27">
        <f>IFERROR(SUM('Data Sheet'!B23:B24),0)</f>
        <v>0</v>
      </c>
      <c r="E14" s="27">
        <f>IFERROR(SUM('Data Sheet'!C23:C24),0)</f>
        <v>0</v>
      </c>
      <c r="F14" s="27">
        <f>IFERROR(SUM('Data Sheet'!D23:D24),0)</f>
        <v>0</v>
      </c>
      <c r="G14" s="27">
        <f>IFERROR(SUM('Data Sheet'!E23:E24),0)</f>
        <v>0</v>
      </c>
      <c r="H14" s="27">
        <f>IFERROR(SUM('Data Sheet'!F23:F24),0)</f>
        <v>117.36000000000001</v>
      </c>
      <c r="I14" s="27">
        <f>IFERROR(SUM('Data Sheet'!G23:G24),0)</f>
        <v>152</v>
      </c>
      <c r="J14" s="27">
        <f>IFERROR(SUM('Data Sheet'!H23:H24),0)</f>
        <v>210.35</v>
      </c>
      <c r="K14" s="27">
        <f>IFERROR(SUM('Data Sheet'!I23:I24),0)</f>
        <v>232.38</v>
      </c>
      <c r="L14" s="27">
        <f>IFERROR(SUM('Data Sheet'!J23:J24),0)</f>
        <v>376.52</v>
      </c>
      <c r="M14" s="27">
        <f>IFERROR(SUM('Data Sheet'!K23:K24),0)</f>
        <v>656.49</v>
      </c>
      <c r="N14" s="27">
        <f>IFERROR(SUM('Data Sheet'!L23:L24),0)</f>
        <v>0</v>
      </c>
    </row>
    <row r="15" spans="1:14" x14ac:dyDescent="0.3">
      <c r="B15" s="25" t="s">
        <v>89</v>
      </c>
      <c r="C15" s="25"/>
      <c r="D15" s="26"/>
      <c r="E15" s="26"/>
      <c r="F15" s="26"/>
      <c r="G15" s="26"/>
      <c r="H15" s="26">
        <f t="shared" ref="D15:N15" si="4">H14/H5</f>
        <v>4.4568668256596444E-2</v>
      </c>
      <c r="I15" s="26">
        <f t="shared" si="4"/>
        <v>4.3894099708912809E-2</v>
      </c>
      <c r="J15" s="26">
        <f t="shared" si="4"/>
        <v>4.7799105144397155E-2</v>
      </c>
      <c r="K15" s="26">
        <f t="shared" si="4"/>
        <v>6.4111902002979643E-2</v>
      </c>
      <c r="L15" s="26">
        <f t="shared" si="4"/>
        <v>6.64675394370772E-2</v>
      </c>
      <c r="M15" s="26">
        <f t="shared" si="4"/>
        <v>0.11688596100774504</v>
      </c>
      <c r="N15" s="26">
        <f t="shared" si="4"/>
        <v>0</v>
      </c>
    </row>
    <row r="17" spans="2:14" x14ac:dyDescent="0.3">
      <c r="B17" s="68" t="s">
        <v>90</v>
      </c>
      <c r="C17" s="68"/>
      <c r="D17" s="69">
        <f>D11-D14</f>
        <v>0</v>
      </c>
      <c r="E17" s="69">
        <f t="shared" ref="E17:N17" si="5">E11-E14</f>
        <v>0</v>
      </c>
      <c r="F17" s="69">
        <f t="shared" si="5"/>
        <v>0</v>
      </c>
      <c r="G17" s="69">
        <f t="shared" si="5"/>
        <v>0</v>
      </c>
      <c r="H17" s="69">
        <f t="shared" si="5"/>
        <v>955.4599999999997</v>
      </c>
      <c r="I17" s="69">
        <f t="shared" si="5"/>
        <v>1302.2200000000005</v>
      </c>
      <c r="J17" s="69">
        <f t="shared" si="5"/>
        <v>1510.3299999999995</v>
      </c>
      <c r="K17" s="69">
        <f t="shared" si="5"/>
        <v>1024.8499999999999</v>
      </c>
      <c r="L17" s="69">
        <f t="shared" si="5"/>
        <v>1333.0700000000006</v>
      </c>
      <c r="M17" s="69">
        <f t="shared" si="5"/>
        <v>1268.9200000000003</v>
      </c>
      <c r="N17" s="69">
        <f t="shared" si="5"/>
        <v>1268.92</v>
      </c>
    </row>
    <row r="18" spans="2:14" x14ac:dyDescent="0.3">
      <c r="B18" s="28" t="s">
        <v>149</v>
      </c>
      <c r="C18" s="28"/>
      <c r="D18" s="28"/>
      <c r="E18" s="28"/>
      <c r="F18" s="28"/>
      <c r="G18" s="28"/>
      <c r="H18" s="28">
        <f t="shared" ref="E18:N18" si="6">H17/H5</f>
        <v>0.362845771748872</v>
      </c>
      <c r="I18" s="28">
        <f t="shared" si="6"/>
        <v>0.37605114817723989</v>
      </c>
      <c r="J18" s="28">
        <f t="shared" si="6"/>
        <v>0.34320143794978525</v>
      </c>
      <c r="K18" s="28">
        <f t="shared" si="6"/>
        <v>0.28274844120730563</v>
      </c>
      <c r="L18" s="28">
        <f t="shared" si="6"/>
        <v>0.23532848931632994</v>
      </c>
      <c r="M18" s="28">
        <f t="shared" si="6"/>
        <v>0.22592717884803709</v>
      </c>
      <c r="N18" s="28">
        <f t="shared" si="6"/>
        <v>0.22592717884803704</v>
      </c>
    </row>
    <row r="19" spans="2:14" x14ac:dyDescent="0.3">
      <c r="B19" s="25" t="s">
        <v>91</v>
      </c>
      <c r="C19" s="25"/>
      <c r="D19" s="26"/>
      <c r="E19" s="26"/>
      <c r="F19" s="26"/>
      <c r="G19" s="26"/>
      <c r="H19" s="26">
        <f t="shared" ref="D19:N19" si="7">H17/H5</f>
        <v>0.362845771748872</v>
      </c>
      <c r="I19" s="26">
        <f t="shared" si="7"/>
        <v>0.37605114817723989</v>
      </c>
      <c r="J19" s="26">
        <f t="shared" si="7"/>
        <v>0.34320143794978525</v>
      </c>
      <c r="K19" s="26">
        <f t="shared" si="7"/>
        <v>0.28274844120730563</v>
      </c>
      <c r="L19" s="26">
        <f t="shared" si="7"/>
        <v>0.23532848931632994</v>
      </c>
      <c r="M19" s="26">
        <f t="shared" si="7"/>
        <v>0.22592717884803709</v>
      </c>
      <c r="N19" s="26">
        <f t="shared" si="7"/>
        <v>0.22592717884803704</v>
      </c>
    </row>
    <row r="21" spans="2:14" x14ac:dyDescent="0.3">
      <c r="B21" t="s">
        <v>10</v>
      </c>
      <c r="D21" s="27">
        <f>IFERROR('Data Sheet'!B27,0)</f>
        <v>0</v>
      </c>
      <c r="E21" s="27">
        <f>IFERROR('Data Sheet'!C27,0)</f>
        <v>0</v>
      </c>
      <c r="F21" s="27">
        <f>IFERROR('Data Sheet'!D27,0)</f>
        <v>0</v>
      </c>
      <c r="G21" s="27">
        <f>IFERROR('Data Sheet'!E27,0)</f>
        <v>0</v>
      </c>
      <c r="H21" s="27">
        <f>IFERROR('Data Sheet'!F27,0)</f>
        <v>7.18</v>
      </c>
      <c r="I21" s="27">
        <f>IFERROR('Data Sheet'!G27,0)</f>
        <v>3.41</v>
      </c>
      <c r="J21" s="27">
        <f>IFERROR('Data Sheet'!H27,0)</f>
        <v>5.24</v>
      </c>
      <c r="K21" s="27">
        <f>IFERROR('Data Sheet'!I27,0)</f>
        <v>7.45</v>
      </c>
      <c r="L21" s="27">
        <f>IFERROR('Data Sheet'!J27,0)</f>
        <v>26.2</v>
      </c>
      <c r="M21" s="27">
        <f>IFERROR('Data Sheet'!K27,0)</f>
        <v>42</v>
      </c>
      <c r="N21" s="27">
        <f>IFERROR('Data Sheet'!L27,0)</f>
        <v>0</v>
      </c>
    </row>
    <row r="22" spans="2:14" x14ac:dyDescent="0.3">
      <c r="B22" s="25" t="s">
        <v>92</v>
      </c>
      <c r="C22" s="25"/>
      <c r="D22" s="28"/>
      <c r="E22" s="28"/>
      <c r="F22" s="28"/>
      <c r="G22" s="28"/>
      <c r="H22" s="28">
        <f t="shared" ref="D22:N22" si="8">H21/H5</f>
        <v>2.7266789202655285E-3</v>
      </c>
      <c r="I22" s="28">
        <f t="shared" si="8"/>
        <v>9.8472947373284673E-4</v>
      </c>
      <c r="J22" s="28">
        <f t="shared" si="8"/>
        <v>1.190716952491757E-3</v>
      </c>
      <c r="K22" s="28">
        <f t="shared" si="8"/>
        <v>2.0553992164652653E-3</v>
      </c>
      <c r="L22" s="28">
        <f t="shared" si="8"/>
        <v>4.6251182759253764E-3</v>
      </c>
      <c r="M22" s="28">
        <f t="shared" si="8"/>
        <v>7.477966705243479E-3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0</v>
      </c>
      <c r="E24" s="27">
        <f>IFERROR('Data Sheet'!C26,0)</f>
        <v>0</v>
      </c>
      <c r="F24" s="27">
        <f>IFERROR('Data Sheet'!D26,0)</f>
        <v>0</v>
      </c>
      <c r="G24" s="27">
        <f>IFERROR('Data Sheet'!E26,0)</f>
        <v>0</v>
      </c>
      <c r="H24" s="27">
        <f>IFERROR('Data Sheet'!F26,0)</f>
        <v>94.59</v>
      </c>
      <c r="I24" s="27">
        <f>IFERROR('Data Sheet'!G26,0)</f>
        <v>98.78</v>
      </c>
      <c r="J24" s="27">
        <f>IFERROR('Data Sheet'!H26,0)</f>
        <v>110.3</v>
      </c>
      <c r="K24" s="27">
        <f>IFERROR('Data Sheet'!I26,0)</f>
        <v>146.74</v>
      </c>
      <c r="L24" s="27">
        <f>IFERROR('Data Sheet'!J26,0)</f>
        <v>344.57</v>
      </c>
      <c r="M24" s="27">
        <f>IFERROR('Data Sheet'!K26,0)</f>
        <v>377.87</v>
      </c>
      <c r="N24" s="27">
        <f>IFERROR(SUM('Data Sheet'!H45:K45),0)</f>
        <v>377.88</v>
      </c>
    </row>
    <row r="25" spans="2:14" x14ac:dyDescent="0.3">
      <c r="B25" s="25" t="s">
        <v>93</v>
      </c>
      <c r="D25" s="28"/>
      <c r="E25" s="28"/>
      <c r="F25" s="28"/>
      <c r="G25" s="28"/>
      <c r="H25" s="28">
        <f t="shared" ref="D25:N25" si="9">H24/H5</f>
        <v>3.5921526332578883E-2</v>
      </c>
      <c r="I25" s="28">
        <f t="shared" si="9"/>
        <v>2.8525389271357945E-2</v>
      </c>
      <c r="J25" s="28">
        <f t="shared" si="9"/>
        <v>2.5064137377832214E-2</v>
      </c>
      <c r="K25" s="28">
        <f t="shared" si="9"/>
        <v>4.0484467251558798E-2</v>
      </c>
      <c r="L25" s="28">
        <f t="shared" si="9"/>
        <v>6.082736657769492E-2</v>
      </c>
      <c r="M25" s="28">
        <f t="shared" si="9"/>
        <v>6.7278554259770321E-2</v>
      </c>
      <c r="N25" s="28">
        <f t="shared" si="9"/>
        <v>6.7280334728033478E-2</v>
      </c>
    </row>
    <row r="27" spans="2:14" x14ac:dyDescent="0.3">
      <c r="B27" s="68" t="s">
        <v>94</v>
      </c>
      <c r="C27" s="68"/>
      <c r="D27" s="70">
        <f>IFERROR(D17-SUM(D21,D24),0)</f>
        <v>0</v>
      </c>
      <c r="E27" s="70">
        <f t="shared" ref="E27:N27" si="10">IFERROR(E17-SUM(E21,E24),0)</f>
        <v>0</v>
      </c>
      <c r="F27" s="70">
        <f t="shared" si="10"/>
        <v>0</v>
      </c>
      <c r="G27" s="70">
        <f t="shared" si="10"/>
        <v>0</v>
      </c>
      <c r="H27" s="70">
        <f t="shared" si="10"/>
        <v>853.68999999999971</v>
      </c>
      <c r="I27" s="70">
        <f t="shared" si="10"/>
        <v>1200.0300000000004</v>
      </c>
      <c r="J27" s="70">
        <f t="shared" si="10"/>
        <v>1394.7899999999995</v>
      </c>
      <c r="K27" s="70">
        <f t="shared" si="10"/>
        <v>870.65999999999985</v>
      </c>
      <c r="L27" s="70">
        <f t="shared" si="10"/>
        <v>962.30000000000064</v>
      </c>
      <c r="M27" s="70">
        <f t="shared" si="10"/>
        <v>849.0500000000003</v>
      </c>
      <c r="N27" s="70">
        <f t="shared" si="10"/>
        <v>891.04000000000008</v>
      </c>
    </row>
    <row r="28" spans="2:14" x14ac:dyDescent="0.3">
      <c r="B28" s="25" t="s">
        <v>95</v>
      </c>
      <c r="C28" s="25"/>
      <c r="D28" s="28"/>
      <c r="E28" s="28"/>
      <c r="F28" s="28"/>
      <c r="G28" s="28"/>
      <c r="H28" s="28">
        <f t="shared" ref="D28:N28" si="11">H27/H5</f>
        <v>0.3241975664960276</v>
      </c>
      <c r="I28" s="28">
        <f t="shared" si="11"/>
        <v>0.34654102943214909</v>
      </c>
      <c r="J28" s="28">
        <f t="shared" si="11"/>
        <v>0.31694658361946126</v>
      </c>
      <c r="K28" s="28">
        <f t="shared" si="11"/>
        <v>0.24020857473928153</v>
      </c>
      <c r="L28" s="28">
        <f t="shared" si="11"/>
        <v>0.16987600446270965</v>
      </c>
      <c r="M28" s="28">
        <f t="shared" si="11"/>
        <v>0.15117065788302328</v>
      </c>
      <c r="N28" s="28">
        <f t="shared" si="11"/>
        <v>0.15864684412000357</v>
      </c>
    </row>
    <row r="30" spans="2:14" x14ac:dyDescent="0.3">
      <c r="B30" t="s">
        <v>12</v>
      </c>
      <c r="D30" s="24">
        <f>IFERROR('Data Sheet'!B29,0)</f>
        <v>0</v>
      </c>
      <c r="E30" s="24">
        <f>IFERROR('Data Sheet'!C29,0)</f>
        <v>0</v>
      </c>
      <c r="F30" s="24">
        <f>IFERROR('Data Sheet'!D29,0)</f>
        <v>0</v>
      </c>
      <c r="G30" s="24">
        <f>IFERROR('Data Sheet'!E29,0)</f>
        <v>0</v>
      </c>
      <c r="H30" s="24">
        <f>IFERROR('Data Sheet'!F29,0)</f>
        <v>220.01</v>
      </c>
      <c r="I30" s="24">
        <f>IFERROR('Data Sheet'!G29,0)</f>
        <v>337.85</v>
      </c>
      <c r="J30" s="24">
        <f>IFERROR('Data Sheet'!H29,0)</f>
        <v>406.89</v>
      </c>
      <c r="K30" s="24">
        <f>IFERROR('Data Sheet'!I29,0)</f>
        <v>273.54000000000002</v>
      </c>
      <c r="L30" s="24">
        <f>IFERROR('Data Sheet'!J29,0)</f>
        <v>360.08</v>
      </c>
      <c r="M30" s="24">
        <f>IFERROR('Data Sheet'!K29,0)</f>
        <v>364.13</v>
      </c>
      <c r="N30" s="24">
        <f>IFERROR(SUM('Data Sheet'!H48:K48),0)</f>
        <v>364.12</v>
      </c>
    </row>
    <row r="31" spans="2:14" x14ac:dyDescent="0.3">
      <c r="B31" s="25" t="s">
        <v>97</v>
      </c>
      <c r="C31" s="25"/>
      <c r="D31" s="26"/>
      <c r="E31" s="26"/>
      <c r="F31" s="26"/>
      <c r="G31" s="26"/>
      <c r="H31" s="26">
        <f t="shared" ref="E31:N31" si="12">H30/H27</f>
        <v>0.2577165013060948</v>
      </c>
      <c r="I31" s="26">
        <f t="shared" si="12"/>
        <v>0.28153462830095904</v>
      </c>
      <c r="J31" s="26">
        <f t="shared" si="12"/>
        <v>0.29172133439442505</v>
      </c>
      <c r="K31" s="26">
        <f t="shared" si="12"/>
        <v>0.31417545310454148</v>
      </c>
      <c r="L31" s="26">
        <f t="shared" si="12"/>
        <v>0.37418684401953628</v>
      </c>
      <c r="M31" s="26">
        <f t="shared" si="12"/>
        <v>0.42886755785878317</v>
      </c>
      <c r="N31" s="26">
        <f t="shared" si="12"/>
        <v>0.40864607649488233</v>
      </c>
    </row>
    <row r="33" spans="1:14" x14ac:dyDescent="0.3">
      <c r="B33" s="68" t="s">
        <v>98</v>
      </c>
      <c r="C33" s="68"/>
      <c r="D33" s="70">
        <f>IFERROR(D27-D30,0)</f>
        <v>0</v>
      </c>
      <c r="E33" s="70">
        <f t="shared" ref="E33:N33" si="13">IFERROR(E27-E30,0)</f>
        <v>0</v>
      </c>
      <c r="F33" s="70">
        <f t="shared" si="13"/>
        <v>0</v>
      </c>
      <c r="G33" s="70">
        <f t="shared" si="13"/>
        <v>0</v>
      </c>
      <c r="H33" s="70">
        <f t="shared" si="13"/>
        <v>633.67999999999972</v>
      </c>
      <c r="I33" s="70">
        <f t="shared" si="13"/>
        <v>862.1800000000004</v>
      </c>
      <c r="J33" s="70">
        <f t="shared" si="13"/>
        <v>987.89999999999952</v>
      </c>
      <c r="K33" s="70">
        <f t="shared" si="13"/>
        <v>597.11999999999989</v>
      </c>
      <c r="L33" s="70">
        <f t="shared" si="13"/>
        <v>602.22000000000071</v>
      </c>
      <c r="M33" s="70">
        <f t="shared" si="13"/>
        <v>484.9200000000003</v>
      </c>
      <c r="N33" s="70">
        <f t="shared" si="13"/>
        <v>526.92000000000007</v>
      </c>
    </row>
    <row r="34" spans="1:14" x14ac:dyDescent="0.3">
      <c r="B34" s="26" t="s">
        <v>99</v>
      </c>
      <c r="C34" s="26"/>
      <c r="D34" s="26"/>
      <c r="E34" s="26"/>
      <c r="F34" s="26"/>
      <c r="G34" s="26"/>
      <c r="H34" s="26">
        <f t="shared" ref="D34:N34" si="14">H33/H5</f>
        <v>0.24064650392672138</v>
      </c>
      <c r="I34" s="26">
        <f t="shared" si="14"/>
        <v>0.24897772951993727</v>
      </c>
      <c r="J34" s="26">
        <f t="shared" si="14"/>
        <v>0.22448650331423781</v>
      </c>
      <c r="K34" s="26">
        <f t="shared" si="14"/>
        <v>0.16474093693097167</v>
      </c>
      <c r="L34" s="26">
        <f t="shared" si="14"/>
        <v>0.10631063847815968</v>
      </c>
      <c r="M34" s="26">
        <f t="shared" si="14"/>
        <v>8.6338467016825474E-2</v>
      </c>
      <c r="N34" s="26">
        <f t="shared" si="14"/>
        <v>9.3816433722068923E-2</v>
      </c>
    </row>
    <row r="36" spans="1:14" x14ac:dyDescent="0.3">
      <c r="B36" s="24" t="s">
        <v>63</v>
      </c>
      <c r="C36" s="24"/>
      <c r="D36" s="24">
        <f>IFERROR('Data Sheet'!B93,0)</f>
        <v>0</v>
      </c>
      <c r="E36" s="24">
        <f>IFERROR('Data Sheet'!C93,0)</f>
        <v>0</v>
      </c>
      <c r="F36" s="24">
        <f>IFERROR('Data Sheet'!D93,0)</f>
        <v>0</v>
      </c>
      <c r="G36" s="24">
        <f>IFERROR('Data Sheet'!E93,0)</f>
        <v>0</v>
      </c>
      <c r="H36" s="24">
        <f>IFERROR('Data Sheet'!F93,0)</f>
        <v>15.49</v>
      </c>
      <c r="I36" s="24">
        <f>IFERROR('Data Sheet'!G93,0)</f>
        <v>16.36</v>
      </c>
      <c r="J36" s="24">
        <f>IFERROR('Data Sheet'!H93,0)</f>
        <v>16.43</v>
      </c>
      <c r="K36" s="24">
        <f>IFERROR('Data Sheet'!I93,0)</f>
        <v>16.47</v>
      </c>
      <c r="L36" s="24">
        <f>IFERROR('Data Sheet'!J93,0)</f>
        <v>16.47</v>
      </c>
      <c r="M36" s="24">
        <f>IFERROR('Data Sheet'!K93,0)</f>
        <v>16.48</v>
      </c>
    </row>
    <row r="38" spans="1:14" x14ac:dyDescent="0.3">
      <c r="B38" t="s">
        <v>100</v>
      </c>
      <c r="D38" s="24">
        <f>IFERROR(D33/D36,0)</f>
        <v>0</v>
      </c>
      <c r="E38" s="24">
        <f t="shared" ref="E38:M38" si="15">IFERROR(E33/E36,0)</f>
        <v>0</v>
      </c>
      <c r="F38" s="24">
        <f t="shared" si="15"/>
        <v>0</v>
      </c>
      <c r="G38" s="24">
        <f t="shared" si="15"/>
        <v>0</v>
      </c>
      <c r="H38" s="24">
        <f t="shared" si="15"/>
        <v>40.908973531310501</v>
      </c>
      <c r="I38" s="24">
        <f t="shared" si="15"/>
        <v>52.700488997555041</v>
      </c>
      <c r="J38" s="24">
        <f t="shared" si="15"/>
        <v>60.127814972611048</v>
      </c>
      <c r="K38" s="24">
        <f t="shared" si="15"/>
        <v>36.255009107468119</v>
      </c>
      <c r="L38" s="24">
        <f t="shared" si="15"/>
        <v>36.564663023679465</v>
      </c>
      <c r="M38" s="24">
        <f t="shared" si="15"/>
        <v>29.424757281553415</v>
      </c>
    </row>
    <row r="39" spans="1:14" x14ac:dyDescent="0.3">
      <c r="B39" s="26" t="s">
        <v>102</v>
      </c>
      <c r="C39" s="26"/>
      <c r="D39" s="26"/>
      <c r="E39" s="26"/>
      <c r="F39" s="26"/>
      <c r="G39" s="26"/>
      <c r="H39" s="26"/>
      <c r="I39" s="26">
        <f t="shared" ref="F39:M39" si="16">I38/H38-1</f>
        <v>0.28823787175250604</v>
      </c>
      <c r="J39" s="26">
        <f t="shared" si="16"/>
        <v>0.14093466903885066</v>
      </c>
      <c r="K39" s="26">
        <f t="shared" si="16"/>
        <v>-0.39703431558285096</v>
      </c>
      <c r="L39" s="26">
        <f t="shared" si="16"/>
        <v>8.5409967845673229E-3</v>
      </c>
      <c r="M39" s="26">
        <f t="shared" si="16"/>
        <v>-0.19526792131250359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101</v>
      </c>
      <c r="D41" s="24">
        <f>IFERROR('Data Sheet'!B31/'Historical FS'!D36,0)</f>
        <v>0</v>
      </c>
      <c r="E41" s="24">
        <f>IFERROR('Data Sheet'!C31/'Historical FS'!E36,0)</f>
        <v>0</v>
      </c>
      <c r="F41" s="24">
        <f>IFERROR('Data Sheet'!D31/'Historical FS'!F36,0)</f>
        <v>0</v>
      </c>
      <c r="G41" s="24">
        <f>IFERROR('Data Sheet'!E31/'Historical FS'!G36,0)</f>
        <v>0</v>
      </c>
      <c r="H41" s="24">
        <f>IFERROR('Data Sheet'!F31/'Historical FS'!H36,0)</f>
        <v>0</v>
      </c>
      <c r="I41" s="24">
        <f>IFERROR('Data Sheet'!G31/'Historical FS'!I36,0)</f>
        <v>0</v>
      </c>
      <c r="J41" s="24">
        <f>IFERROR('Data Sheet'!H31/'Historical FS'!J36,0)</f>
        <v>0</v>
      </c>
      <c r="K41" s="24">
        <f>IFERROR('Data Sheet'!I31/'Historical FS'!K36,0)</f>
        <v>0</v>
      </c>
      <c r="L41" s="24">
        <f>IFERROR('Data Sheet'!J31/'Historical FS'!L36,0)</f>
        <v>20</v>
      </c>
      <c r="M41" s="24">
        <f>IFERROR('Data Sheet'!K31/'Historical FS'!M36,0)</f>
        <v>18</v>
      </c>
    </row>
    <row r="42" spans="1:14" x14ac:dyDescent="0.3">
      <c r="B42" s="26" t="s">
        <v>103</v>
      </c>
      <c r="C42" s="26"/>
      <c r="D42" s="26">
        <f>IFERROR(D41/D38,0)</f>
        <v>0</v>
      </c>
      <c r="E42" s="26">
        <f t="shared" ref="E42:M42" si="17">IFERROR(E41/E38,0)</f>
        <v>0</v>
      </c>
      <c r="F42" s="26">
        <f t="shared" si="17"/>
        <v>0</v>
      </c>
      <c r="G42" s="26">
        <f t="shared" si="17"/>
        <v>0</v>
      </c>
      <c r="H42" s="26">
        <f t="shared" si="17"/>
        <v>0</v>
      </c>
      <c r="I42" s="26">
        <f t="shared" si="17"/>
        <v>0</v>
      </c>
      <c r="J42" s="26">
        <f t="shared" si="17"/>
        <v>0</v>
      </c>
      <c r="K42" s="26">
        <f t="shared" si="17"/>
        <v>0</v>
      </c>
      <c r="L42" s="26">
        <f t="shared" si="17"/>
        <v>0.54697618810401438</v>
      </c>
      <c r="M42" s="26">
        <f t="shared" si="17"/>
        <v>0.61172976985894545</v>
      </c>
    </row>
    <row r="44" spans="1:14" x14ac:dyDescent="0.3">
      <c r="B44" s="30" t="s">
        <v>104</v>
      </c>
      <c r="D44" s="29">
        <f>IFERROR(IF(D41&lt;D38,1-D41/D38,0),0)</f>
        <v>0</v>
      </c>
      <c r="E44" s="29">
        <f t="shared" ref="E44:M44" si="18">IFERROR(IF(E41&lt;E38,1-E41/E38,0),0)</f>
        <v>0</v>
      </c>
      <c r="F44" s="29">
        <f t="shared" si="18"/>
        <v>0</v>
      </c>
      <c r="G44" s="29">
        <f t="shared" si="18"/>
        <v>0</v>
      </c>
      <c r="H44" s="29">
        <f t="shared" si="18"/>
        <v>1</v>
      </c>
      <c r="I44" s="29">
        <f t="shared" si="18"/>
        <v>1</v>
      </c>
      <c r="J44" s="29">
        <f t="shared" si="18"/>
        <v>1</v>
      </c>
      <c r="K44" s="29">
        <f t="shared" si="18"/>
        <v>1</v>
      </c>
      <c r="L44" s="29">
        <f t="shared" si="18"/>
        <v>0.45302381189598562</v>
      </c>
      <c r="M44" s="29">
        <f t="shared" si="18"/>
        <v>0.38827023014105455</v>
      </c>
    </row>
    <row r="47" spans="1:14" x14ac:dyDescent="0.3">
      <c r="A47" t="s">
        <v>83</v>
      </c>
      <c r="B47" s="66" t="s">
        <v>105</v>
      </c>
      <c r="C47" s="66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</row>
    <row r="48" spans="1:14" x14ac:dyDescent="0.3">
      <c r="B48" s="6" t="s">
        <v>23</v>
      </c>
      <c r="D48" s="24">
        <f>IFERROR('Data Sheet'!B57,0)</f>
        <v>0</v>
      </c>
      <c r="E48" s="24">
        <f>IFERROR('Data Sheet'!C57,0)</f>
        <v>0</v>
      </c>
      <c r="F48" s="24">
        <f>IFERROR('Data Sheet'!D57,0)</f>
        <v>0</v>
      </c>
      <c r="G48" s="24">
        <f>IFERROR('Data Sheet'!E57,0)</f>
        <v>0</v>
      </c>
      <c r="H48" s="24">
        <f>IFERROR('Data Sheet'!F57,0)</f>
        <v>15.5</v>
      </c>
      <c r="I48" s="24">
        <f>IFERROR('Data Sheet'!G57,0)</f>
        <v>16.36</v>
      </c>
      <c r="J48" s="24">
        <f>IFERROR('Data Sheet'!H57,0)</f>
        <v>16.43</v>
      </c>
      <c r="K48" s="24">
        <f>IFERROR('Data Sheet'!I57,0)</f>
        <v>16.47</v>
      </c>
      <c r="L48" s="24">
        <f>IFERROR('Data Sheet'!J57,0)</f>
        <v>16.47</v>
      </c>
      <c r="M48" s="24">
        <f>IFERROR('Data Sheet'!K57,0)</f>
        <v>16.48</v>
      </c>
    </row>
    <row r="49" spans="1:13" x14ac:dyDescent="0.3">
      <c r="B49" s="6" t="s">
        <v>24</v>
      </c>
      <c r="D49" s="24">
        <f>IFERROR('Data Sheet'!B58,0)</f>
        <v>0</v>
      </c>
      <c r="E49" s="24">
        <f>IFERROR('Data Sheet'!C58,0)</f>
        <v>0</v>
      </c>
      <c r="F49" s="24">
        <f>IFERROR('Data Sheet'!D58,0)</f>
        <v>0</v>
      </c>
      <c r="G49" s="24">
        <f>IFERROR('Data Sheet'!E58,0)</f>
        <v>0</v>
      </c>
      <c r="H49" s="24">
        <f>IFERROR('Data Sheet'!F58,0)</f>
        <v>3630.74</v>
      </c>
      <c r="I49" s="24">
        <f>IFERROR('Data Sheet'!G58,0)</f>
        <v>5886.88</v>
      </c>
      <c r="J49" s="24">
        <f>IFERROR('Data Sheet'!H58,0)</f>
        <v>7141.19</v>
      </c>
      <c r="K49" s="24">
        <f>IFERROR('Data Sheet'!I58,0)</f>
        <v>7942.25</v>
      </c>
      <c r="L49" s="24">
        <f>IFERROR('Data Sheet'!J58,0)</f>
        <v>8707.3700000000008</v>
      </c>
      <c r="M49" s="24">
        <f>IFERROR('Data Sheet'!K58,0)</f>
        <v>9134.27</v>
      </c>
    </row>
    <row r="50" spans="1:13" x14ac:dyDescent="0.3">
      <c r="B50" s="6" t="s">
        <v>60</v>
      </c>
      <c r="D50" s="24">
        <f>IFERROR('Data Sheet'!B59,0)</f>
        <v>0</v>
      </c>
      <c r="E50" s="24">
        <f>IFERROR('Data Sheet'!C59,0)</f>
        <v>0</v>
      </c>
      <c r="F50" s="24">
        <f>IFERROR('Data Sheet'!D59,0)</f>
        <v>0</v>
      </c>
      <c r="G50" s="24">
        <f>IFERROR('Data Sheet'!E59,0)</f>
        <v>0</v>
      </c>
      <c r="H50" s="24">
        <f>IFERROR('Data Sheet'!F59,0)</f>
        <v>4.96</v>
      </c>
      <c r="I50" s="24">
        <f>IFERROR('Data Sheet'!G59,0)</f>
        <v>5</v>
      </c>
      <c r="J50" s="24">
        <f>IFERROR('Data Sheet'!H59,0)</f>
        <v>4.74</v>
      </c>
      <c r="K50" s="24">
        <f>IFERROR('Data Sheet'!I59,0)</f>
        <v>4.45</v>
      </c>
      <c r="L50" s="24">
        <f>IFERROR('Data Sheet'!J59,0)</f>
        <v>372.17</v>
      </c>
      <c r="M50" s="24">
        <f>IFERROR('Data Sheet'!K59,0)</f>
        <v>313.73</v>
      </c>
    </row>
    <row r="51" spans="1:13" x14ac:dyDescent="0.3">
      <c r="B51" s="6" t="s">
        <v>61</v>
      </c>
      <c r="D51" s="24">
        <f>IFERROR('Data Sheet'!B60,0)</f>
        <v>0</v>
      </c>
      <c r="E51" s="24">
        <f>IFERROR('Data Sheet'!C60,0)</f>
        <v>0</v>
      </c>
      <c r="F51" s="24">
        <f>IFERROR('Data Sheet'!D60,0)</f>
        <v>0</v>
      </c>
      <c r="G51" s="24">
        <f>IFERROR('Data Sheet'!E60,0)</f>
        <v>0</v>
      </c>
      <c r="H51" s="24">
        <f>IFERROR('Data Sheet'!F60,0)</f>
        <v>434.83</v>
      </c>
      <c r="I51" s="24">
        <f>IFERROR('Data Sheet'!G60,0)</f>
        <v>587.84</v>
      </c>
      <c r="J51" s="24">
        <f>IFERROR('Data Sheet'!H60,0)</f>
        <v>671.27</v>
      </c>
      <c r="K51" s="24">
        <f>IFERROR('Data Sheet'!I60,0)</f>
        <v>814.37</v>
      </c>
      <c r="L51" s="24">
        <f>IFERROR('Data Sheet'!J60,0)</f>
        <v>1514.8</v>
      </c>
      <c r="M51" s="24">
        <f>IFERROR('Data Sheet'!K60,0)</f>
        <v>1760.44</v>
      </c>
    </row>
    <row r="52" spans="1:13" ht="15" thickBot="1" x14ac:dyDescent="0.35">
      <c r="A52" s="53"/>
      <c r="B52" s="71" t="s">
        <v>106</v>
      </c>
      <c r="C52" s="72"/>
      <c r="D52" s="73">
        <f>IFERROR('Data Sheet'!B61,0)</f>
        <v>0</v>
      </c>
      <c r="E52" s="73">
        <f>IFERROR('Data Sheet'!C61,0)</f>
        <v>0</v>
      </c>
      <c r="F52" s="73">
        <f>IFERROR('Data Sheet'!D61,0)</f>
        <v>0</v>
      </c>
      <c r="G52" s="73">
        <f>IFERROR('Data Sheet'!E61,0)</f>
        <v>0</v>
      </c>
      <c r="H52" s="73">
        <f>IFERROR('Data Sheet'!F61,0)</f>
        <v>4086.03</v>
      </c>
      <c r="I52" s="73">
        <f>IFERROR('Data Sheet'!G61,0)</f>
        <v>6496.08</v>
      </c>
      <c r="J52" s="73">
        <f>IFERROR('Data Sheet'!H61,0)</f>
        <v>7833.63</v>
      </c>
      <c r="K52" s="73">
        <f>IFERROR('Data Sheet'!I61,0)</f>
        <v>8777.5400000000009</v>
      </c>
      <c r="L52" s="73">
        <f>IFERROR('Data Sheet'!J61,0)</f>
        <v>10610.81</v>
      </c>
      <c r="M52" s="73">
        <f>IFERROR('Data Sheet'!K61,0)</f>
        <v>11224.92</v>
      </c>
    </row>
    <row r="53" spans="1:13" x14ac:dyDescent="0.3">
      <c r="B53" s="1"/>
    </row>
    <row r="54" spans="1:13" x14ac:dyDescent="0.3">
      <c r="B54" s="6" t="s">
        <v>108</v>
      </c>
      <c r="D54" s="24">
        <f>IFERROR('Data Sheet'!B62,0)</f>
        <v>0</v>
      </c>
      <c r="E54" s="24">
        <f>IFERROR('Data Sheet'!C62,0)</f>
        <v>0</v>
      </c>
      <c r="F54" s="24">
        <f>IFERROR('Data Sheet'!D62,0)</f>
        <v>0</v>
      </c>
      <c r="G54" s="24">
        <f>IFERROR('Data Sheet'!E62,0)</f>
        <v>0</v>
      </c>
      <c r="H54" s="24">
        <f>IFERROR('Data Sheet'!F62,0)</f>
        <v>968.1</v>
      </c>
      <c r="I54" s="24">
        <f>IFERROR('Data Sheet'!G62,0)</f>
        <v>954.23</v>
      </c>
      <c r="J54" s="24">
        <f>IFERROR('Data Sheet'!H62,0)</f>
        <v>1502.19</v>
      </c>
      <c r="K54" s="24">
        <f>IFERROR('Data Sheet'!I62,0)</f>
        <v>1570.55</v>
      </c>
      <c r="L54" s="24">
        <f>IFERROR('Data Sheet'!J62,0)</f>
        <v>3946.75</v>
      </c>
      <c r="M54" s="24">
        <f>IFERROR('Data Sheet'!K62,0)</f>
        <v>4147.24</v>
      </c>
    </row>
    <row r="55" spans="1:13" x14ac:dyDescent="0.3">
      <c r="B55" s="6" t="s">
        <v>27</v>
      </c>
      <c r="D55" s="24">
        <f>IFERROR('Data Sheet'!B63,0)</f>
        <v>0</v>
      </c>
      <c r="E55" s="24">
        <f>IFERROR('Data Sheet'!C63,0)</f>
        <v>0</v>
      </c>
      <c r="F55" s="24">
        <f>IFERROR('Data Sheet'!D63,0)</f>
        <v>0</v>
      </c>
      <c r="G55" s="24">
        <f>IFERROR('Data Sheet'!E63,0)</f>
        <v>0</v>
      </c>
      <c r="H55" s="24">
        <f>IFERROR('Data Sheet'!F63,0)</f>
        <v>188.47</v>
      </c>
      <c r="I55" s="24">
        <f>IFERROR('Data Sheet'!G63,0)</f>
        <v>337.81</v>
      </c>
      <c r="J55" s="24">
        <f>IFERROR('Data Sheet'!H63,0)</f>
        <v>190.75</v>
      </c>
      <c r="K55" s="24">
        <f>IFERROR('Data Sheet'!I63,0)</f>
        <v>177.22</v>
      </c>
      <c r="L55" s="24">
        <f>IFERROR('Data Sheet'!J63,0)</f>
        <v>237.88</v>
      </c>
      <c r="M55" s="24">
        <f>IFERROR('Data Sheet'!K63,0)</f>
        <v>150.56</v>
      </c>
    </row>
    <row r="56" spans="1:13" x14ac:dyDescent="0.3">
      <c r="B56" s="6" t="s">
        <v>28</v>
      </c>
      <c r="D56" s="24">
        <f>IFERROR('Data Sheet'!B64,0)</f>
        <v>0</v>
      </c>
      <c r="E56" s="24">
        <f>IFERROR('Data Sheet'!C64,0)</f>
        <v>0</v>
      </c>
      <c r="F56" s="24">
        <f>IFERROR('Data Sheet'!D64,0)</f>
        <v>0</v>
      </c>
      <c r="G56" s="24">
        <f>IFERROR('Data Sheet'!E64,0)</f>
        <v>0</v>
      </c>
      <c r="H56" s="24">
        <f>IFERROR('Data Sheet'!F64,0)</f>
        <v>0</v>
      </c>
      <c r="I56" s="24">
        <f>IFERROR('Data Sheet'!G64,0)</f>
        <v>0</v>
      </c>
      <c r="J56" s="24">
        <f>IFERROR('Data Sheet'!H64,0)</f>
        <v>154.87</v>
      </c>
      <c r="K56" s="24">
        <f>IFERROR('Data Sheet'!I64,0)</f>
        <v>0</v>
      </c>
      <c r="L56" s="24">
        <f>IFERROR('Data Sheet'!J64,0)</f>
        <v>0</v>
      </c>
      <c r="M56" s="24">
        <f>IFERROR('Data Sheet'!K64,0)</f>
        <v>0</v>
      </c>
    </row>
    <row r="57" spans="1:13" x14ac:dyDescent="0.3">
      <c r="B57" s="6" t="s">
        <v>62</v>
      </c>
      <c r="D57" s="24">
        <f>IFERROR('Data Sheet'!B65-SUM('Data Sheet'!B67:B69),0)</f>
        <v>0</v>
      </c>
      <c r="E57" s="24">
        <f>IFERROR('Data Sheet'!C65-SUM('Data Sheet'!C67:C69),0)</f>
        <v>0</v>
      </c>
      <c r="F57" s="24">
        <f>IFERROR('Data Sheet'!D65-SUM('Data Sheet'!D67:D69),0)</f>
        <v>0</v>
      </c>
      <c r="G57" s="24">
        <f>IFERROR('Data Sheet'!E65-SUM('Data Sheet'!E67:E69),0)</f>
        <v>0</v>
      </c>
      <c r="H57" s="24">
        <f>IFERROR('Data Sheet'!F65-SUM('Data Sheet'!F67:F69),0)</f>
        <v>246.19999999999982</v>
      </c>
      <c r="I57" s="24">
        <f>IFERROR('Data Sheet'!G65-SUM('Data Sheet'!G67:G69),0)</f>
        <v>252.14999999999964</v>
      </c>
      <c r="J57" s="24">
        <f>IFERROR('Data Sheet'!H65-SUM('Data Sheet'!H67:H69),0)</f>
        <v>631.89999999999964</v>
      </c>
      <c r="K57" s="24">
        <f>IFERROR('Data Sheet'!I65-SUM('Data Sheet'!I67:I69),0)</f>
        <v>442.40000000000055</v>
      </c>
      <c r="L57" s="24">
        <f>IFERROR('Data Sheet'!J65-SUM('Data Sheet'!J67:J69),0)</f>
        <v>1372.8199999999997</v>
      </c>
      <c r="M57" s="24">
        <f>IFERROR('Data Sheet'!K65-SUM('Data Sheet'!K67:K69),0)</f>
        <v>1169.1599999999999</v>
      </c>
    </row>
    <row r="58" spans="1:13" x14ac:dyDescent="0.3">
      <c r="B58" s="74" t="s">
        <v>109</v>
      </c>
      <c r="C58" s="75"/>
      <c r="D58" s="70">
        <f>IFERROR(SUM(D54:D57),0)</f>
        <v>0</v>
      </c>
      <c r="E58" s="70">
        <f t="shared" ref="E58:M58" si="19">IFERROR(SUM(E54:E57),0)</f>
        <v>0</v>
      </c>
      <c r="F58" s="70">
        <f t="shared" si="19"/>
        <v>0</v>
      </c>
      <c r="G58" s="70">
        <f t="shared" si="19"/>
        <v>0</v>
      </c>
      <c r="H58" s="70">
        <f t="shared" si="19"/>
        <v>1402.7699999999998</v>
      </c>
      <c r="I58" s="70">
        <f t="shared" si="19"/>
        <v>1544.1899999999996</v>
      </c>
      <c r="J58" s="70">
        <f t="shared" si="19"/>
        <v>2479.7099999999996</v>
      </c>
      <c r="K58" s="70">
        <f t="shared" si="19"/>
        <v>2190.1700000000005</v>
      </c>
      <c r="L58" s="70">
        <f t="shared" si="19"/>
        <v>5557.45</v>
      </c>
      <c r="M58" s="70">
        <f t="shared" si="19"/>
        <v>5466.96</v>
      </c>
    </row>
    <row r="59" spans="1:13" x14ac:dyDescent="0.3">
      <c r="B59" s="1"/>
    </row>
    <row r="60" spans="1:13" x14ac:dyDescent="0.3">
      <c r="B60" s="6" t="s">
        <v>67</v>
      </c>
      <c r="D60" s="24">
        <f>IFERROR('Data Sheet'!B67,0)</f>
        <v>0</v>
      </c>
      <c r="E60" s="24">
        <f>IFERROR('Data Sheet'!C67,0)</f>
        <v>0</v>
      </c>
      <c r="F60" s="24">
        <f>IFERROR('Data Sheet'!D67,0)</f>
        <v>0</v>
      </c>
      <c r="G60" s="24">
        <f>IFERROR('Data Sheet'!E67,0)</f>
        <v>0</v>
      </c>
      <c r="H60" s="24">
        <f>IFERROR('Data Sheet'!F67,0)</f>
        <v>601.79</v>
      </c>
      <c r="I60" s="24">
        <f>IFERROR('Data Sheet'!G67,0)</f>
        <v>670.97</v>
      </c>
      <c r="J60" s="24">
        <f>IFERROR('Data Sheet'!H67,0)</f>
        <v>1074.81</v>
      </c>
      <c r="K60" s="24">
        <f>IFERROR('Data Sheet'!I67,0)</f>
        <v>871.39</v>
      </c>
      <c r="L60" s="24">
        <f>IFERROR('Data Sheet'!J67,0)</f>
        <v>1558.69</v>
      </c>
      <c r="M60" s="24">
        <f>IFERROR('Data Sheet'!K67,0)</f>
        <v>1516.53</v>
      </c>
    </row>
    <row r="61" spans="1:13" x14ac:dyDescent="0.3">
      <c r="B61" s="6" t="s">
        <v>43</v>
      </c>
      <c r="D61" s="24">
        <f>IFERROR('Data Sheet'!B68,0)</f>
        <v>0</v>
      </c>
      <c r="E61" s="24">
        <f>IFERROR('Data Sheet'!C68,0)</f>
        <v>0</v>
      </c>
      <c r="F61" s="24">
        <f>IFERROR('Data Sheet'!D68,0)</f>
        <v>0</v>
      </c>
      <c r="G61" s="24">
        <f>IFERROR('Data Sheet'!E68,0)</f>
        <v>0</v>
      </c>
      <c r="H61" s="24">
        <f>IFERROR('Data Sheet'!F68,0)</f>
        <v>756.28</v>
      </c>
      <c r="I61" s="24">
        <f>IFERROR('Data Sheet'!G68,0)</f>
        <v>1275.17</v>
      </c>
      <c r="J61" s="24">
        <f>IFERROR('Data Sheet'!H68,0)</f>
        <v>1185.67</v>
      </c>
      <c r="K61" s="24">
        <f>IFERROR('Data Sheet'!I68,0)</f>
        <v>1945.3</v>
      </c>
      <c r="L61" s="24">
        <f>IFERROR('Data Sheet'!J68,0)</f>
        <v>1655.24</v>
      </c>
      <c r="M61" s="24">
        <f>IFERROR('Data Sheet'!K68,0)</f>
        <v>1685.22</v>
      </c>
    </row>
    <row r="62" spans="1:13" x14ac:dyDescent="0.3">
      <c r="B62" s="4" t="s">
        <v>76</v>
      </c>
      <c r="D62" s="24">
        <f>IFERROR('Data Sheet'!B69,0)</f>
        <v>0</v>
      </c>
      <c r="E62" s="24">
        <f>IFERROR('Data Sheet'!C69,0)</f>
        <v>0</v>
      </c>
      <c r="F62" s="24">
        <f>IFERROR('Data Sheet'!D69,0)</f>
        <v>0</v>
      </c>
      <c r="G62" s="24">
        <f>IFERROR('Data Sheet'!E69,0)</f>
        <v>0</v>
      </c>
      <c r="H62" s="24">
        <f>IFERROR('Data Sheet'!F69,0)</f>
        <v>1325.19</v>
      </c>
      <c r="I62" s="24">
        <f>IFERROR('Data Sheet'!G69,0)</f>
        <v>3005.75</v>
      </c>
      <c r="J62" s="24">
        <f>IFERROR('Data Sheet'!H69,0)</f>
        <v>3093.44</v>
      </c>
      <c r="K62" s="24">
        <f>IFERROR('Data Sheet'!I69,0)</f>
        <v>3770.68</v>
      </c>
      <c r="L62" s="24">
        <f>IFERROR('Data Sheet'!J69,0)</f>
        <v>1839.43</v>
      </c>
      <c r="M62" s="24">
        <f>IFERROR('Data Sheet'!K69,0)</f>
        <v>2556.21</v>
      </c>
    </row>
    <row r="63" spans="1:13" x14ac:dyDescent="0.3">
      <c r="B63" s="74" t="s">
        <v>110</v>
      </c>
      <c r="C63" s="75"/>
      <c r="D63" s="70">
        <f>IFERROR(SUM(D60:D62),0)</f>
        <v>0</v>
      </c>
      <c r="E63" s="70">
        <f t="shared" ref="E63:M63" si="20">IFERROR(SUM(E60:E62),0)</f>
        <v>0</v>
      </c>
      <c r="F63" s="70">
        <f t="shared" si="20"/>
        <v>0</v>
      </c>
      <c r="G63" s="70">
        <f t="shared" si="20"/>
        <v>0</v>
      </c>
      <c r="H63" s="70">
        <f t="shared" si="20"/>
        <v>2683.26</v>
      </c>
      <c r="I63" s="70">
        <f t="shared" si="20"/>
        <v>4951.8900000000003</v>
      </c>
      <c r="J63" s="70">
        <f t="shared" si="20"/>
        <v>5353.92</v>
      </c>
      <c r="K63" s="70">
        <f t="shared" si="20"/>
        <v>6587.37</v>
      </c>
      <c r="L63" s="70">
        <f t="shared" si="20"/>
        <v>5053.3600000000006</v>
      </c>
      <c r="M63" s="70">
        <f t="shared" si="20"/>
        <v>5757.96</v>
      </c>
    </row>
    <row r="65" spans="1:14" ht="15" thickBot="1" x14ac:dyDescent="0.35">
      <c r="B65" s="71" t="s">
        <v>107</v>
      </c>
      <c r="C65" s="72"/>
      <c r="D65" s="73">
        <f>IFERROR(SUM(D63,D58),0)</f>
        <v>0</v>
      </c>
      <c r="E65" s="73">
        <f t="shared" ref="E65:M65" si="21">IFERROR(SUM(E63,E58),0)</f>
        <v>0</v>
      </c>
      <c r="F65" s="73">
        <f t="shared" si="21"/>
        <v>0</v>
      </c>
      <c r="G65" s="73">
        <f t="shared" si="21"/>
        <v>0</v>
      </c>
      <c r="H65" s="73">
        <f t="shared" si="21"/>
        <v>4086.0299999999997</v>
      </c>
      <c r="I65" s="73">
        <f t="shared" si="21"/>
        <v>6496.08</v>
      </c>
      <c r="J65" s="73">
        <f t="shared" si="21"/>
        <v>7833.6299999999992</v>
      </c>
      <c r="K65" s="73">
        <f t="shared" si="21"/>
        <v>8777.5400000000009</v>
      </c>
      <c r="L65" s="73">
        <f t="shared" si="21"/>
        <v>10610.810000000001</v>
      </c>
      <c r="M65" s="73">
        <f t="shared" si="21"/>
        <v>11224.92</v>
      </c>
    </row>
    <row r="67" spans="1:14" x14ac:dyDescent="0.3">
      <c r="B67" s="31" t="s">
        <v>111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83</v>
      </c>
      <c r="B70" s="66" t="s">
        <v>139</v>
      </c>
      <c r="C70" s="66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 spans="1:14" x14ac:dyDescent="0.3">
      <c r="B71" s="2" t="s">
        <v>140</v>
      </c>
    </row>
    <row r="72" spans="1:14" x14ac:dyDescent="0.3">
      <c r="B72" t="s">
        <v>112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113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114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115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116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117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68" t="s">
        <v>138</v>
      </c>
      <c r="C80" s="75"/>
      <c r="D80" s="70">
        <f>IFERROR(SUM(D72:D79),0)</f>
        <v>31860</v>
      </c>
      <c r="E80" s="70">
        <f t="shared" ref="E80:M80" si="23">IFERROR(SUM(E72:E79),0)</f>
        <v>39212</v>
      </c>
      <c r="F80" s="70">
        <f t="shared" si="23"/>
        <v>33454</v>
      </c>
      <c r="G80" s="70">
        <f t="shared" si="23"/>
        <v>17423</v>
      </c>
      <c r="H80" s="70">
        <f t="shared" si="23"/>
        <v>11671</v>
      </c>
      <c r="I80" s="70">
        <f t="shared" si="23"/>
        <v>31698</v>
      </c>
      <c r="J80" s="70">
        <f t="shared" si="23"/>
        <v>28907</v>
      </c>
      <c r="K80" s="70">
        <f t="shared" si="23"/>
        <v>3532</v>
      </c>
      <c r="L80" s="70">
        <f t="shared" si="23"/>
        <v>32261</v>
      </c>
      <c r="M80" s="70">
        <f t="shared" si="23"/>
        <v>75241</v>
      </c>
    </row>
    <row r="82" spans="2:13" x14ac:dyDescent="0.3">
      <c r="B82" s="2" t="s">
        <v>141</v>
      </c>
    </row>
    <row r="83" spans="2:13" x14ac:dyDescent="0.3">
      <c r="B83" t="s">
        <v>118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119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120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121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122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123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124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125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126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127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128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68" t="s">
        <v>142</v>
      </c>
      <c r="C94" s="75"/>
      <c r="D94" s="70">
        <f>SUM(D83:D93)</f>
        <v>-36233</v>
      </c>
      <c r="E94" s="70">
        <f t="shared" ref="E94:M94" si="24">SUM(E83:E93)</f>
        <v>-36694</v>
      </c>
      <c r="F94" s="70">
        <f t="shared" si="24"/>
        <v>-39572</v>
      </c>
      <c r="G94" s="70">
        <f t="shared" si="24"/>
        <v>-25140</v>
      </c>
      <c r="H94" s="70">
        <f t="shared" si="24"/>
        <v>-20879</v>
      </c>
      <c r="I94" s="70">
        <f t="shared" si="24"/>
        <v>-33116</v>
      </c>
      <c r="J94" s="70">
        <f t="shared" si="24"/>
        <v>-25671</v>
      </c>
      <c r="K94" s="70">
        <f t="shared" si="24"/>
        <v>-4442</v>
      </c>
      <c r="L94" s="70">
        <f t="shared" si="24"/>
        <v>-15419</v>
      </c>
      <c r="M94" s="70">
        <f t="shared" si="24"/>
        <v>-22780</v>
      </c>
    </row>
    <row r="96" spans="2:13" x14ac:dyDescent="0.3">
      <c r="B96" s="2" t="s">
        <v>143</v>
      </c>
    </row>
    <row r="97" spans="2:13" x14ac:dyDescent="0.3">
      <c r="B97" t="s">
        <v>129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130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131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132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133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134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135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136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68" t="s">
        <v>144</v>
      </c>
      <c r="C105" s="75"/>
      <c r="D105" s="70">
        <f>SUM(D97:D104)</f>
        <v>5203</v>
      </c>
      <c r="E105" s="70">
        <f t="shared" ref="E105:M105" si="25">SUM(E97:E104)</f>
        <v>-3796</v>
      </c>
      <c r="F105" s="70">
        <f t="shared" si="25"/>
        <v>6206</v>
      </c>
      <c r="G105" s="70">
        <f t="shared" si="25"/>
        <v>2011</v>
      </c>
      <c r="H105" s="70">
        <f t="shared" si="25"/>
        <v>8830</v>
      </c>
      <c r="I105" s="70">
        <f t="shared" si="25"/>
        <v>3389</v>
      </c>
      <c r="J105" s="70">
        <f t="shared" si="25"/>
        <v>9905</v>
      </c>
      <c r="K105" s="70">
        <f t="shared" si="25"/>
        <v>-3379</v>
      </c>
      <c r="L105" s="70">
        <f t="shared" si="25"/>
        <v>-26242</v>
      </c>
      <c r="M105" s="70">
        <f t="shared" si="25"/>
        <v>-37006</v>
      </c>
    </row>
    <row r="107" spans="2:13" ht="15" thickBot="1" x14ac:dyDescent="0.35">
      <c r="B107" s="76" t="s">
        <v>34</v>
      </c>
      <c r="C107" s="72"/>
      <c r="D107" s="73">
        <f>IFERROR(D105+D94+D80,0)</f>
        <v>830</v>
      </c>
      <c r="E107" s="73">
        <f t="shared" ref="E107:M107" si="26">IFERROR(E105+E94+E80,0)</f>
        <v>-1278</v>
      </c>
      <c r="F107" s="73">
        <f t="shared" si="26"/>
        <v>88</v>
      </c>
      <c r="G107" s="73">
        <f t="shared" si="26"/>
        <v>-5706</v>
      </c>
      <c r="H107" s="73">
        <f t="shared" si="26"/>
        <v>-378</v>
      </c>
      <c r="I107" s="73">
        <f t="shared" si="26"/>
        <v>1971</v>
      </c>
      <c r="J107" s="73">
        <f t="shared" si="26"/>
        <v>13141</v>
      </c>
      <c r="K107" s="73">
        <f t="shared" si="26"/>
        <v>-4289</v>
      </c>
      <c r="L107" s="73">
        <f t="shared" si="26"/>
        <v>-9400</v>
      </c>
      <c r="M107" s="73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topLeftCell="A26" workbookViewId="0">
      <selection activeCell="D43" sqref="D43"/>
    </sheetView>
  </sheetViews>
  <sheetFormatPr defaultRowHeight="14.4" x14ac:dyDescent="0.3"/>
  <cols>
    <col min="2" max="2" width="27" customWidth="1"/>
  </cols>
  <sheetData>
    <row r="2" spans="2:14" x14ac:dyDescent="0.3">
      <c r="B2" t="s">
        <v>96</v>
      </c>
      <c r="C2" s="62">
        <v>41334</v>
      </c>
      <c r="D2" s="62">
        <v>41699</v>
      </c>
      <c r="E2" s="62">
        <v>42064</v>
      </c>
      <c r="F2" s="62">
        <v>42430</v>
      </c>
      <c r="G2" s="62">
        <v>42795</v>
      </c>
      <c r="H2" s="62">
        <v>43160</v>
      </c>
      <c r="I2" s="62">
        <v>43525</v>
      </c>
      <c r="J2" s="62">
        <v>43891</v>
      </c>
      <c r="K2" s="62">
        <v>44256</v>
      </c>
      <c r="L2" s="62">
        <v>44621</v>
      </c>
      <c r="M2" s="62">
        <v>44986</v>
      </c>
      <c r="N2" s="62">
        <v>45352</v>
      </c>
    </row>
    <row r="3" spans="2:14" x14ac:dyDescent="0.3">
      <c r="B3" t="s">
        <v>31</v>
      </c>
      <c r="C3" s="63">
        <v>22163</v>
      </c>
      <c r="D3" s="63">
        <v>36151</v>
      </c>
      <c r="E3" s="63">
        <v>35531</v>
      </c>
      <c r="F3" s="63">
        <v>37900</v>
      </c>
      <c r="G3" s="63">
        <v>30199</v>
      </c>
      <c r="H3" s="63">
        <v>23857</v>
      </c>
      <c r="I3" s="63">
        <v>18891</v>
      </c>
      <c r="J3" s="63">
        <v>26633</v>
      </c>
      <c r="K3" s="63">
        <v>29001</v>
      </c>
      <c r="L3" s="63">
        <v>14283</v>
      </c>
      <c r="M3" s="63">
        <v>35388</v>
      </c>
      <c r="N3" s="63">
        <v>67915</v>
      </c>
    </row>
    <row r="4" spans="2:14" x14ac:dyDescent="0.3">
      <c r="B4" t="s">
        <v>112</v>
      </c>
      <c r="C4" s="63">
        <v>24406</v>
      </c>
      <c r="D4" s="63">
        <v>36303</v>
      </c>
      <c r="E4" s="63">
        <v>43397</v>
      </c>
      <c r="F4" s="63">
        <v>38626</v>
      </c>
      <c r="G4" s="63">
        <v>28840</v>
      </c>
      <c r="H4" s="63">
        <v>33312</v>
      </c>
      <c r="I4" s="63">
        <v>28771</v>
      </c>
      <c r="J4" s="63">
        <v>23352</v>
      </c>
      <c r="K4" s="63">
        <v>31198</v>
      </c>
      <c r="L4" s="63">
        <v>26943</v>
      </c>
      <c r="M4" s="63">
        <v>41694</v>
      </c>
      <c r="N4" s="63">
        <v>65106</v>
      </c>
    </row>
    <row r="5" spans="2:14" x14ac:dyDescent="0.3">
      <c r="B5" t="s">
        <v>67</v>
      </c>
      <c r="C5" s="63">
        <v>-5177</v>
      </c>
      <c r="D5" s="64">
        <v>445</v>
      </c>
      <c r="E5" s="63">
        <v>-3179</v>
      </c>
      <c r="F5" s="63">
        <v>-2223</v>
      </c>
      <c r="G5" s="63">
        <v>-4152</v>
      </c>
      <c r="H5" s="63">
        <v>-10688</v>
      </c>
      <c r="I5" s="63">
        <v>-9109</v>
      </c>
      <c r="J5" s="63">
        <v>9950</v>
      </c>
      <c r="K5" s="63">
        <v>-5505</v>
      </c>
      <c r="L5" s="64">
        <v>185</v>
      </c>
      <c r="M5" s="63">
        <v>-2213</v>
      </c>
      <c r="N5" s="63">
        <v>-1875</v>
      </c>
    </row>
    <row r="6" spans="2:14" x14ac:dyDescent="0.3">
      <c r="B6" t="s">
        <v>43</v>
      </c>
      <c r="C6" s="63">
        <v>-2656</v>
      </c>
      <c r="D6" s="63">
        <v>-2853</v>
      </c>
      <c r="E6" s="63">
        <v>-3692</v>
      </c>
      <c r="F6" s="63">
        <v>-5743</v>
      </c>
      <c r="G6" s="63">
        <v>-6621</v>
      </c>
      <c r="H6" s="63">
        <v>-3560</v>
      </c>
      <c r="I6" s="63">
        <v>2069</v>
      </c>
      <c r="J6" s="63">
        <v>2326</v>
      </c>
      <c r="K6" s="63">
        <v>3814</v>
      </c>
      <c r="L6" s="64">
        <v>472</v>
      </c>
      <c r="M6" s="63">
        <v>-5665</v>
      </c>
      <c r="N6" s="63">
        <v>-7265</v>
      </c>
    </row>
    <row r="7" spans="2:14" x14ac:dyDescent="0.3">
      <c r="B7" t="s">
        <v>113</v>
      </c>
      <c r="C7" s="63">
        <v>8132</v>
      </c>
      <c r="D7" s="63">
        <v>4694</v>
      </c>
      <c r="E7" s="63">
        <v>3598</v>
      </c>
      <c r="F7" s="63">
        <v>3947</v>
      </c>
      <c r="G7" s="63">
        <v>9301</v>
      </c>
      <c r="H7" s="63">
        <v>7320</v>
      </c>
      <c r="I7" s="63">
        <v>-4692</v>
      </c>
      <c r="J7" s="63">
        <v>-8085</v>
      </c>
      <c r="K7" s="63">
        <v>5748</v>
      </c>
      <c r="L7" s="63">
        <v>-7012</v>
      </c>
      <c r="M7" s="63">
        <v>6945</v>
      </c>
      <c r="N7" s="63">
        <v>13706</v>
      </c>
    </row>
    <row r="8" spans="2:14" x14ac:dyDescent="0.3">
      <c r="B8" t="s">
        <v>114</v>
      </c>
      <c r="C8" s="64">
        <v>0</v>
      </c>
      <c r="D8" s="64">
        <v>0</v>
      </c>
      <c r="E8" s="64">
        <v>0</v>
      </c>
      <c r="F8" s="64">
        <v>-520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</row>
    <row r="9" spans="2:14" x14ac:dyDescent="0.3">
      <c r="B9" t="s">
        <v>115</v>
      </c>
      <c r="C9" s="64">
        <v>-303</v>
      </c>
      <c r="D9" s="63">
        <v>1870</v>
      </c>
      <c r="E9" s="64">
        <v>-398</v>
      </c>
      <c r="F9" s="63">
        <v>5852</v>
      </c>
      <c r="G9" s="63">
        <v>4727</v>
      </c>
      <c r="H9" s="64">
        <v>494</v>
      </c>
      <c r="I9" s="63">
        <v>4512</v>
      </c>
      <c r="J9" s="64">
        <v>875</v>
      </c>
      <c r="K9" s="63">
        <v>-4150</v>
      </c>
      <c r="L9" s="63">
        <v>-4396</v>
      </c>
      <c r="M9" s="63">
        <v>-2194</v>
      </c>
      <c r="N9" s="63">
        <v>2760</v>
      </c>
    </row>
    <row r="10" spans="2:14" x14ac:dyDescent="0.3">
      <c r="B10" t="s">
        <v>116</v>
      </c>
      <c r="C10" s="64">
        <v>-3</v>
      </c>
      <c r="D10" s="63">
        <v>4157</v>
      </c>
      <c r="E10" s="63">
        <v>-3672</v>
      </c>
      <c r="F10" s="63">
        <v>1313</v>
      </c>
      <c r="G10" s="63">
        <v>3254</v>
      </c>
      <c r="H10" s="63">
        <v>-6434</v>
      </c>
      <c r="I10" s="63">
        <v>-7221</v>
      </c>
      <c r="J10" s="63">
        <v>5065</v>
      </c>
      <c r="K10" s="64">
        <v>-93</v>
      </c>
      <c r="L10" s="63">
        <v>-10750</v>
      </c>
      <c r="M10" s="63">
        <v>-3127</v>
      </c>
      <c r="N10" s="63">
        <v>7325</v>
      </c>
    </row>
    <row r="11" spans="2:14" x14ac:dyDescent="0.3">
      <c r="B11" t="s">
        <v>117</v>
      </c>
      <c r="C11" s="63">
        <v>-2240</v>
      </c>
      <c r="D11" s="63">
        <v>-4308</v>
      </c>
      <c r="E11" s="63">
        <v>-4194</v>
      </c>
      <c r="F11" s="63">
        <v>-2040</v>
      </c>
      <c r="G11" s="63">
        <v>-1895</v>
      </c>
      <c r="H11" s="63">
        <v>-3021</v>
      </c>
      <c r="I11" s="63">
        <v>-2659</v>
      </c>
      <c r="J11" s="63">
        <v>-1785</v>
      </c>
      <c r="K11" s="63">
        <v>-2105</v>
      </c>
      <c r="L11" s="63">
        <v>-1910</v>
      </c>
      <c r="M11" s="63">
        <v>-3179</v>
      </c>
      <c r="N11" s="63">
        <v>-4516</v>
      </c>
    </row>
    <row r="12" spans="2:14" x14ac:dyDescent="0.3">
      <c r="B12" t="s">
        <v>32</v>
      </c>
      <c r="C12" s="63">
        <v>-22969</v>
      </c>
      <c r="D12" s="63">
        <v>-27991</v>
      </c>
      <c r="E12" s="63">
        <v>-36232</v>
      </c>
      <c r="F12" s="63">
        <v>-36694</v>
      </c>
      <c r="G12" s="63">
        <v>-39571</v>
      </c>
      <c r="H12" s="63">
        <v>-25139</v>
      </c>
      <c r="I12" s="63">
        <v>-20878</v>
      </c>
      <c r="J12" s="63">
        <v>-33115</v>
      </c>
      <c r="K12" s="63">
        <v>-25672</v>
      </c>
      <c r="L12" s="63">
        <v>-4444</v>
      </c>
      <c r="M12" s="63">
        <v>-15417</v>
      </c>
      <c r="N12" s="63">
        <v>-22782</v>
      </c>
    </row>
    <row r="13" spans="2:14" x14ac:dyDescent="0.3">
      <c r="B13" t="s">
        <v>118</v>
      </c>
      <c r="C13" s="63">
        <v>-18863</v>
      </c>
      <c r="D13" s="63">
        <v>-26975</v>
      </c>
      <c r="E13" s="63">
        <v>-31962</v>
      </c>
      <c r="F13" s="63">
        <v>-31503</v>
      </c>
      <c r="G13" s="63">
        <v>-16072</v>
      </c>
      <c r="H13" s="63">
        <v>-35079</v>
      </c>
      <c r="I13" s="63">
        <v>-35304</v>
      </c>
      <c r="J13" s="63">
        <v>-29702</v>
      </c>
      <c r="K13" s="63">
        <v>-20205</v>
      </c>
      <c r="L13" s="63">
        <v>-15168</v>
      </c>
      <c r="M13" s="63">
        <v>-19230</v>
      </c>
      <c r="N13" s="63">
        <v>-31414</v>
      </c>
    </row>
    <row r="14" spans="2:14" x14ac:dyDescent="0.3">
      <c r="B14" t="s">
        <v>119</v>
      </c>
      <c r="C14" s="64">
        <v>37</v>
      </c>
      <c r="D14" s="64">
        <v>50</v>
      </c>
      <c r="E14" s="64">
        <v>74</v>
      </c>
      <c r="F14" s="64">
        <v>59</v>
      </c>
      <c r="G14" s="64">
        <v>53</v>
      </c>
      <c r="H14" s="64">
        <v>30</v>
      </c>
      <c r="I14" s="64">
        <v>67</v>
      </c>
      <c r="J14" s="64">
        <v>171</v>
      </c>
      <c r="K14" s="64">
        <v>351</v>
      </c>
      <c r="L14" s="64">
        <v>230</v>
      </c>
      <c r="M14" s="64">
        <v>285</v>
      </c>
      <c r="N14" s="64">
        <v>231</v>
      </c>
    </row>
    <row r="15" spans="2:14" x14ac:dyDescent="0.3">
      <c r="B15" t="s">
        <v>120</v>
      </c>
      <c r="C15" s="64">
        <v>73</v>
      </c>
      <c r="D15" s="64">
        <v>-429</v>
      </c>
      <c r="E15" s="63">
        <v>-5461</v>
      </c>
      <c r="F15" s="63">
        <v>-4728</v>
      </c>
      <c r="G15" s="64">
        <v>-6</v>
      </c>
      <c r="H15" s="64">
        <v>-329</v>
      </c>
      <c r="I15" s="64">
        <v>-130</v>
      </c>
      <c r="J15" s="63">
        <v>-1439</v>
      </c>
      <c r="K15" s="63">
        <v>-7530</v>
      </c>
      <c r="L15" s="63">
        <v>-3008</v>
      </c>
      <c r="M15" s="64">
        <v>-50</v>
      </c>
      <c r="N15" s="64">
        <v>-74</v>
      </c>
    </row>
    <row r="16" spans="2:14" x14ac:dyDescent="0.3">
      <c r="B16" t="s">
        <v>121</v>
      </c>
      <c r="C16" s="64">
        <v>34</v>
      </c>
      <c r="D16" s="64">
        <v>4</v>
      </c>
      <c r="E16" s="64">
        <v>42</v>
      </c>
      <c r="F16" s="64">
        <v>89</v>
      </c>
      <c r="G16" s="63">
        <v>1965</v>
      </c>
      <c r="H16" s="63">
        <v>2381</v>
      </c>
      <c r="I16" s="63">
        <v>5644</v>
      </c>
      <c r="J16" s="64">
        <v>21</v>
      </c>
      <c r="K16" s="64">
        <v>226</v>
      </c>
      <c r="L16" s="64">
        <v>104</v>
      </c>
      <c r="M16" s="63">
        <v>6895</v>
      </c>
      <c r="N16" s="63">
        <v>10820</v>
      </c>
    </row>
    <row r="17" spans="2:14" x14ac:dyDescent="0.3">
      <c r="B17" t="s">
        <v>122</v>
      </c>
      <c r="C17" s="64">
        <v>713</v>
      </c>
      <c r="D17" s="64">
        <v>653</v>
      </c>
      <c r="E17" s="64">
        <v>698</v>
      </c>
      <c r="F17" s="64">
        <v>731</v>
      </c>
      <c r="G17" s="64">
        <v>638</v>
      </c>
      <c r="H17" s="64">
        <v>690</v>
      </c>
      <c r="I17" s="64">
        <v>761</v>
      </c>
      <c r="J17" s="63">
        <v>1104</v>
      </c>
      <c r="K17" s="64">
        <v>428</v>
      </c>
      <c r="L17" s="64">
        <v>653</v>
      </c>
      <c r="M17" s="64">
        <v>973</v>
      </c>
      <c r="N17" s="63">
        <v>2493</v>
      </c>
    </row>
    <row r="18" spans="2:14" x14ac:dyDescent="0.3">
      <c r="B18" t="s">
        <v>123</v>
      </c>
      <c r="C18" s="64">
        <v>95</v>
      </c>
      <c r="D18" s="64">
        <v>40</v>
      </c>
      <c r="E18" s="64">
        <v>80</v>
      </c>
      <c r="F18" s="64">
        <v>58</v>
      </c>
      <c r="G18" s="64">
        <v>620</v>
      </c>
      <c r="H18" s="63">
        <v>1797</v>
      </c>
      <c r="I18" s="64">
        <v>232</v>
      </c>
      <c r="J18" s="64">
        <v>21</v>
      </c>
      <c r="K18" s="64">
        <v>18</v>
      </c>
      <c r="L18" s="64">
        <v>32</v>
      </c>
      <c r="M18" s="64">
        <v>46</v>
      </c>
      <c r="N18" s="64">
        <v>47</v>
      </c>
    </row>
    <row r="19" spans="2:14" x14ac:dyDescent="0.3">
      <c r="B19" t="s">
        <v>124</v>
      </c>
      <c r="C19" s="64">
        <v>0</v>
      </c>
      <c r="D19" s="64">
        <v>0</v>
      </c>
      <c r="E19" s="64">
        <v>-160</v>
      </c>
      <c r="F19" s="64">
        <v>0</v>
      </c>
      <c r="G19" s="64">
        <v>-107</v>
      </c>
      <c r="H19" s="64">
        <v>-4</v>
      </c>
      <c r="I19" s="64">
        <v>-9</v>
      </c>
      <c r="J19" s="64">
        <v>-606</v>
      </c>
      <c r="K19" s="64">
        <v>-10</v>
      </c>
      <c r="L19" s="64">
        <v>0</v>
      </c>
      <c r="M19" s="64">
        <v>0</v>
      </c>
      <c r="N19" s="64">
        <v>-150</v>
      </c>
    </row>
    <row r="20" spans="2:14" x14ac:dyDescent="0.3">
      <c r="B20" t="s">
        <v>125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14</v>
      </c>
      <c r="I20" s="64">
        <v>533</v>
      </c>
      <c r="J20" s="64">
        <v>0</v>
      </c>
      <c r="K20" s="64">
        <v>0</v>
      </c>
      <c r="L20" s="64">
        <v>0</v>
      </c>
      <c r="M20" s="64">
        <v>19</v>
      </c>
      <c r="N20" s="64">
        <v>108</v>
      </c>
    </row>
    <row r="21" spans="2:14" x14ac:dyDescent="0.3">
      <c r="B21" t="s">
        <v>126</v>
      </c>
      <c r="C21" s="64">
        <v>0</v>
      </c>
      <c r="D21" s="64">
        <v>-185</v>
      </c>
      <c r="E21" s="64">
        <v>0</v>
      </c>
      <c r="F21" s="64">
        <v>-111</v>
      </c>
      <c r="G21" s="64">
        <v>0</v>
      </c>
      <c r="H21" s="64">
        <v>0</v>
      </c>
      <c r="I21" s="64">
        <v>-8</v>
      </c>
      <c r="J21" s="64">
        <v>-27</v>
      </c>
      <c r="K21" s="64">
        <v>0</v>
      </c>
      <c r="L21" s="64">
        <v>-98</v>
      </c>
      <c r="M21" s="64">
        <v>0</v>
      </c>
      <c r="N21" s="64">
        <v>0</v>
      </c>
    </row>
    <row r="22" spans="2:14" x14ac:dyDescent="0.3">
      <c r="B22" t="s">
        <v>127</v>
      </c>
      <c r="C22" s="64">
        <v>45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-24</v>
      </c>
    </row>
    <row r="23" spans="2:14" x14ac:dyDescent="0.3">
      <c r="B23" t="s">
        <v>128</v>
      </c>
      <c r="C23" s="63">
        <v>-5103</v>
      </c>
      <c r="D23" s="63">
        <v>-1149</v>
      </c>
      <c r="E23" s="64">
        <v>456</v>
      </c>
      <c r="F23" s="63">
        <v>-1289</v>
      </c>
      <c r="G23" s="63">
        <v>-26663</v>
      </c>
      <c r="H23" s="63">
        <v>5360</v>
      </c>
      <c r="I23" s="63">
        <v>7335</v>
      </c>
      <c r="J23" s="63">
        <v>-2659</v>
      </c>
      <c r="K23" s="63">
        <v>1051</v>
      </c>
      <c r="L23" s="63">
        <v>12813</v>
      </c>
      <c r="M23" s="63">
        <v>-4357</v>
      </c>
      <c r="N23" s="63">
        <v>-4817</v>
      </c>
    </row>
    <row r="24" spans="2:14" x14ac:dyDescent="0.3">
      <c r="B24" t="s">
        <v>33</v>
      </c>
      <c r="C24" s="63">
        <v>-1692</v>
      </c>
      <c r="D24" s="63">
        <v>-3883</v>
      </c>
      <c r="E24" s="63">
        <v>5201</v>
      </c>
      <c r="F24" s="63">
        <v>-3795</v>
      </c>
      <c r="G24" s="63">
        <v>6205</v>
      </c>
      <c r="H24" s="63">
        <v>2012</v>
      </c>
      <c r="I24" s="63">
        <v>8830</v>
      </c>
      <c r="J24" s="63">
        <v>3390</v>
      </c>
      <c r="K24" s="63">
        <v>9904</v>
      </c>
      <c r="L24" s="63">
        <v>-3380</v>
      </c>
      <c r="M24" s="63">
        <v>-26243</v>
      </c>
      <c r="N24" s="63">
        <v>-37006</v>
      </c>
    </row>
    <row r="25" spans="2:14" x14ac:dyDescent="0.3">
      <c r="B25" t="s">
        <v>129</v>
      </c>
      <c r="C25" s="64">
        <v>1</v>
      </c>
      <c r="D25" s="64">
        <v>0</v>
      </c>
      <c r="E25" s="64">
        <v>0</v>
      </c>
      <c r="F25" s="63">
        <v>7433</v>
      </c>
      <c r="G25" s="64">
        <v>5</v>
      </c>
      <c r="H25" s="64">
        <v>0</v>
      </c>
      <c r="I25" s="64">
        <v>0</v>
      </c>
      <c r="J25" s="63">
        <v>3889</v>
      </c>
      <c r="K25" s="63">
        <v>2603</v>
      </c>
      <c r="L25" s="64">
        <v>19</v>
      </c>
      <c r="M25" s="64">
        <v>20</v>
      </c>
      <c r="N25" s="64">
        <v>82</v>
      </c>
    </row>
    <row r="26" spans="2:14" x14ac:dyDescent="0.3">
      <c r="B26" t="s">
        <v>130</v>
      </c>
      <c r="C26" s="64">
        <v>-97</v>
      </c>
      <c r="D26" s="64">
        <v>-658</v>
      </c>
      <c r="E26" s="64">
        <v>-744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</row>
    <row r="27" spans="2:14" x14ac:dyDescent="0.3">
      <c r="B27" t="s">
        <v>131</v>
      </c>
      <c r="C27" s="63">
        <v>27863</v>
      </c>
      <c r="D27" s="63">
        <v>33258</v>
      </c>
      <c r="E27" s="63">
        <v>36363</v>
      </c>
      <c r="F27" s="63">
        <v>19519</v>
      </c>
      <c r="G27" s="63">
        <v>33390</v>
      </c>
      <c r="H27" s="63">
        <v>37482</v>
      </c>
      <c r="I27" s="63">
        <v>51128</v>
      </c>
      <c r="J27" s="63">
        <v>38297</v>
      </c>
      <c r="K27" s="63">
        <v>46641</v>
      </c>
      <c r="L27" s="63">
        <v>46578</v>
      </c>
      <c r="M27" s="63">
        <v>43934</v>
      </c>
      <c r="N27" s="63">
        <v>18747</v>
      </c>
    </row>
    <row r="28" spans="2:14" x14ac:dyDescent="0.3">
      <c r="B28" t="s">
        <v>132</v>
      </c>
      <c r="C28" s="63">
        <v>-20395</v>
      </c>
      <c r="D28" s="63">
        <v>-29141</v>
      </c>
      <c r="E28" s="63">
        <v>-23332</v>
      </c>
      <c r="F28" s="63">
        <v>-24924</v>
      </c>
      <c r="G28" s="63">
        <v>-21732</v>
      </c>
      <c r="H28" s="63">
        <v>-29964</v>
      </c>
      <c r="I28" s="63">
        <v>-35198</v>
      </c>
      <c r="J28" s="63">
        <v>-29847</v>
      </c>
      <c r="K28" s="63">
        <v>-29709</v>
      </c>
      <c r="L28" s="63">
        <v>-42816</v>
      </c>
      <c r="M28" s="63">
        <v>-62557</v>
      </c>
      <c r="N28" s="63">
        <v>-47332</v>
      </c>
    </row>
    <row r="29" spans="2:14" x14ac:dyDescent="0.3">
      <c r="B29" t="s">
        <v>133</v>
      </c>
      <c r="C29" s="63">
        <v>-4666</v>
      </c>
      <c r="D29" s="63">
        <v>-6171</v>
      </c>
      <c r="E29" s="63">
        <v>-6307</v>
      </c>
      <c r="F29" s="63">
        <v>-5716</v>
      </c>
      <c r="G29" s="63">
        <v>-5336</v>
      </c>
      <c r="H29" s="63">
        <v>-5411</v>
      </c>
      <c r="I29" s="63">
        <v>-7005</v>
      </c>
      <c r="J29" s="63">
        <v>-7518</v>
      </c>
      <c r="K29" s="63">
        <v>-8123</v>
      </c>
      <c r="L29" s="63">
        <v>-9251</v>
      </c>
      <c r="M29" s="63">
        <v>-9336</v>
      </c>
      <c r="N29" s="63">
        <v>-9332</v>
      </c>
    </row>
    <row r="30" spans="2:14" x14ac:dyDescent="0.3">
      <c r="B30" t="s">
        <v>134</v>
      </c>
      <c r="C30" s="63">
        <v>-1551</v>
      </c>
      <c r="D30" s="64">
        <v>-722</v>
      </c>
      <c r="E30" s="64">
        <v>-720</v>
      </c>
      <c r="F30" s="64">
        <v>-108</v>
      </c>
      <c r="G30" s="64">
        <v>-121</v>
      </c>
      <c r="H30" s="64">
        <v>-96</v>
      </c>
      <c r="I30" s="64">
        <v>-95</v>
      </c>
      <c r="J30" s="64">
        <v>-57</v>
      </c>
      <c r="K30" s="64">
        <v>-30</v>
      </c>
      <c r="L30" s="64">
        <v>-100</v>
      </c>
      <c r="M30" s="64">
        <v>-141</v>
      </c>
      <c r="N30" s="63">
        <v>-1059</v>
      </c>
    </row>
    <row r="31" spans="2:14" x14ac:dyDescent="0.3">
      <c r="B31" t="s">
        <v>135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3">
        <v>-1346</v>
      </c>
      <c r="K31" s="63">
        <v>-1477</v>
      </c>
      <c r="L31" s="63">
        <v>-1559</v>
      </c>
      <c r="M31" s="63">
        <v>-1517</v>
      </c>
      <c r="N31" s="63">
        <v>-1924</v>
      </c>
    </row>
    <row r="32" spans="2:14" x14ac:dyDescent="0.3">
      <c r="B32" t="s">
        <v>136</v>
      </c>
      <c r="C32" s="63">
        <v>-2849</v>
      </c>
      <c r="D32" s="64">
        <v>-450</v>
      </c>
      <c r="E32" s="64">
        <v>-57</v>
      </c>
      <c r="F32" s="64">
        <v>0</v>
      </c>
      <c r="G32" s="64">
        <v>0</v>
      </c>
      <c r="H32" s="64">
        <v>0</v>
      </c>
      <c r="I32" s="64">
        <v>0</v>
      </c>
      <c r="J32" s="64">
        <v>-29</v>
      </c>
      <c r="K32" s="64">
        <v>0</v>
      </c>
      <c r="L32" s="63">
        <v>3750</v>
      </c>
      <c r="M32" s="63">
        <v>3355</v>
      </c>
      <c r="N32" s="63">
        <v>3812</v>
      </c>
    </row>
    <row r="33" spans="2:14" x14ac:dyDescent="0.3">
      <c r="B33" t="s">
        <v>137</v>
      </c>
      <c r="C33" s="63">
        <v>-2499</v>
      </c>
      <c r="D33" s="63">
        <v>4277</v>
      </c>
      <c r="E33" s="63">
        <v>4500</v>
      </c>
      <c r="F33" s="63">
        <v>-2589</v>
      </c>
      <c r="G33" s="63">
        <v>-3167</v>
      </c>
      <c r="H33" s="64">
        <v>730</v>
      </c>
      <c r="I33" s="63">
        <v>6843</v>
      </c>
      <c r="J33" s="63">
        <v>-3092</v>
      </c>
      <c r="K33" s="63">
        <v>13232</v>
      </c>
      <c r="L33" s="63">
        <v>6459</v>
      </c>
      <c r="M33" s="63">
        <v>-6272</v>
      </c>
      <c r="N33" s="63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workbookViewId="0">
      <pane ySplit="3" topLeftCell="A4" activePane="bottomLeft" state="frozen"/>
      <selection pane="bottomLeft" activeCell="Q13" sqref="Q13"/>
    </sheetView>
  </sheetViews>
  <sheetFormatPr defaultRowHeight="14.4" x14ac:dyDescent="0.3"/>
  <cols>
    <col min="1" max="1" width="1.88671875" customWidth="1"/>
    <col min="2" max="2" width="16.77734375" customWidth="1"/>
    <col min="4" max="7" width="9" bestFit="1" customWidth="1"/>
    <col min="8" max="10" width="11" bestFit="1" customWidth="1"/>
    <col min="11" max="11" width="9.77734375" customWidth="1"/>
    <col min="12" max="12" width="9" bestFit="1" customWidth="1"/>
    <col min="13" max="13" width="10" bestFit="1" customWidth="1"/>
    <col min="14" max="14" width="14.109375" customWidth="1"/>
  </cols>
  <sheetData>
    <row r="2" spans="2:16" x14ac:dyDescent="0.3">
      <c r="B2" s="50" t="str">
        <f>"Ratio Analysis of - "&amp;'Data Sheet'!B1</f>
        <v>Ratio Analysis of - GLAND PHARMA LTD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2:16" x14ac:dyDescent="0.3">
      <c r="B3" s="21" t="s">
        <v>80</v>
      </c>
      <c r="C3" s="21"/>
      <c r="D3" s="22">
        <f>'Data Sheet'!B16</f>
        <v>42094</v>
      </c>
      <c r="E3" s="22">
        <f>'Data Sheet'!C16</f>
        <v>42460</v>
      </c>
      <c r="F3" s="22">
        <f>'Data Sheet'!D16</f>
        <v>42825</v>
      </c>
      <c r="G3" s="22">
        <f>'Data Sheet'!E16</f>
        <v>43190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175</v>
      </c>
      <c r="O3" s="38" t="s">
        <v>173</v>
      </c>
      <c r="P3" s="38" t="s">
        <v>174</v>
      </c>
    </row>
    <row r="5" spans="2:16" x14ac:dyDescent="0.3">
      <c r="B5" s="51" t="s">
        <v>21</v>
      </c>
      <c r="C5" s="51"/>
      <c r="D5" s="51"/>
      <c r="E5" s="52">
        <f>IFERROR('Historical FS'!E6,0)</f>
        <v>0</v>
      </c>
      <c r="F5" s="52">
        <f>IFERROR('Historical FS'!F6,0)</f>
        <v>0</v>
      </c>
      <c r="G5" s="52">
        <f>IFERROR('Historical FS'!G6,0)</f>
        <v>0</v>
      </c>
      <c r="H5" s="52">
        <f>IFERROR('Historical FS'!H6,0)</f>
        <v>0</v>
      </c>
      <c r="I5" s="52">
        <f>IFERROR('Historical FS'!I6,0)</f>
        <v>0.31506433139402423</v>
      </c>
      <c r="J5" s="52">
        <f>IFERROR('Historical FS'!J6,0)</f>
        <v>0.27082370743427431</v>
      </c>
      <c r="K5" s="52">
        <f>IFERROR('Historical FS'!K6,0)</f>
        <v>-0.17636017824396522</v>
      </c>
      <c r="L5" s="52">
        <f>IFERROR('Historical FS'!L6,0)</f>
        <v>0.56285383214699558</v>
      </c>
      <c r="M5" s="52">
        <f>IFERROR('Historical FS'!M6,0)</f>
        <v>-8.5123360024855765E-3</v>
      </c>
      <c r="N5" s="32"/>
      <c r="O5" s="32">
        <f>IFERROR(AVERAGE(E5:M5),0)</f>
        <v>0.1070965951920937</v>
      </c>
      <c r="P5" s="5">
        <f>IFERROR(MEDIAN(E5:M5),0)</f>
        <v>0</v>
      </c>
    </row>
    <row r="6" spans="2:16" x14ac:dyDescent="0.3">
      <c r="B6" s="53" t="s">
        <v>146</v>
      </c>
      <c r="C6" s="53"/>
      <c r="D6" s="53"/>
      <c r="E6" s="33">
        <f>IFERROR('Historical FS'!E17/'Historical FS'!D17-1,0)</f>
        <v>0</v>
      </c>
      <c r="F6" s="33">
        <f>IFERROR('Historical FS'!F17/'Historical FS'!E17-1,0)</f>
        <v>0</v>
      </c>
      <c r="G6" s="33">
        <f>IFERROR('Historical FS'!G17/'Historical FS'!F17-1,0)</f>
        <v>0</v>
      </c>
      <c r="H6" s="33">
        <f>IFERROR('Historical FS'!H17/'Historical FS'!G17-1,0)</f>
        <v>0</v>
      </c>
      <c r="I6" s="33">
        <f>IFERROR('Historical FS'!I17/'Historical FS'!H17-1,0)</f>
        <v>0.36292466455948014</v>
      </c>
      <c r="J6" s="33">
        <f>IFERROR('Historical FS'!J17/'Historical FS'!I17-1,0)</f>
        <v>0.15981170616332019</v>
      </c>
      <c r="K6" s="33">
        <f>IFERROR('Historical FS'!K17/'Historical FS'!J17-1,0)</f>
        <v>-0.32143968536677392</v>
      </c>
      <c r="L6" s="33">
        <f>IFERROR('Historical FS'!L17/'Historical FS'!K17-1,0)</f>
        <v>0.3007464507001032</v>
      </c>
      <c r="M6" s="33">
        <f>IFERROR('Historical FS'!M17/'Historical FS'!L17-1,0)</f>
        <v>-4.8122004095809134E-2</v>
      </c>
      <c r="N6" s="32"/>
      <c r="O6" s="32">
        <f t="shared" ref="O6:O9" si="0">IFERROR(AVERAGE(E6:M6),0)</f>
        <v>5.0435681328924495E-2</v>
      </c>
      <c r="P6" s="5">
        <f t="shared" ref="P6:P9" si="1">IFERROR(MEDIAN(E6:M6),0)</f>
        <v>0</v>
      </c>
    </row>
    <row r="7" spans="2:16" x14ac:dyDescent="0.3">
      <c r="B7" s="53" t="s">
        <v>171</v>
      </c>
      <c r="C7" s="53"/>
      <c r="D7" s="53"/>
      <c r="E7" s="33">
        <f>IFERROR('Historical FS'!E27/'Historical FS'!D27-1,0)</f>
        <v>0</v>
      </c>
      <c r="F7" s="33">
        <f>IFERROR('Historical FS'!F27/'Historical FS'!E27-1,0)</f>
        <v>0</v>
      </c>
      <c r="G7" s="33">
        <f>IFERROR('Historical FS'!G27/'Historical FS'!F27-1,0)</f>
        <v>0</v>
      </c>
      <c r="H7" s="33">
        <f>IFERROR('Historical FS'!H27/'Historical FS'!G27-1,0)</f>
        <v>0</v>
      </c>
      <c r="I7" s="33">
        <f>IFERROR('Historical FS'!I27/'Historical FS'!H27-1,0)</f>
        <v>0.40569761857348774</v>
      </c>
      <c r="J7" s="33">
        <f>IFERROR('Historical FS'!J27/'Historical FS'!I27-1,0)</f>
        <v>0.1622959426014341</v>
      </c>
      <c r="K7" s="33">
        <f>IFERROR('Historical FS'!K27/'Historical FS'!J27-1,0)</f>
        <v>-0.37577699868797443</v>
      </c>
      <c r="L7" s="33">
        <f>IFERROR('Historical FS'!L27/'Historical FS'!K27-1,0)</f>
        <v>0.10525348586130145</v>
      </c>
      <c r="M7" s="33">
        <f>IFERROR('Historical FS'!M27/'Historical FS'!L27-1,0)</f>
        <v>-0.11768679206068822</v>
      </c>
      <c r="N7" s="32"/>
      <c r="O7" s="32">
        <f t="shared" si="0"/>
        <v>1.9975917365284517E-2</v>
      </c>
      <c r="P7" s="5">
        <f t="shared" si="1"/>
        <v>0</v>
      </c>
    </row>
    <row r="8" spans="2:16" x14ac:dyDescent="0.3">
      <c r="B8" s="53" t="s">
        <v>147</v>
      </c>
      <c r="C8" s="53"/>
      <c r="D8" s="53"/>
      <c r="E8" s="33">
        <f>IFERROR('Historical FS'!E33/'Historical FS'!D33-1,0)</f>
        <v>0</v>
      </c>
      <c r="F8" s="33">
        <f>IFERROR('Historical FS'!F33/'Historical FS'!E33-1,0)</f>
        <v>0</v>
      </c>
      <c r="G8" s="33">
        <f>IFERROR('Historical FS'!G33/'Historical FS'!F33-1,0)</f>
        <v>0</v>
      </c>
      <c r="H8" s="33">
        <f>IFERROR('Historical FS'!H33/'Historical FS'!G33-1,0)</f>
        <v>0</v>
      </c>
      <c r="I8" s="33">
        <f>IFERROR('Historical FS'!I33/'Historical FS'!H33-1,0)</f>
        <v>0.36059209695745609</v>
      </c>
      <c r="J8" s="33">
        <f>IFERROR('Historical FS'!J33/'Historical FS'!I33-1,0)</f>
        <v>0.14581641884525154</v>
      </c>
      <c r="K8" s="33">
        <f>IFERROR('Historical FS'!K33/'Historical FS'!J33-1,0)</f>
        <v>-0.39556635286972353</v>
      </c>
      <c r="L8" s="33">
        <f>IFERROR('Historical FS'!L33/'Historical FS'!K33-1,0)</f>
        <v>8.5409967845673229E-3</v>
      </c>
      <c r="M8" s="33">
        <f>IFERROR('Historical FS'!M33/'Historical FS'!L33-1,0)</f>
        <v>-0.19477931652884373</v>
      </c>
      <c r="N8" s="32"/>
      <c r="O8" s="32">
        <f t="shared" si="0"/>
        <v>-8.3773507568102555E-3</v>
      </c>
      <c r="P8" s="5">
        <f t="shared" si="1"/>
        <v>0</v>
      </c>
    </row>
    <row r="9" spans="2:16" x14ac:dyDescent="0.3">
      <c r="B9" s="54" t="s">
        <v>148</v>
      </c>
      <c r="C9" s="54"/>
      <c r="D9" s="54"/>
      <c r="E9" s="55">
        <f>IFERROR('Historical FS'!E41/'Historical FS'!D41-1,0)</f>
        <v>0</v>
      </c>
      <c r="F9" s="55">
        <f>IFERROR('Historical FS'!F41/'Historical FS'!E41-1,0)</f>
        <v>0</v>
      </c>
      <c r="G9" s="55">
        <f>IFERROR('Historical FS'!G41/'Historical FS'!F41-1,0)</f>
        <v>0</v>
      </c>
      <c r="H9" s="55">
        <f>IFERROR('Historical FS'!H41/'Historical FS'!G41-1,0)</f>
        <v>0</v>
      </c>
      <c r="I9" s="55">
        <f>IFERROR('Historical FS'!I41/'Historical FS'!H41-1,0)</f>
        <v>0</v>
      </c>
      <c r="J9" s="55">
        <f>IFERROR('Historical FS'!J41/'Historical FS'!I41-1,0)</f>
        <v>0</v>
      </c>
      <c r="K9" s="55">
        <f>IFERROR('Historical FS'!K41/'Historical FS'!J41-1,0)</f>
        <v>0</v>
      </c>
      <c r="L9" s="55">
        <f>IFERROR('Historical FS'!L41/'Historical FS'!K41-1,0)</f>
        <v>0</v>
      </c>
      <c r="M9" s="55">
        <f>IFERROR('Historical FS'!M41/'Historical FS'!L41-1,0)</f>
        <v>-9.9999999999999978E-2</v>
      </c>
      <c r="N9" s="32"/>
      <c r="O9" s="32">
        <f t="shared" si="0"/>
        <v>-1.1111111111111108E-2</v>
      </c>
      <c r="P9" s="5">
        <f t="shared" si="1"/>
        <v>0</v>
      </c>
    </row>
    <row r="11" spans="2:16" x14ac:dyDescent="0.3">
      <c r="B11" s="51" t="s">
        <v>145</v>
      </c>
      <c r="C11" s="51"/>
      <c r="D11" s="52">
        <f>IFERROR('Historical FS'!D12,0)</f>
        <v>0</v>
      </c>
      <c r="E11" s="52">
        <f>IFERROR('Historical FS'!E12,0)</f>
        <v>0</v>
      </c>
      <c r="F11" s="52">
        <f>IFERROR('Historical FS'!F12,0)</f>
        <v>0</v>
      </c>
      <c r="G11" s="52">
        <f>IFERROR('Historical FS'!G12,0)</f>
        <v>0</v>
      </c>
      <c r="H11" s="52">
        <f>IFERROR('Historical FS'!H12,0)</f>
        <v>0.40741444000546845</v>
      </c>
      <c r="I11" s="52">
        <f>IFERROR('Historical FS'!I12,0)</f>
        <v>0.41994524788615267</v>
      </c>
      <c r="J11" s="52">
        <f>IFERROR('Historical FS'!J12,0)</f>
        <v>0.39100054309418236</v>
      </c>
      <c r="K11" s="52">
        <f>IFERROR('Historical FS'!K12,0)</f>
        <v>0.3468603432102853</v>
      </c>
      <c r="L11" s="52">
        <f>IFERROR('Historical FS'!L12,0)</f>
        <v>0.30179602875340716</v>
      </c>
      <c r="M11" s="52">
        <f>IFERROR('Historical FS'!M12,0)</f>
        <v>0.3428131398557821</v>
      </c>
      <c r="O11" s="32">
        <f>IFERROR(AVERAGE(D11:M11),0)</f>
        <v>0.22098297428052777</v>
      </c>
      <c r="P11" s="5">
        <f>IFERROR(MEDIAN(D11:M11),0)</f>
        <v>0.32230458430459463</v>
      </c>
    </row>
    <row r="12" spans="2:16" x14ac:dyDescent="0.3">
      <c r="B12" s="53" t="s">
        <v>149</v>
      </c>
      <c r="C12" s="53"/>
      <c r="D12" s="33">
        <f>IFERROR('Historical FS'!D18,0)</f>
        <v>0</v>
      </c>
      <c r="E12" s="33">
        <f>IFERROR('Historical FS'!E18,0)</f>
        <v>0</v>
      </c>
      <c r="F12" s="33">
        <f>IFERROR('Historical FS'!F18,0)</f>
        <v>0</v>
      </c>
      <c r="G12" s="33">
        <f>IFERROR('Historical FS'!G18,0)</f>
        <v>0</v>
      </c>
      <c r="H12" s="33">
        <f>IFERROR('Historical FS'!H18,0)</f>
        <v>0.362845771748872</v>
      </c>
      <c r="I12" s="33">
        <f>IFERROR('Historical FS'!I18,0)</f>
        <v>0.37605114817723989</v>
      </c>
      <c r="J12" s="33">
        <f>IFERROR('Historical FS'!J18,0)</f>
        <v>0.34320143794978525</v>
      </c>
      <c r="K12" s="33">
        <f>IFERROR('Historical FS'!K18,0)</f>
        <v>0.28274844120730563</v>
      </c>
      <c r="L12" s="33">
        <f>IFERROR('Historical FS'!L18,0)</f>
        <v>0.23532848931632994</v>
      </c>
      <c r="M12" s="33">
        <f>IFERROR('Historical FS'!M18,0)</f>
        <v>0.22592717884803709</v>
      </c>
      <c r="O12" s="32">
        <f t="shared" ref="O12:O15" si="2">IFERROR(AVERAGE(D12:M12),0)</f>
        <v>0.18261024672475695</v>
      </c>
      <c r="P12" s="5">
        <f t="shared" ref="P12:P15" si="3">IFERROR(MEDIAN(D12:M12),0)</f>
        <v>0.23062783408218351</v>
      </c>
    </row>
    <row r="13" spans="2:16" x14ac:dyDescent="0.3">
      <c r="B13" s="53" t="s">
        <v>150</v>
      </c>
      <c r="C13" s="53"/>
      <c r="D13" s="33">
        <f>IFERROR(('Historical FS'!D17-'Historical FS'!D24)/'Historical FS'!D5,0)</f>
        <v>0</v>
      </c>
      <c r="E13" s="33">
        <f>IFERROR(('Historical FS'!E17-'Historical FS'!E24)/'Historical FS'!E5,0)</f>
        <v>0</v>
      </c>
      <c r="F13" s="33">
        <f>IFERROR(('Historical FS'!F17-'Historical FS'!F24)/'Historical FS'!F5,0)</f>
        <v>0</v>
      </c>
      <c r="G13" s="33">
        <f>IFERROR(('Historical FS'!G17-'Historical FS'!G24)/'Historical FS'!G5,0)</f>
        <v>0</v>
      </c>
      <c r="H13" s="33">
        <f>IFERROR(('Historical FS'!H17-'Historical FS'!H24)/'Historical FS'!H5,0)</f>
        <v>0.32692424541629311</v>
      </c>
      <c r="I13" s="33">
        <f>IFERROR(('Historical FS'!I17-'Historical FS'!I24)/'Historical FS'!I5,0)</f>
        <v>0.34752575890588194</v>
      </c>
      <c r="J13" s="33">
        <f>IFERROR(('Historical FS'!J17-'Historical FS'!J24)/'Historical FS'!J5,0)</f>
        <v>0.31813730057195305</v>
      </c>
      <c r="K13" s="33">
        <f>IFERROR(('Historical FS'!K17-'Historical FS'!K24)/'Historical FS'!K5,0)</f>
        <v>0.24226397395574681</v>
      </c>
      <c r="L13" s="33">
        <f>IFERROR(('Historical FS'!L17-'Historical FS'!L24)/'Historical FS'!L5,0)</f>
        <v>0.17450112273863502</v>
      </c>
      <c r="M13" s="33">
        <f>IFERROR(('Historical FS'!M17-'Historical FS'!M24)/'Historical FS'!M5,0)</f>
        <v>0.15864862458826676</v>
      </c>
      <c r="O13" s="32">
        <f t="shared" si="2"/>
        <v>0.15680010261767768</v>
      </c>
      <c r="P13" s="5">
        <f t="shared" si="3"/>
        <v>0.16657487366345089</v>
      </c>
    </row>
    <row r="14" spans="2:16" x14ac:dyDescent="0.3">
      <c r="B14" s="53" t="s">
        <v>151</v>
      </c>
      <c r="C14" s="53"/>
      <c r="D14" s="33">
        <f>IFERROR('Historical FS'!D28,0)</f>
        <v>0</v>
      </c>
      <c r="E14" s="33">
        <f>IFERROR('Historical FS'!E28,0)</f>
        <v>0</v>
      </c>
      <c r="F14" s="33">
        <f>IFERROR('Historical FS'!F28,0)</f>
        <v>0</v>
      </c>
      <c r="G14" s="33">
        <f>IFERROR('Historical FS'!G28,0)</f>
        <v>0</v>
      </c>
      <c r="H14" s="33">
        <f>IFERROR('Historical FS'!H28,0)</f>
        <v>0.3241975664960276</v>
      </c>
      <c r="I14" s="33">
        <f>IFERROR('Historical FS'!I28,0)</f>
        <v>0.34654102943214909</v>
      </c>
      <c r="J14" s="33">
        <f>IFERROR('Historical FS'!J28,0)</f>
        <v>0.31694658361946126</v>
      </c>
      <c r="K14" s="33">
        <f>IFERROR('Historical FS'!K28,0)</f>
        <v>0.24020857473928153</v>
      </c>
      <c r="L14" s="33">
        <f>IFERROR('Historical FS'!L28,0)</f>
        <v>0.16987600446270965</v>
      </c>
      <c r="M14" s="33">
        <f>IFERROR('Historical FS'!M28,0)</f>
        <v>0.15117065788302328</v>
      </c>
      <c r="O14" s="32">
        <f t="shared" si="2"/>
        <v>0.15489404166326523</v>
      </c>
      <c r="P14" s="5">
        <f t="shared" si="3"/>
        <v>0.16052333117286646</v>
      </c>
    </row>
    <row r="15" spans="2:16" x14ac:dyDescent="0.3">
      <c r="B15" s="54" t="s">
        <v>152</v>
      </c>
      <c r="C15" s="54"/>
      <c r="D15" s="55">
        <f>IFERROR('Historical FS'!D34,0)</f>
        <v>0</v>
      </c>
      <c r="E15" s="55">
        <f>IFERROR('Historical FS'!E34,0)</f>
        <v>0</v>
      </c>
      <c r="F15" s="55">
        <f>IFERROR('Historical FS'!F34,0)</f>
        <v>0</v>
      </c>
      <c r="G15" s="55">
        <f>IFERROR('Historical FS'!G34,0)</f>
        <v>0</v>
      </c>
      <c r="H15" s="55">
        <f>IFERROR('Historical FS'!H34,0)</f>
        <v>0.24064650392672138</v>
      </c>
      <c r="I15" s="55">
        <f>IFERROR('Historical FS'!I34,0)</f>
        <v>0.24897772951993727</v>
      </c>
      <c r="J15" s="55">
        <f>IFERROR('Historical FS'!J34,0)</f>
        <v>0.22448650331423781</v>
      </c>
      <c r="K15" s="55">
        <f>IFERROR('Historical FS'!K34,0)</f>
        <v>0.16474093693097167</v>
      </c>
      <c r="L15" s="55">
        <f>IFERROR('Historical FS'!L34,0)</f>
        <v>0.10631063847815968</v>
      </c>
      <c r="M15" s="55">
        <f>IFERROR('Historical FS'!M34,0)</f>
        <v>8.6338467016825474E-2</v>
      </c>
      <c r="O15" s="32">
        <f t="shared" si="2"/>
        <v>0.10715007791868533</v>
      </c>
      <c r="P15" s="5">
        <f t="shared" si="3"/>
        <v>9.6324552747492576E-2</v>
      </c>
    </row>
    <row r="17" spans="2:16" x14ac:dyDescent="0.3">
      <c r="B17" s="51" t="s">
        <v>153</v>
      </c>
      <c r="C17" s="51"/>
      <c r="D17" s="52">
        <f>IFERROR('Historical FS'!D15,0)</f>
        <v>0</v>
      </c>
      <c r="E17" s="52">
        <f>IFERROR('Historical FS'!E15,0)</f>
        <v>0</v>
      </c>
      <c r="F17" s="52">
        <f>IFERROR('Historical FS'!F15,0)</f>
        <v>0</v>
      </c>
      <c r="G17" s="52">
        <f>IFERROR('Historical FS'!G15,0)</f>
        <v>0</v>
      </c>
      <c r="H17" s="52">
        <f>IFERROR('Historical FS'!H15,0)</f>
        <v>4.4568668256596444E-2</v>
      </c>
      <c r="I17" s="52">
        <f>IFERROR('Historical FS'!I15,0)</f>
        <v>4.3894099708912809E-2</v>
      </c>
      <c r="J17" s="52">
        <f>IFERROR('Historical FS'!J15,0)</f>
        <v>4.7799105144397155E-2</v>
      </c>
      <c r="K17" s="52">
        <f>IFERROR('Historical FS'!K15,0)</f>
        <v>6.4111902002979643E-2</v>
      </c>
      <c r="L17" s="52">
        <f>IFERROR('Historical FS'!L15,0)</f>
        <v>6.64675394370772E-2</v>
      </c>
      <c r="M17" s="52">
        <f>IFERROR('Historical FS'!M15,0)</f>
        <v>0.11688596100774504</v>
      </c>
      <c r="O17" s="32">
        <f>IFERROR(AVERAGE(D17:M17),0)</f>
        <v>3.8372727555770828E-2</v>
      </c>
      <c r="P17" s="5">
        <f t="shared" ref="P17:P18" si="4">IFERROR(MEDIAN(D17:M17),0)</f>
        <v>4.4231383982754627E-2</v>
      </c>
    </row>
    <row r="18" spans="2:16" x14ac:dyDescent="0.3">
      <c r="B18" s="53" t="s">
        <v>154</v>
      </c>
      <c r="C18" s="53"/>
      <c r="D18" s="33">
        <f>IFERROR('Historical FS'!D25,0)</f>
        <v>0</v>
      </c>
      <c r="E18" s="33">
        <f>IFERROR('Historical FS'!E25,0)</f>
        <v>0</v>
      </c>
      <c r="F18" s="33">
        <f>IFERROR('Historical FS'!F25,0)</f>
        <v>0</v>
      </c>
      <c r="G18" s="33">
        <f>IFERROR('Historical FS'!G25,0)</f>
        <v>0</v>
      </c>
      <c r="H18" s="33">
        <f>IFERROR('Historical FS'!H25,0)</f>
        <v>3.5921526332578883E-2</v>
      </c>
      <c r="I18" s="33">
        <f>IFERROR('Historical FS'!I25,0)</f>
        <v>2.8525389271357945E-2</v>
      </c>
      <c r="J18" s="33">
        <f>IFERROR('Historical FS'!J25,0)</f>
        <v>2.5064137377832214E-2</v>
      </c>
      <c r="K18" s="33">
        <f>IFERROR('Historical FS'!K25,0)</f>
        <v>4.0484467251558798E-2</v>
      </c>
      <c r="L18" s="33">
        <f>IFERROR('Historical FS'!L25,0)</f>
        <v>6.082736657769492E-2</v>
      </c>
      <c r="M18" s="33">
        <f>IFERROR('Historical FS'!M25,0)</f>
        <v>6.7278554259770321E-2</v>
      </c>
      <c r="O18" s="32">
        <f t="shared" ref="O18:O19" si="5">IFERROR(AVERAGE(D18:M18),0)</f>
        <v>2.5810144107079307E-2</v>
      </c>
      <c r="P18" s="5">
        <f t="shared" si="4"/>
        <v>2.6794763324595079E-2</v>
      </c>
    </row>
    <row r="19" spans="2:16" x14ac:dyDescent="0.3">
      <c r="B19" s="54" t="s">
        <v>155</v>
      </c>
      <c r="C19" s="54"/>
      <c r="D19" s="55">
        <f>D13</f>
        <v>0</v>
      </c>
      <c r="E19" s="55">
        <f t="shared" ref="E19:M19" si="6">E13</f>
        <v>0</v>
      </c>
      <c r="F19" s="55">
        <f t="shared" si="6"/>
        <v>0</v>
      </c>
      <c r="G19" s="55">
        <f t="shared" si="6"/>
        <v>0</v>
      </c>
      <c r="H19" s="55">
        <f t="shared" si="6"/>
        <v>0.32692424541629311</v>
      </c>
      <c r="I19" s="55">
        <f t="shared" si="6"/>
        <v>0.34752575890588194</v>
      </c>
      <c r="J19" s="55">
        <f t="shared" si="6"/>
        <v>0.31813730057195305</v>
      </c>
      <c r="K19" s="55">
        <f t="shared" si="6"/>
        <v>0.24226397395574681</v>
      </c>
      <c r="L19" s="55">
        <f t="shared" si="6"/>
        <v>0.17450112273863502</v>
      </c>
      <c r="M19" s="55">
        <f t="shared" si="6"/>
        <v>0.15864862458826676</v>
      </c>
      <c r="O19" s="32">
        <f t="shared" si="5"/>
        <v>0.15680010261767768</v>
      </c>
      <c r="P19" s="5">
        <f>IFERROR(MEDIAN(D19:M19),0)</f>
        <v>0.16657487366345089</v>
      </c>
    </row>
    <row r="21" spans="2:16" x14ac:dyDescent="0.3">
      <c r="B21" s="51" t="s">
        <v>156</v>
      </c>
      <c r="C21" s="51"/>
      <c r="D21" s="52">
        <f>IFERROR(('Historical FS'!D17-'Historical FS'!D24)/SUM('Historical FS'!D48:D50),0)</f>
        <v>0</v>
      </c>
      <c r="E21" s="52">
        <f>IFERROR(('Historical FS'!E17-'Historical FS'!E24)/SUM('Historical FS'!E48:E50),0)</f>
        <v>0</v>
      </c>
      <c r="F21" s="52">
        <f>IFERROR(('Historical FS'!F17-'Historical FS'!F24)/SUM('Historical FS'!F48:F50),0)</f>
        <v>0</v>
      </c>
      <c r="G21" s="52">
        <f>IFERROR(('Historical FS'!G17-'Historical FS'!G24)/SUM('Historical FS'!G48:G50),0)</f>
        <v>0</v>
      </c>
      <c r="H21" s="52">
        <f>IFERROR(('Historical FS'!H17-'Historical FS'!H24)/SUM('Historical FS'!H48:H50),0)</f>
        <v>0.23577727870289211</v>
      </c>
      <c r="I21" s="52">
        <f>IFERROR(('Historical FS'!I17-'Historical FS'!I24)/SUM('Historical FS'!I48:I50),0)</f>
        <v>0.20368840805383676</v>
      </c>
      <c r="J21" s="52">
        <f>IFERROR(('Historical FS'!J17-'Historical FS'!J24)/SUM('Historical FS'!J48:J50),0)</f>
        <v>0.19547048738125417</v>
      </c>
      <c r="K21" s="52">
        <f>IFERROR(('Historical FS'!K17-'Historical FS'!K24)/SUM('Historical FS'!K48:K50),0)</f>
        <v>0.11027141201305508</v>
      </c>
      <c r="L21" s="52">
        <f>IFERROR(('Historical FS'!L17-'Historical FS'!L24)/SUM('Historical FS'!L48:L50),0)</f>
        <v>0.10867402300569158</v>
      </c>
      <c r="M21" s="52">
        <f>IFERROR(('Historical FS'!M17-'Historical FS'!M24)/SUM('Historical FS'!M48:M50),0)</f>
        <v>9.4146746572447759E-2</v>
      </c>
      <c r="O21" s="32">
        <f>IFERROR(AVERAGE(D21:M21),0)</f>
        <v>9.4802835572917757E-2</v>
      </c>
      <c r="P21" s="5">
        <f>IFERROR(MEDIAN(D21:M21),0)</f>
        <v>0.10141038478906966</v>
      </c>
    </row>
    <row r="22" spans="2:16" x14ac:dyDescent="0.3">
      <c r="B22" s="53" t="s">
        <v>157</v>
      </c>
      <c r="C22" s="53"/>
      <c r="D22" s="33">
        <f>IFERROR('Historical FS'!D44,0)</f>
        <v>0</v>
      </c>
      <c r="E22" s="33">
        <f>IFERROR('Historical FS'!E44,0)</f>
        <v>0</v>
      </c>
      <c r="F22" s="33">
        <f>IFERROR('Historical FS'!F44,0)</f>
        <v>0</v>
      </c>
      <c r="G22" s="33">
        <f>IFERROR('Historical FS'!G44,0)</f>
        <v>0</v>
      </c>
      <c r="H22" s="33">
        <f>IFERROR('Historical FS'!H44,0)</f>
        <v>1</v>
      </c>
      <c r="I22" s="33">
        <f>IFERROR('Historical FS'!I44,0)</f>
        <v>1</v>
      </c>
      <c r="J22" s="33">
        <f>IFERROR('Historical FS'!J44,0)</f>
        <v>1</v>
      </c>
      <c r="K22" s="33">
        <f>IFERROR('Historical FS'!K44,0)</f>
        <v>1</v>
      </c>
      <c r="L22" s="33">
        <f>IFERROR('Historical FS'!L44,0)</f>
        <v>0.45302381189598562</v>
      </c>
      <c r="M22" s="33">
        <f>IFERROR('Historical FS'!M44,0)</f>
        <v>0.38827023014105455</v>
      </c>
      <c r="O22" s="32">
        <f t="shared" ref="O22:O24" si="7">IFERROR(AVERAGE(D22:M22),0)</f>
        <v>0.48412940420370398</v>
      </c>
      <c r="P22" s="5">
        <f t="shared" ref="P22:P24" si="8">IFERROR(MEDIAN(D22:M22),0)</f>
        <v>0.42064702101852008</v>
      </c>
    </row>
    <row r="23" spans="2:16" x14ac:dyDescent="0.3">
      <c r="B23" s="53" t="s">
        <v>158</v>
      </c>
      <c r="C23" s="53"/>
      <c r="D23" s="33">
        <f>IFERROR('Historical FS'!D33/SUM('Historical FS'!D48:D49),0)</f>
        <v>0</v>
      </c>
      <c r="E23" s="33">
        <f>IFERROR('Historical FS'!E33/SUM('Historical FS'!E48:E49),0)</f>
        <v>0</v>
      </c>
      <c r="F23" s="33">
        <f>IFERROR('Historical FS'!F33/SUM('Historical FS'!F48:F49),0)</f>
        <v>0</v>
      </c>
      <c r="G23" s="33">
        <f>IFERROR('Historical FS'!G33/SUM('Historical FS'!G48:G49),0)</f>
        <v>0</v>
      </c>
      <c r="H23" s="33">
        <f>IFERROR('Historical FS'!H33/SUM('Historical FS'!H48:H49),0)</f>
        <v>0.17378998639694582</v>
      </c>
      <c r="I23" s="33">
        <f>IFERROR('Historical FS'!I33/SUM('Historical FS'!I48:I49),0)</f>
        <v>0.14605199856350079</v>
      </c>
      <c r="J23" s="33">
        <f>IFERROR('Historical FS'!J33/SUM('Historical FS'!J48:J49),0)</f>
        <v>0.13802073873717793</v>
      </c>
      <c r="K23" s="33">
        <f>IFERROR('Historical FS'!K33/SUM('Historical FS'!K48:K49),0)</f>
        <v>7.50271400426199E-2</v>
      </c>
      <c r="L23" s="33">
        <f>IFERROR('Historical FS'!L33/SUM('Historical FS'!L48:L49),0)</f>
        <v>6.9031527400777726E-2</v>
      </c>
      <c r="M23" s="33">
        <f>IFERROR('Historical FS'!M33/SUM('Historical FS'!M48:M49),0)</f>
        <v>5.2992377673961186E-2</v>
      </c>
      <c r="O23" s="32">
        <f t="shared" si="7"/>
        <v>6.5491376881498337E-2</v>
      </c>
      <c r="P23" s="5">
        <f t="shared" si="8"/>
        <v>6.1011952537369456E-2</v>
      </c>
    </row>
    <row r="24" spans="2:16" x14ac:dyDescent="0.3">
      <c r="B24" s="53" t="s">
        <v>159</v>
      </c>
      <c r="C24" s="53"/>
      <c r="D24" s="33">
        <f>IFERROR(D22*D23,0)</f>
        <v>0</v>
      </c>
      <c r="E24" s="33">
        <f t="shared" ref="E24:M24" si="9">IFERROR(E22*E23,0)</f>
        <v>0</v>
      </c>
      <c r="F24" s="33">
        <f t="shared" si="9"/>
        <v>0</v>
      </c>
      <c r="G24" s="33">
        <f t="shared" si="9"/>
        <v>0</v>
      </c>
      <c r="H24" s="33">
        <f t="shared" si="9"/>
        <v>0.17378998639694582</v>
      </c>
      <c r="I24" s="33">
        <f t="shared" si="9"/>
        <v>0.14605199856350079</v>
      </c>
      <c r="J24" s="33">
        <f t="shared" si="9"/>
        <v>0.13802073873717793</v>
      </c>
      <c r="K24" s="33">
        <f t="shared" si="9"/>
        <v>7.50271400426199E-2</v>
      </c>
      <c r="L24" s="33">
        <f t="shared" si="9"/>
        <v>3.1272925684102504E-2</v>
      </c>
      <c r="M24" s="33">
        <f t="shared" si="9"/>
        <v>2.0575362675190591E-2</v>
      </c>
      <c r="O24" s="32">
        <f t="shared" si="7"/>
        <v>5.847381520995374E-2</v>
      </c>
      <c r="P24" s="5">
        <f t="shared" si="8"/>
        <v>2.5924144179646547E-2</v>
      </c>
    </row>
    <row r="25" spans="2:16" x14ac:dyDescent="0.3">
      <c r="B25" s="54" t="s">
        <v>172</v>
      </c>
      <c r="C25" s="54"/>
      <c r="D25" s="56">
        <f>IFERROR(('Historical FS'!D17-'Historical FS'!D24)/'Historical FS'!D21,0)</f>
        <v>0</v>
      </c>
      <c r="E25" s="56">
        <f>IFERROR(('Historical FS'!E17-'Historical FS'!E24)/'Historical FS'!E21,0)</f>
        <v>0</v>
      </c>
      <c r="F25" s="56">
        <f>IFERROR(('Historical FS'!F17-'Historical FS'!F24)/'Historical FS'!F21,0)</f>
        <v>0</v>
      </c>
      <c r="G25" s="56">
        <f>IFERROR(('Historical FS'!G17-'Historical FS'!G24)/'Historical FS'!G21,0)</f>
        <v>0</v>
      </c>
      <c r="H25" s="56">
        <f>IFERROR(('Historical FS'!H17-'Historical FS'!H24)/'Historical FS'!H21,0)</f>
        <v>119.89832869080776</v>
      </c>
      <c r="I25" s="56">
        <f>IFERROR(('Historical FS'!I17-'Historical FS'!I24)/'Historical FS'!I21,0)</f>
        <v>352.91495601173034</v>
      </c>
      <c r="J25" s="56">
        <f>IFERROR(('Historical FS'!J17-'Historical FS'!J24)/'Historical FS'!J21,0)</f>
        <v>267.18129770992357</v>
      </c>
      <c r="K25" s="56">
        <f>IFERROR(('Historical FS'!K17-'Historical FS'!K24)/'Historical FS'!K21,0)</f>
        <v>117.86711409395971</v>
      </c>
      <c r="L25" s="56">
        <f>IFERROR(('Historical FS'!L17-'Historical FS'!L24)/'Historical FS'!L21,0)</f>
        <v>37.729007633587813</v>
      </c>
      <c r="M25" s="56">
        <f>IFERROR(('Historical FS'!M17-'Historical FS'!M24)/'Historical FS'!M21,0)</f>
        <v>21.215476190476199</v>
      </c>
      <c r="O25" s="35">
        <f>IFERROR(AVERAGE(D25:M25),0)</f>
        <v>91.680618033048546</v>
      </c>
      <c r="P25" s="5">
        <f>IFERROR(MEDIAN(D25:M25),0)</f>
        <v>29.472241912032004</v>
      </c>
    </row>
    <row r="27" spans="2:16" x14ac:dyDescent="0.3">
      <c r="B27" s="51" t="s">
        <v>160</v>
      </c>
      <c r="C27" s="51"/>
      <c r="D27" s="57">
        <f>IFERROR('Historical FS'!D5/'Historical FS'!D60,0)</f>
        <v>0</v>
      </c>
      <c r="E27" s="57">
        <f>IFERROR('Historical FS'!E5/'Historical FS'!E60,0)</f>
        <v>0</v>
      </c>
      <c r="F27" s="57">
        <f>IFERROR('Historical FS'!F5/'Historical FS'!F60,0)</f>
        <v>0</v>
      </c>
      <c r="G27" s="57">
        <f>IFERROR('Historical FS'!G5/'Historical FS'!G60,0)</f>
        <v>0</v>
      </c>
      <c r="H27" s="57">
        <f>IFERROR('Historical FS'!H5/'Historical FS'!H60,0)</f>
        <v>4.3756792236494455</v>
      </c>
      <c r="I27" s="57">
        <f>IFERROR('Historical FS'!I5/'Historical FS'!I60,0)</f>
        <v>5.1610057081538665</v>
      </c>
      <c r="J27" s="57">
        <f>IFERROR('Historical FS'!J5/'Historical FS'!J60,0)</f>
        <v>4.0944073836305952</v>
      </c>
      <c r="K27" s="57">
        <f>IFERROR('Historical FS'!K5/'Historical FS'!K60,0)</f>
        <v>4.1595611609038432</v>
      </c>
      <c r="L27" s="57">
        <f>IFERROR('Historical FS'!L5/'Historical FS'!L60,0)</f>
        <v>3.6342826347766395</v>
      </c>
      <c r="M27" s="57">
        <f>IFERROR('Historical FS'!M5/'Historical FS'!M60,0)</f>
        <v>3.7035205370154234</v>
      </c>
      <c r="O27" s="35">
        <f>IFERROR(AVERAGE(D27:M27),0)</f>
        <v>2.5128456648129811</v>
      </c>
      <c r="P27" s="36">
        <f>IFERROR(MEDIAN(D27:M27),0)</f>
        <v>3.6689015858960312</v>
      </c>
    </row>
    <row r="28" spans="2:16" x14ac:dyDescent="0.3">
      <c r="B28" s="53" t="s">
        <v>161</v>
      </c>
      <c r="C28" s="53"/>
      <c r="D28" s="58">
        <f>IFERROR('Historical FS'!D5/'Historical FS'!D51,0)</f>
        <v>0</v>
      </c>
      <c r="E28" s="58">
        <f>IFERROR('Historical FS'!E5/'Historical FS'!E51,0)</f>
        <v>0</v>
      </c>
      <c r="F28" s="58">
        <f>IFERROR('Historical FS'!F5/'Historical FS'!F51,0)</f>
        <v>0</v>
      </c>
      <c r="G28" s="58">
        <f>IFERROR('Historical FS'!G5/'Historical FS'!G51,0)</f>
        <v>0</v>
      </c>
      <c r="H28" s="58">
        <f>IFERROR('Historical FS'!H5/'Historical FS'!H51,0)</f>
        <v>6.0557919186808631</v>
      </c>
      <c r="I28" s="58">
        <f>IFERROR('Historical FS'!I5/'Historical FS'!I51,0)</f>
        <v>5.8908546543277085</v>
      </c>
      <c r="J28" s="58">
        <f>IFERROR('Historical FS'!J5/'Historical FS'!J51,0)</f>
        <v>6.5557972201945569</v>
      </c>
      <c r="K28" s="58">
        <f>IFERROR('Historical FS'!K5/'Historical FS'!K51,0)</f>
        <v>4.4508024607979175</v>
      </c>
      <c r="L28" s="58">
        <f>IFERROR('Historical FS'!L5/'Historical FS'!L51,0)</f>
        <v>3.7395827832057038</v>
      </c>
      <c r="M28" s="58">
        <f>IFERROR('Historical FS'!M5/'Historical FS'!M51,0)</f>
        <v>3.1903955829224513</v>
      </c>
      <c r="O28" s="35">
        <f t="shared" ref="O28:O31" si="10">IFERROR(AVERAGE(D28:M28),0)</f>
        <v>2.9883224620129201</v>
      </c>
      <c r="P28" s="36">
        <f t="shared" ref="P28:P31" si="11">IFERROR(MEDIAN(D28:M28),0)</f>
        <v>3.4649891830640778</v>
      </c>
    </row>
    <row r="29" spans="2:16" x14ac:dyDescent="0.3">
      <c r="B29" s="53" t="s">
        <v>162</v>
      </c>
      <c r="C29" s="53"/>
      <c r="D29" s="58">
        <f>IFERROR('Historical FS'!D5/'Historical FS'!D61,0)</f>
        <v>0</v>
      </c>
      <c r="E29" s="58">
        <f>IFERROR('Historical FS'!E5/'Historical FS'!E61,0)</f>
        <v>0</v>
      </c>
      <c r="F29" s="58">
        <f>IFERROR('Historical FS'!F5/'Historical FS'!F61,0)</f>
        <v>0</v>
      </c>
      <c r="G29" s="58">
        <f>IFERROR('Historical FS'!G5/'Historical FS'!G61,0)</f>
        <v>0</v>
      </c>
      <c r="H29" s="58">
        <f>IFERROR('Historical FS'!H5/'Historical FS'!H61,0)</f>
        <v>3.4818321256677418</v>
      </c>
      <c r="I29" s="58">
        <f>IFERROR('Historical FS'!I5/'Historical FS'!I61,0)</f>
        <v>2.7156222307613884</v>
      </c>
      <c r="J29" s="58">
        <f>IFERROR('Historical FS'!J5/'Historical FS'!J61,0)</f>
        <v>3.7115807939814616</v>
      </c>
      <c r="K29" s="58">
        <f>IFERROR('Historical FS'!K5/'Historical FS'!K61,0)</f>
        <v>1.8632601655271681</v>
      </c>
      <c r="L29" s="58">
        <f>IFERROR('Historical FS'!L5/'Historical FS'!L61,0)</f>
        <v>3.4222952562770357</v>
      </c>
      <c r="M29" s="58">
        <f>IFERROR('Historical FS'!M5/'Historical FS'!M61,0)</f>
        <v>3.3327992784324896</v>
      </c>
      <c r="O29" s="35">
        <f t="shared" si="10"/>
        <v>1.8527389850647284</v>
      </c>
      <c r="P29" s="36">
        <f t="shared" si="11"/>
        <v>2.2894411981442784</v>
      </c>
    </row>
    <row r="30" spans="2:16" x14ac:dyDescent="0.3">
      <c r="B30" s="53" t="s">
        <v>163</v>
      </c>
      <c r="C30" s="53"/>
      <c r="D30" s="58">
        <f>IFERROR('Historical FS'!D5/'Historical FS'!D54,0)</f>
        <v>0</v>
      </c>
      <c r="E30" s="58">
        <f>IFERROR('Historical FS'!E5/'Historical FS'!E54,0)</f>
        <v>0</v>
      </c>
      <c r="F30" s="58">
        <f>IFERROR('Historical FS'!F5/'Historical FS'!F54,0)</f>
        <v>0</v>
      </c>
      <c r="G30" s="58">
        <f>IFERROR('Historical FS'!G5/'Historical FS'!G54,0)</f>
        <v>0</v>
      </c>
      <c r="H30" s="58">
        <f>IFERROR('Historical FS'!H5/'Historical FS'!H54,0)</f>
        <v>2.7200082636091309</v>
      </c>
      <c r="I30" s="58">
        <f>IFERROR('Historical FS'!I5/'Historical FS'!I54,0)</f>
        <v>3.6289783385556942</v>
      </c>
      <c r="J30" s="58">
        <f>IFERROR('Historical FS'!J5/'Historical FS'!J54,0)</f>
        <v>2.9295295535185297</v>
      </c>
      <c r="K30" s="58">
        <f>IFERROR('Historical FS'!K5/'Historical FS'!K54,0)</f>
        <v>2.307853936519054</v>
      </c>
      <c r="L30" s="58">
        <f>IFERROR('Historical FS'!L5/'Historical FS'!L54,0)</f>
        <v>1.4352872616709953</v>
      </c>
      <c r="M30" s="58">
        <f>IFERROR('Historical FS'!M5/'Historical FS'!M54,0)</f>
        <v>1.3542741678803254</v>
      </c>
      <c r="O30" s="35">
        <f t="shared" si="10"/>
        <v>1.4375931521753729</v>
      </c>
      <c r="P30" s="36">
        <f t="shared" si="11"/>
        <v>1.3947807147756603</v>
      </c>
    </row>
    <row r="31" spans="2:16" x14ac:dyDescent="0.3">
      <c r="B31" s="54" t="s">
        <v>164</v>
      </c>
      <c r="C31" s="54"/>
      <c r="D31" s="56">
        <f>IFERROR('Historical FS'!D5/SUM('Historical FS'!D48:D49),0)</f>
        <v>0</v>
      </c>
      <c r="E31" s="56">
        <f>IFERROR('Historical FS'!E5/SUM('Historical FS'!E48:E49),0)</f>
        <v>0</v>
      </c>
      <c r="F31" s="56">
        <f>IFERROR('Historical FS'!F5/SUM('Historical FS'!F48:F49),0)</f>
        <v>0</v>
      </c>
      <c r="G31" s="56">
        <f>IFERROR('Historical FS'!G5/SUM('Historical FS'!G48:G49),0)</f>
        <v>0</v>
      </c>
      <c r="H31" s="56">
        <f>IFERROR('Historical FS'!H5/SUM('Historical FS'!H48:H49),0)</f>
        <v>0.72217956031418662</v>
      </c>
      <c r="I31" s="56">
        <f>IFERROR('Historical FS'!I5/SUM('Historical FS'!I48:I49),0)</f>
        <v>0.58660667701126845</v>
      </c>
      <c r="J31" s="56">
        <f>IFERROR('Historical FS'!J5/SUM('Historical FS'!J48:J49),0)</f>
        <v>0.61482867210050274</v>
      </c>
      <c r="K31" s="56">
        <f>IFERROR('Historical FS'!K5/SUM('Historical FS'!K48:K49),0)</f>
        <v>0.45542499296369265</v>
      </c>
      <c r="L31" s="56">
        <f>IFERROR('Historical FS'!L5/SUM('Historical FS'!L48:L49),0)</f>
        <v>0.64933790624312226</v>
      </c>
      <c r="M31" s="56">
        <f>IFERROR('Historical FS'!M5/SUM('Historical FS'!M48:M49),0)</f>
        <v>0.61377482719995624</v>
      </c>
      <c r="O31" s="35">
        <f t="shared" si="10"/>
        <v>0.36421526358327294</v>
      </c>
      <c r="P31" s="36">
        <f t="shared" si="11"/>
        <v>0.5210158349874805</v>
      </c>
    </row>
    <row r="33" spans="2:16" x14ac:dyDescent="0.3">
      <c r="B33" s="51" t="s">
        <v>44</v>
      </c>
      <c r="C33" s="51"/>
      <c r="D33" s="59">
        <f>IFERROR(365/D27,0)</f>
        <v>0</v>
      </c>
      <c r="E33" s="59">
        <f t="shared" ref="E33:M33" si="12">IFERROR(365/E27,0)</f>
        <v>0</v>
      </c>
      <c r="F33" s="59">
        <f t="shared" si="12"/>
        <v>0</v>
      </c>
      <c r="G33" s="59">
        <f t="shared" si="12"/>
        <v>0</v>
      </c>
      <c r="H33" s="59">
        <f t="shared" si="12"/>
        <v>83.415621059986947</v>
      </c>
      <c r="I33" s="59">
        <f t="shared" si="12"/>
        <v>70.722649933003751</v>
      </c>
      <c r="J33" s="59">
        <f t="shared" si="12"/>
        <v>89.145990078873638</v>
      </c>
      <c r="K33" s="59">
        <f t="shared" si="12"/>
        <v>87.74964133973404</v>
      </c>
      <c r="L33" s="59">
        <f t="shared" si="12"/>
        <v>100.4324750384838</v>
      </c>
      <c r="M33" s="59">
        <f t="shared" si="12"/>
        <v>98.554874031870384</v>
      </c>
      <c r="O33" s="34">
        <f>IFERROR(AVERAGE(D33:M33),0)</f>
        <v>53.002125148195248</v>
      </c>
      <c r="P33" s="37">
        <f>IFERROR(MEDIAN(D33:M33),0)</f>
        <v>77.069135496495349</v>
      </c>
    </row>
    <row r="34" spans="2:16" x14ac:dyDescent="0.3">
      <c r="B34" s="53" t="s">
        <v>165</v>
      </c>
      <c r="C34" s="53"/>
      <c r="D34" s="60">
        <f>IFERROR(365/D28,0)</f>
        <v>0</v>
      </c>
      <c r="E34" s="60">
        <f t="shared" ref="E34:M34" si="13">IFERROR(365/E28,0)</f>
        <v>0</v>
      </c>
      <c r="F34" s="60">
        <f t="shared" si="13"/>
        <v>0</v>
      </c>
      <c r="G34" s="60">
        <f t="shared" si="13"/>
        <v>0</v>
      </c>
      <c r="H34" s="60">
        <f t="shared" si="13"/>
        <v>60.272876760188979</v>
      </c>
      <c r="I34" s="60">
        <f t="shared" si="13"/>
        <v>61.960449105946495</v>
      </c>
      <c r="J34" s="60">
        <f t="shared" si="13"/>
        <v>55.675913659386779</v>
      </c>
      <c r="K34" s="60">
        <f t="shared" si="13"/>
        <v>82.007683606466912</v>
      </c>
      <c r="L34" s="60">
        <f t="shared" si="13"/>
        <v>97.604471183041696</v>
      </c>
      <c r="M34" s="60">
        <f t="shared" si="13"/>
        <v>114.4058755452684</v>
      </c>
      <c r="O34" s="34">
        <f t="shared" ref="O34:O36" si="14">IFERROR(AVERAGE(D34:M34),0)</f>
        <v>47.192726986029925</v>
      </c>
      <c r="P34" s="37">
        <f t="shared" ref="P34:P36" si="15">IFERROR(MEDIAN(D34:M34),0)</f>
        <v>57.974395209787879</v>
      </c>
    </row>
    <row r="35" spans="2:16" x14ac:dyDescent="0.3">
      <c r="B35" s="53" t="s">
        <v>166</v>
      </c>
      <c r="C35" s="53"/>
      <c r="D35" s="60">
        <f>IFERROR(365/D29,0)</f>
        <v>0</v>
      </c>
      <c r="E35" s="60">
        <f t="shared" ref="E35:M35" si="16">IFERROR(365/E29,0)</f>
        <v>0</v>
      </c>
      <c r="F35" s="60">
        <f t="shared" si="16"/>
        <v>0</v>
      </c>
      <c r="G35" s="60">
        <f t="shared" si="16"/>
        <v>0</v>
      </c>
      <c r="H35" s="60">
        <f t="shared" si="16"/>
        <v>104.82986738770489</v>
      </c>
      <c r="I35" s="60">
        <f t="shared" si="16"/>
        <v>134.40750184817264</v>
      </c>
      <c r="J35" s="60">
        <f t="shared" si="16"/>
        <v>98.340847272371974</v>
      </c>
      <c r="K35" s="60">
        <f t="shared" si="16"/>
        <v>195.8932020084975</v>
      </c>
      <c r="L35" s="60">
        <f t="shared" si="16"/>
        <v>106.65356804925926</v>
      </c>
      <c r="M35" s="60">
        <f t="shared" si="16"/>
        <v>109.51754651473337</v>
      </c>
      <c r="O35" s="34">
        <f t="shared" si="14"/>
        <v>74.964253308073964</v>
      </c>
      <c r="P35" s="37">
        <f t="shared" si="15"/>
        <v>101.58535733003843</v>
      </c>
    </row>
    <row r="36" spans="2:16" x14ac:dyDescent="0.3">
      <c r="B36" s="54" t="s">
        <v>167</v>
      </c>
      <c r="C36" s="54"/>
      <c r="D36" s="61">
        <f>IFERROR(SUM(D33,D35)-D34,0)</f>
        <v>0</v>
      </c>
      <c r="E36" s="61">
        <f t="shared" ref="E36:M36" si="17">IFERROR(SUM(E33,E35)-E34,0)</f>
        <v>0</v>
      </c>
      <c r="F36" s="61">
        <f t="shared" si="17"/>
        <v>0</v>
      </c>
      <c r="G36" s="61">
        <f t="shared" si="17"/>
        <v>0</v>
      </c>
      <c r="H36" s="61">
        <f t="shared" si="17"/>
        <v>127.97261168750288</v>
      </c>
      <c r="I36" s="61">
        <f t="shared" si="17"/>
        <v>143.16970267522987</v>
      </c>
      <c r="J36" s="61">
        <f t="shared" si="17"/>
        <v>131.81092369185882</v>
      </c>
      <c r="K36" s="61">
        <f t="shared" si="17"/>
        <v>201.6351597417646</v>
      </c>
      <c r="L36" s="61">
        <f t="shared" si="17"/>
        <v>109.48157190470137</v>
      </c>
      <c r="M36" s="61">
        <f t="shared" si="17"/>
        <v>93.666545001335351</v>
      </c>
      <c r="O36" s="34">
        <f t="shared" si="14"/>
        <v>80.773651470239287</v>
      </c>
      <c r="P36" s="37">
        <f t="shared" si="15"/>
        <v>101.57405845301835</v>
      </c>
    </row>
    <row r="38" spans="2:16" x14ac:dyDescent="0.3">
      <c r="B38" s="51" t="s">
        <v>168</v>
      </c>
      <c r="C38" s="51"/>
      <c r="D38" s="52">
        <f>IFERROR('Historical FS'!D80/'Historical FS'!D5,0)</f>
        <v>0</v>
      </c>
      <c r="E38" s="52">
        <f>IFERROR('Historical FS'!E80/'Historical FS'!E5,0)</f>
        <v>0</v>
      </c>
      <c r="F38" s="52">
        <f>IFERROR('Historical FS'!F80/'Historical FS'!F5,0)</f>
        <v>0</v>
      </c>
      <c r="G38" s="52">
        <f>IFERROR('Historical FS'!G80/'Historical FS'!G5,0)</f>
        <v>0</v>
      </c>
      <c r="H38" s="52">
        <f>IFERROR('Historical FS'!H80/'Historical FS'!H5,0)</f>
        <v>4.4321824064650395</v>
      </c>
      <c r="I38" s="52">
        <f>IFERROR('Historical FS'!I80/'Historical FS'!I5,0)</f>
        <v>9.1536524511389352</v>
      </c>
      <c r="J38" s="52">
        <f>IFERROR('Historical FS'!J80/'Historical FS'!J5,0)</f>
        <v>6.5687127758929806</v>
      </c>
      <c r="K38" s="52">
        <f>IFERROR('Historical FS'!K80/'Historical FS'!K5,0)</f>
        <v>0.97445235336312974</v>
      </c>
      <c r="L38" s="52">
        <f>IFERROR('Historical FS'!L80/'Historical FS'!L5,0)</f>
        <v>5.6950740725049069</v>
      </c>
      <c r="M38" s="52">
        <f>IFERROR('Historical FS'!M80/'Historical FS'!M5,0)</f>
        <v>13.396421258791062</v>
      </c>
      <c r="O38" s="32">
        <f>IFERROR(AVERAGE(D38:M38),0)</f>
        <v>4.0220495318156058</v>
      </c>
      <c r="P38" s="5">
        <f>IFERROR(MEDIAN(D38:M38),0)</f>
        <v>2.7033173799140844</v>
      </c>
    </row>
    <row r="39" spans="2:16" x14ac:dyDescent="0.3">
      <c r="B39" s="53" t="s">
        <v>169</v>
      </c>
      <c r="C39" s="53"/>
      <c r="D39" s="33">
        <f>IFERROR('Historical FS'!D80/'Historical FS'!D65,0)</f>
        <v>0</v>
      </c>
      <c r="E39" s="33">
        <f>IFERROR('Historical FS'!E80/'Historical FS'!E65,0)</f>
        <v>0</v>
      </c>
      <c r="F39" s="33">
        <f>IFERROR('Historical FS'!F80/'Historical FS'!F65,0)</f>
        <v>0</v>
      </c>
      <c r="G39" s="33">
        <f>IFERROR('Historical FS'!G80/'Historical FS'!G65,0)</f>
        <v>0</v>
      </c>
      <c r="H39" s="33">
        <f>IFERROR('Historical FS'!H80/'Historical FS'!H65,0)</f>
        <v>2.856317746076265</v>
      </c>
      <c r="I39" s="33">
        <f>IFERROR('Historical FS'!I80/'Historical FS'!I65,0)</f>
        <v>4.8795581335205229</v>
      </c>
      <c r="J39" s="33">
        <f>IFERROR('Historical FS'!J80/'Historical FS'!J65,0)</f>
        <v>3.6901155658360176</v>
      </c>
      <c r="K39" s="33">
        <f>IFERROR('Historical FS'!K80/'Historical FS'!K65,0)</f>
        <v>0.40239064703778049</v>
      </c>
      <c r="L39" s="33">
        <f>IFERROR('Historical FS'!L80/'Historical FS'!L65,0)</f>
        <v>3.0403899419554206</v>
      </c>
      <c r="M39" s="33">
        <f>IFERROR('Historical FS'!M80/'Historical FS'!M65,0)</f>
        <v>6.7030321819665533</v>
      </c>
      <c r="O39" s="32">
        <f t="shared" ref="O39:O40" si="18">IFERROR(AVERAGE(D39:M39),0)</f>
        <v>2.1571804216392563</v>
      </c>
      <c r="P39" s="5">
        <f t="shared" ref="P39:P40" si="19">IFERROR(MEDIAN(D39:M39),0)</f>
        <v>1.6293541965570226</v>
      </c>
    </row>
    <row r="40" spans="2:16" x14ac:dyDescent="0.3">
      <c r="B40" s="54" t="s">
        <v>170</v>
      </c>
      <c r="C40" s="54"/>
      <c r="D40" s="55">
        <f>IFERROR('Historical FS'!D80/'Historical FS'!D50,0)</f>
        <v>0</v>
      </c>
      <c r="E40" s="55">
        <f>IFERROR('Historical FS'!E80/'Historical FS'!E50,0)</f>
        <v>0</v>
      </c>
      <c r="F40" s="55">
        <f>IFERROR('Historical FS'!F80/'Historical FS'!F50,0)</f>
        <v>0</v>
      </c>
      <c r="G40" s="55">
        <f>IFERROR('Historical FS'!G80/'Historical FS'!G50,0)</f>
        <v>0</v>
      </c>
      <c r="H40" s="55">
        <f>IFERROR('Historical FS'!H80/'Historical FS'!H50,0)</f>
        <v>2353.0241935483873</v>
      </c>
      <c r="I40" s="55">
        <f>IFERROR('Historical FS'!I80/'Historical FS'!I50,0)</f>
        <v>6339.6</v>
      </c>
      <c r="J40" s="55">
        <f>IFERROR('Historical FS'!J80/'Historical FS'!J50,0)</f>
        <v>6098.5232067510542</v>
      </c>
      <c r="K40" s="55">
        <f>IFERROR('Historical FS'!K80/'Historical FS'!K50,0)</f>
        <v>793.70786516853934</v>
      </c>
      <c r="L40" s="55">
        <f>IFERROR('Historical FS'!L80/'Historical FS'!L50,0)</f>
        <v>86.683504849934167</v>
      </c>
      <c r="M40" s="55">
        <f>IFERROR('Historical FS'!M80/'Historical FS'!M50,0)</f>
        <v>239.82723998342522</v>
      </c>
      <c r="O40" s="32">
        <f t="shared" si="18"/>
        <v>1591.1366010301342</v>
      </c>
      <c r="P40" s="5">
        <f t="shared" si="19"/>
        <v>163.25537241667968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topLeftCell="C1" workbookViewId="0">
      <selection activeCell="J21" sqref="J21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4.44140625" customWidth="1"/>
  </cols>
  <sheetData>
    <row r="2" spans="2:15" x14ac:dyDescent="0.3">
      <c r="B2" s="42" t="str">
        <f>'Data Sheet'!$B$1&amp;" -" &amp;'Data Sheet'!A17</f>
        <v>GLAND PHARMA LTD -Sales</v>
      </c>
      <c r="C2" s="42"/>
      <c r="D2" s="42"/>
      <c r="E2" s="42"/>
      <c r="G2" s="43" t="str">
        <f>'Data Sheet'!$B$1&amp;" - "&amp;'Historical FS'!B17</f>
        <v>GLAND PHARMA LTD - EBITDA</v>
      </c>
      <c r="H2" s="43"/>
      <c r="I2" s="43"/>
      <c r="J2" s="43"/>
      <c r="L2" s="43" t="str">
        <f>'Data Sheet'!B1&amp; " - " &amp;'Historical FS'!B38</f>
        <v>GLAND PHARMA LTD - EPS(Earning per share)</v>
      </c>
      <c r="M2" s="43"/>
      <c r="N2" s="43"/>
      <c r="O2" s="43"/>
    </row>
    <row r="3" spans="2:15" x14ac:dyDescent="0.3">
      <c r="B3" s="44" t="s">
        <v>176</v>
      </c>
      <c r="C3" s="44" t="s">
        <v>177</v>
      </c>
      <c r="D3" s="45" t="s">
        <v>5</v>
      </c>
      <c r="E3" s="45" t="s">
        <v>21</v>
      </c>
      <c r="G3" s="44" t="s">
        <v>176</v>
      </c>
      <c r="H3" s="44" t="s">
        <v>177</v>
      </c>
      <c r="I3" s="45" t="s">
        <v>5</v>
      </c>
      <c r="J3" s="45" t="s">
        <v>21</v>
      </c>
      <c r="L3" s="44" t="s">
        <v>176</v>
      </c>
      <c r="M3" s="44" t="s">
        <v>177</v>
      </c>
      <c r="N3" s="45" t="s">
        <v>5</v>
      </c>
      <c r="O3" s="45" t="s">
        <v>21</v>
      </c>
    </row>
    <row r="4" spans="2:15" x14ac:dyDescent="0.3">
      <c r="B4">
        <v>1</v>
      </c>
      <c r="C4" s="39">
        <v>2015</v>
      </c>
      <c r="D4" s="40">
        <f t="array" ref="D4:D13">TRANSPOSE('Data Sheet'!B17:K17)</f>
        <v>0</v>
      </c>
      <c r="G4">
        <v>1</v>
      </c>
      <c r="H4" s="39">
        <v>2015</v>
      </c>
      <c r="I4" s="40">
        <f t="array" ref="I4:I13">TRANSPOSE('Historical FS'!D17:M17)</f>
        <v>0</v>
      </c>
      <c r="L4">
        <v>1</v>
      </c>
      <c r="M4" s="39">
        <v>2015</v>
      </c>
      <c r="N4" s="40">
        <f t="array" ref="N4:N13">TRANSPOSE('Historical FS'!D38:M38)</f>
        <v>0</v>
      </c>
    </row>
    <row r="5" spans="2:15" x14ac:dyDescent="0.3">
      <c r="B5">
        <f>B4+1</f>
        <v>2</v>
      </c>
      <c r="C5" s="39">
        <f>C4+1</f>
        <v>2016</v>
      </c>
      <c r="D5" s="40">
        <v>0</v>
      </c>
      <c r="E5" s="29"/>
      <c r="G5">
        <f>G4+1</f>
        <v>2</v>
      </c>
      <c r="H5" s="39">
        <f>H4+1</f>
        <v>2016</v>
      </c>
      <c r="I5" s="40">
        <v>0</v>
      </c>
      <c r="J5" s="32"/>
      <c r="L5">
        <f>L4+1</f>
        <v>2</v>
      </c>
      <c r="M5" s="39">
        <f>M4+1</f>
        <v>2016</v>
      </c>
      <c r="N5" s="40">
        <v>0</v>
      </c>
      <c r="O5" s="32"/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0">
        <v>0</v>
      </c>
      <c r="E6" s="29"/>
      <c r="G6">
        <f t="shared" ref="G6:H18" si="2">G5+1</f>
        <v>3</v>
      </c>
      <c r="H6" s="39">
        <f t="shared" si="2"/>
        <v>2017</v>
      </c>
      <c r="I6" s="40">
        <v>0</v>
      </c>
      <c r="J6" s="32"/>
      <c r="L6">
        <f t="shared" ref="L6:M6" si="3">L5+1</f>
        <v>3</v>
      </c>
      <c r="M6" s="39">
        <f t="shared" si="3"/>
        <v>2017</v>
      </c>
      <c r="N6" s="40">
        <v>0</v>
      </c>
      <c r="O6" s="32"/>
    </row>
    <row r="7" spans="2:15" x14ac:dyDescent="0.3">
      <c r="B7">
        <f t="shared" si="0"/>
        <v>4</v>
      </c>
      <c r="C7" s="39">
        <f t="shared" si="1"/>
        <v>2018</v>
      </c>
      <c r="D7" s="40">
        <v>0</v>
      </c>
      <c r="E7" s="29"/>
      <c r="G7">
        <f t="shared" si="2"/>
        <v>4</v>
      </c>
      <c r="H7" s="39">
        <f t="shared" si="2"/>
        <v>2018</v>
      </c>
      <c r="I7" s="40">
        <v>0</v>
      </c>
      <c r="J7" s="32"/>
      <c r="L7">
        <f t="shared" ref="L7:M7" si="4">L6+1</f>
        <v>4</v>
      </c>
      <c r="M7" s="39">
        <f t="shared" si="4"/>
        <v>2018</v>
      </c>
      <c r="N7" s="40">
        <v>0</v>
      </c>
      <c r="O7" s="32"/>
    </row>
    <row r="8" spans="2:15" x14ac:dyDescent="0.3">
      <c r="B8">
        <f t="shared" si="0"/>
        <v>5</v>
      </c>
      <c r="C8" s="39">
        <f t="shared" si="1"/>
        <v>2019</v>
      </c>
      <c r="D8" s="40">
        <v>2633.24</v>
      </c>
      <c r="E8" s="29"/>
      <c r="G8">
        <f t="shared" si="2"/>
        <v>5</v>
      </c>
      <c r="H8" s="39">
        <f t="shared" si="2"/>
        <v>2019</v>
      </c>
      <c r="I8" s="40">
        <v>955.4599999999997</v>
      </c>
      <c r="J8" s="32"/>
      <c r="L8">
        <f t="shared" ref="L8:M8" si="5">L7+1</f>
        <v>5</v>
      </c>
      <c r="M8" s="39">
        <f t="shared" si="5"/>
        <v>2019</v>
      </c>
      <c r="N8" s="40">
        <v>40.908973531310501</v>
      </c>
      <c r="O8" s="32"/>
    </row>
    <row r="9" spans="2:15" x14ac:dyDescent="0.3">
      <c r="B9">
        <f t="shared" si="0"/>
        <v>6</v>
      </c>
      <c r="C9" s="39">
        <f t="shared" si="1"/>
        <v>2020</v>
      </c>
      <c r="D9" s="40">
        <v>3462.88</v>
      </c>
      <c r="E9" s="29">
        <f t="shared" ref="E6:E18" si="6">D9/D8-1</f>
        <v>0.31506433139402423</v>
      </c>
      <c r="G9">
        <f t="shared" si="2"/>
        <v>6</v>
      </c>
      <c r="H9" s="39">
        <f t="shared" si="2"/>
        <v>2020</v>
      </c>
      <c r="I9" s="40">
        <v>1302.2200000000005</v>
      </c>
      <c r="J9" s="29">
        <f t="shared" ref="J6:J18" si="7">I9/I8-1</f>
        <v>0.36292466455948014</v>
      </c>
      <c r="L9">
        <f t="shared" ref="L9:M9" si="8">L8+1</f>
        <v>6</v>
      </c>
      <c r="M9" s="39">
        <f t="shared" si="8"/>
        <v>2020</v>
      </c>
      <c r="N9" s="40">
        <v>52.700488997555041</v>
      </c>
      <c r="O9" s="29">
        <f t="shared" ref="O6:O18" si="9">N9/N8-1</f>
        <v>0.28823787175250604</v>
      </c>
    </row>
    <row r="10" spans="2:15" x14ac:dyDescent="0.3">
      <c r="B10">
        <f t="shared" si="0"/>
        <v>7</v>
      </c>
      <c r="C10" s="39">
        <f t="shared" si="1"/>
        <v>2021</v>
      </c>
      <c r="D10" s="40">
        <v>4400.71</v>
      </c>
      <c r="E10" s="29">
        <f t="shared" si="6"/>
        <v>0.27082370743427431</v>
      </c>
      <c r="G10">
        <f t="shared" si="2"/>
        <v>7</v>
      </c>
      <c r="H10" s="39">
        <f t="shared" si="2"/>
        <v>2021</v>
      </c>
      <c r="I10" s="40">
        <v>1510.3299999999995</v>
      </c>
      <c r="J10" s="29">
        <f t="shared" si="7"/>
        <v>0.15981170616332019</v>
      </c>
      <c r="L10">
        <f t="shared" ref="L10:M10" si="10">L9+1</f>
        <v>7</v>
      </c>
      <c r="M10" s="39">
        <f t="shared" si="10"/>
        <v>2021</v>
      </c>
      <c r="N10" s="40">
        <v>60.127814972611048</v>
      </c>
      <c r="O10" s="29">
        <f t="shared" si="9"/>
        <v>0.14093466903885066</v>
      </c>
    </row>
    <row r="11" spans="2:15" x14ac:dyDescent="0.3">
      <c r="B11">
        <f t="shared" si="0"/>
        <v>8</v>
      </c>
      <c r="C11" s="39">
        <f t="shared" si="1"/>
        <v>2022</v>
      </c>
      <c r="D11" s="40">
        <v>3624.6</v>
      </c>
      <c r="E11" s="29">
        <f t="shared" si="6"/>
        <v>-0.17636017824396522</v>
      </c>
      <c r="G11">
        <f t="shared" si="2"/>
        <v>8</v>
      </c>
      <c r="H11" s="39">
        <f t="shared" si="2"/>
        <v>2022</v>
      </c>
      <c r="I11" s="40">
        <v>1024.8499999999999</v>
      </c>
      <c r="J11" s="29">
        <f t="shared" si="7"/>
        <v>-0.32143968536677392</v>
      </c>
      <c r="L11">
        <f t="shared" ref="L11:M11" si="11">L10+1</f>
        <v>8</v>
      </c>
      <c r="M11" s="39">
        <f t="shared" si="11"/>
        <v>2022</v>
      </c>
      <c r="N11" s="40">
        <v>36.255009107468119</v>
      </c>
      <c r="O11" s="29">
        <f t="shared" si="9"/>
        <v>-0.39703431558285096</v>
      </c>
    </row>
    <row r="12" spans="2:15" x14ac:dyDescent="0.3">
      <c r="B12">
        <f t="shared" si="0"/>
        <v>9</v>
      </c>
      <c r="C12" s="39">
        <f t="shared" si="1"/>
        <v>2023</v>
      </c>
      <c r="D12" s="40">
        <v>5664.72</v>
      </c>
      <c r="E12" s="29">
        <f t="shared" si="6"/>
        <v>0.56285383214699558</v>
      </c>
      <c r="G12">
        <f t="shared" si="2"/>
        <v>9</v>
      </c>
      <c r="H12" s="39">
        <f t="shared" si="2"/>
        <v>2023</v>
      </c>
      <c r="I12" s="40">
        <v>1333.0700000000006</v>
      </c>
      <c r="J12" s="29">
        <f t="shared" si="7"/>
        <v>0.3007464507001032</v>
      </c>
      <c r="L12">
        <f t="shared" ref="L12:M12" si="12">L11+1</f>
        <v>9</v>
      </c>
      <c r="M12" s="39">
        <f t="shared" si="12"/>
        <v>2023</v>
      </c>
      <c r="N12" s="40">
        <v>36.564663023679465</v>
      </c>
      <c r="O12" s="29">
        <f t="shared" si="9"/>
        <v>8.5409967845673229E-3</v>
      </c>
    </row>
    <row r="13" spans="2:15" x14ac:dyDescent="0.3">
      <c r="B13">
        <f t="shared" si="0"/>
        <v>10</v>
      </c>
      <c r="C13" s="39">
        <f t="shared" si="1"/>
        <v>2024</v>
      </c>
      <c r="D13" s="40">
        <v>5616.5</v>
      </c>
      <c r="E13" s="29">
        <f t="shared" si="6"/>
        <v>-8.5123360024855765E-3</v>
      </c>
      <c r="G13">
        <f t="shared" si="2"/>
        <v>10</v>
      </c>
      <c r="H13" s="39">
        <f t="shared" si="2"/>
        <v>2024</v>
      </c>
      <c r="I13" s="40">
        <v>1268.9200000000003</v>
      </c>
      <c r="J13" s="29">
        <f t="shared" si="7"/>
        <v>-4.8122004095809134E-2</v>
      </c>
      <c r="L13">
        <f t="shared" ref="L13:M13" si="13">L12+1</f>
        <v>10</v>
      </c>
      <c r="M13" s="39">
        <f t="shared" si="13"/>
        <v>2024</v>
      </c>
      <c r="N13" s="40">
        <v>29.424757281553415</v>
      </c>
      <c r="O13" s="29">
        <f t="shared" si="9"/>
        <v>-0.19526792131250359</v>
      </c>
    </row>
    <row r="14" spans="2:15" x14ac:dyDescent="0.3">
      <c r="B14" s="46">
        <f t="shared" si="0"/>
        <v>11</v>
      </c>
      <c r="C14" s="47">
        <f t="shared" si="1"/>
        <v>2025</v>
      </c>
      <c r="D14" s="48">
        <f>FORECAST(B14,$D$4:$D$13,$B$4:$B$13)</f>
        <v>6618.8086666666668</v>
      </c>
      <c r="E14" s="49">
        <f t="shared" si="6"/>
        <v>0.17845787708834093</v>
      </c>
      <c r="G14" s="46">
        <f t="shared" si="2"/>
        <v>11</v>
      </c>
      <c r="H14" s="47">
        <f t="shared" si="2"/>
        <v>2025</v>
      </c>
      <c r="I14" s="48">
        <f>FORECAST(G14,$I$4:$I$13,$G$4:$G$13)</f>
        <v>1764.6106666666669</v>
      </c>
      <c r="J14" s="49">
        <f t="shared" si="7"/>
        <v>0.39063980918156105</v>
      </c>
      <c r="L14" s="46">
        <f t="shared" ref="L14:M14" si="14">L13+1</f>
        <v>11</v>
      </c>
      <c r="M14" s="47">
        <f t="shared" si="14"/>
        <v>2025</v>
      </c>
      <c r="N14" s="48">
        <f>FORECAST(L14,$N$4:$N$13,$L$4:$L$13)</f>
        <v>55.405686112122936</v>
      </c>
      <c r="O14" s="49">
        <f t="shared" si="9"/>
        <v>0.88296153412477407</v>
      </c>
    </row>
    <row r="15" spans="2:15" x14ac:dyDescent="0.3">
      <c r="B15" s="46">
        <f t="shared" si="0"/>
        <v>12</v>
      </c>
      <c r="C15" s="47">
        <f t="shared" si="1"/>
        <v>2026</v>
      </c>
      <c r="D15" s="48">
        <f t="shared" ref="D15:D18" si="15">FORECAST(B15,$D$4:$D$13,$B$4:$B$13)</f>
        <v>7360.3620606060604</v>
      </c>
      <c r="E15" s="49">
        <f t="shared" si="6"/>
        <v>0.11203729119319772</v>
      </c>
      <c r="G15" s="46">
        <f t="shared" si="2"/>
        <v>12</v>
      </c>
      <c r="H15" s="47">
        <f t="shared" si="2"/>
        <v>2026</v>
      </c>
      <c r="I15" s="48">
        <f t="shared" ref="I15:I18" si="16">FORECAST(G15,$I$4:$I$13,$G$4:$G$13)</f>
        <v>1950.9971515151519</v>
      </c>
      <c r="J15" s="49">
        <f t="shared" si="7"/>
        <v>0.10562470712056116</v>
      </c>
      <c r="L15" s="46">
        <f t="shared" ref="L15:M15" si="17">L14+1</f>
        <v>12</v>
      </c>
      <c r="M15" s="47">
        <f t="shared" si="17"/>
        <v>2026</v>
      </c>
      <c r="N15" s="48">
        <f t="shared" ref="N15:N18" si="18">FORECAST(L15,$N$4:$N$13,$L$4:$L$13)</f>
        <v>60.825234370432966</v>
      </c>
      <c r="O15" s="49">
        <f t="shared" si="9"/>
        <v>9.7815741282269109E-2</v>
      </c>
    </row>
    <row r="16" spans="2:15" x14ac:dyDescent="0.3">
      <c r="B16" s="46">
        <f t="shared" si="0"/>
        <v>13</v>
      </c>
      <c r="C16" s="47">
        <f t="shared" si="1"/>
        <v>2027</v>
      </c>
      <c r="D16" s="48">
        <f t="shared" si="15"/>
        <v>8101.9154545454539</v>
      </c>
      <c r="E16" s="49">
        <f t="shared" si="6"/>
        <v>0.10074958104416032</v>
      </c>
      <c r="G16" s="46">
        <f t="shared" si="2"/>
        <v>13</v>
      </c>
      <c r="H16" s="47">
        <f t="shared" si="2"/>
        <v>2027</v>
      </c>
      <c r="I16" s="48">
        <f t="shared" si="16"/>
        <v>2137.3836363636369</v>
      </c>
      <c r="J16" s="49">
        <f t="shared" si="7"/>
        <v>9.5533960520514549E-2</v>
      </c>
      <c r="L16" s="46">
        <f t="shared" ref="L16:M16" si="19">L15+1</f>
        <v>13</v>
      </c>
      <c r="M16" s="47">
        <f t="shared" si="19"/>
        <v>2027</v>
      </c>
      <c r="N16" s="48">
        <f t="shared" si="18"/>
        <v>66.244782628742996</v>
      </c>
      <c r="O16" s="49">
        <f t="shared" si="9"/>
        <v>8.9100326770700677E-2</v>
      </c>
    </row>
    <row r="17" spans="2:15" x14ac:dyDescent="0.3">
      <c r="B17" s="46">
        <f t="shared" si="0"/>
        <v>14</v>
      </c>
      <c r="C17" s="47">
        <f t="shared" si="1"/>
        <v>2028</v>
      </c>
      <c r="D17" s="48">
        <f t="shared" si="15"/>
        <v>8843.4688484848484</v>
      </c>
      <c r="E17" s="49">
        <f t="shared" si="6"/>
        <v>9.1528157520251341E-2</v>
      </c>
      <c r="G17" s="46">
        <f t="shared" si="2"/>
        <v>14</v>
      </c>
      <c r="H17" s="47">
        <f t="shared" si="2"/>
        <v>2028</v>
      </c>
      <c r="I17" s="48">
        <f t="shared" si="16"/>
        <v>2323.7701212121215</v>
      </c>
      <c r="J17" s="49">
        <f t="shared" si="7"/>
        <v>8.7203102745554206E-2</v>
      </c>
      <c r="L17" s="46">
        <f t="shared" ref="L17:M17" si="20">L16+1</f>
        <v>14</v>
      </c>
      <c r="M17" s="47">
        <f t="shared" si="20"/>
        <v>2028</v>
      </c>
      <c r="N17" s="48">
        <f t="shared" si="18"/>
        <v>71.664330887053026</v>
      </c>
      <c r="O17" s="49">
        <f t="shared" si="9"/>
        <v>8.1810944851052225E-2</v>
      </c>
    </row>
    <row r="18" spans="2:15" x14ac:dyDescent="0.3">
      <c r="B18" s="46">
        <f t="shared" si="0"/>
        <v>15</v>
      </c>
      <c r="C18" s="47">
        <f t="shared" si="1"/>
        <v>2029</v>
      </c>
      <c r="D18" s="48">
        <f t="shared" si="15"/>
        <v>9585.022242424242</v>
      </c>
      <c r="E18" s="49">
        <f t="shared" si="6"/>
        <v>8.3853226222020849E-2</v>
      </c>
      <c r="G18" s="46">
        <f t="shared" si="2"/>
        <v>15</v>
      </c>
      <c r="H18" s="47">
        <f t="shared" si="2"/>
        <v>2029</v>
      </c>
      <c r="I18" s="48">
        <f t="shared" si="16"/>
        <v>2510.1566060606065</v>
      </c>
      <c r="J18" s="49">
        <f t="shared" si="7"/>
        <v>8.0208658828637702E-2</v>
      </c>
      <c r="L18" s="46">
        <f t="shared" ref="L18:M18" si="21">L17+1</f>
        <v>15</v>
      </c>
      <c r="M18" s="47">
        <f t="shared" si="21"/>
        <v>2029</v>
      </c>
      <c r="N18" s="48">
        <f t="shared" si="18"/>
        <v>77.083879145363056</v>
      </c>
      <c r="O18" s="49">
        <f t="shared" si="9"/>
        <v>7.5624068364658736E-2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2025-06-17T22:09:46Z</dcterms:modified>
</cp:coreProperties>
</file>