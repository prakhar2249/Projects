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ocuments\Financial Modelling\"/>
    </mc:Choice>
  </mc:AlternateContent>
  <xr:revisionPtr revIDLastSave="0" documentId="13_ncr:1_{74289220-9F2B-453F-B465-4EC04495041B}" xr6:coauthVersionLast="47" xr6:coauthVersionMax="47" xr10:uidLastSave="{00000000-0000-0000-0000-000000000000}"/>
  <bookViews>
    <workbookView xWindow="-108" yWindow="-108" windowWidth="23256" windowHeight="12456" firstSheet="1" activeTab="1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1" l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M30" i="11"/>
  <c r="J30" i="11"/>
  <c r="M29" i="11"/>
  <c r="M35" i="11" s="1"/>
  <c r="L29" i="11"/>
  <c r="L35" i="11" s="1"/>
  <c r="K29" i="11"/>
  <c r="K35" i="11" s="1"/>
  <c r="J29" i="11"/>
  <c r="J35" i="11" s="1"/>
  <c r="L28" i="11"/>
  <c r="L34" i="11" s="1"/>
  <c r="J28" i="11"/>
  <c r="J34" i="11" s="1"/>
  <c r="I28" i="11"/>
  <c r="I34" i="11" s="1"/>
  <c r="H28" i="11"/>
  <c r="H34" i="11" s="1"/>
  <c r="G28" i="11"/>
  <c r="G34" i="11" s="1"/>
  <c r="J27" i="11"/>
  <c r="J33" i="11" s="1"/>
  <c r="G27" i="11"/>
  <c r="G33" i="11" s="1"/>
  <c r="F27" i="11"/>
  <c r="F33" i="11" s="1"/>
  <c r="E27" i="11"/>
  <c r="E33" i="11" s="1"/>
  <c r="D31" i="11"/>
  <c r="H18" i="11"/>
  <c r="N21" i="8"/>
  <c r="M21" i="8"/>
  <c r="L21" i="8"/>
  <c r="K21" i="8"/>
  <c r="J21" i="8"/>
  <c r="I21" i="8"/>
  <c r="H21" i="8"/>
  <c r="H22" i="8" s="1"/>
  <c r="G21" i="8"/>
  <c r="F21" i="8"/>
  <c r="E21" i="8"/>
  <c r="D21" i="8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M27" i="11" s="1"/>
  <c r="M33" i="11" s="1"/>
  <c r="L60" i="8"/>
  <c r="K60" i="8"/>
  <c r="J60" i="8"/>
  <c r="I60" i="8"/>
  <c r="I27" i="11" s="1"/>
  <c r="I33" i="11" s="1"/>
  <c r="H60" i="8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M28" i="11" s="1"/>
  <c r="M34" i="11" s="1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M31" i="11" s="1"/>
  <c r="L48" i="8"/>
  <c r="K48" i="8"/>
  <c r="J48" i="8"/>
  <c r="J31" i="11" s="1"/>
  <c r="I48" i="8"/>
  <c r="I31" i="11" s="1"/>
  <c r="H48" i="8"/>
  <c r="G48" i="8"/>
  <c r="G31" i="11" s="1"/>
  <c r="F48" i="8"/>
  <c r="F31" i="11" s="1"/>
  <c r="E48" i="8"/>
  <c r="E31" i="11" s="1"/>
  <c r="D52" i="8"/>
  <c r="D51" i="8"/>
  <c r="D50" i="8"/>
  <c r="D49" i="8"/>
  <c r="D48" i="8"/>
  <c r="M36" i="8"/>
  <c r="M41" i="8" s="1"/>
  <c r="L36" i="8"/>
  <c r="L41" i="8" s="1"/>
  <c r="K36" i="8"/>
  <c r="K41" i="8" s="1"/>
  <c r="J36" i="8"/>
  <c r="J41" i="8" s="1"/>
  <c r="I36" i="8"/>
  <c r="I41" i="8" s="1"/>
  <c r="H36" i="8"/>
  <c r="H41" i="8" s="1"/>
  <c r="G36" i="8"/>
  <c r="G41" i="8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H25" i="8" s="1"/>
  <c r="G24" i="8"/>
  <c r="F24" i="8"/>
  <c r="E24" i="8"/>
  <c r="D24" i="8"/>
  <c r="N24" i="8"/>
  <c r="N14" i="8"/>
  <c r="M14" i="8"/>
  <c r="L14" i="8"/>
  <c r="K14" i="8"/>
  <c r="J14" i="8"/>
  <c r="I14" i="8"/>
  <c r="H14" i="8"/>
  <c r="G14" i="8"/>
  <c r="G15" i="8" s="1"/>
  <c r="G17" i="11" s="1"/>
  <c r="F14" i="8"/>
  <c r="E14" i="8"/>
  <c r="D14" i="8"/>
  <c r="N8" i="8"/>
  <c r="M8" i="8"/>
  <c r="L8" i="8"/>
  <c r="L12" i="8" s="1"/>
  <c r="L11" i="11" s="1"/>
  <c r="K8" i="8"/>
  <c r="J8" i="8"/>
  <c r="I8" i="8"/>
  <c r="I12" i="8" s="1"/>
  <c r="I11" i="11" s="1"/>
  <c r="H8" i="8"/>
  <c r="G8" i="8"/>
  <c r="F8" i="8"/>
  <c r="F12" i="8" s="1"/>
  <c r="F11" i="11" s="1"/>
  <c r="E8" i="8"/>
  <c r="E12" i="8" s="1"/>
  <c r="E11" i="11" s="1"/>
  <c r="D8" i="8"/>
  <c r="D12" i="8" s="1"/>
  <c r="D11" i="11" s="1"/>
  <c r="N5" i="8"/>
  <c r="N12" i="8" s="1"/>
  <c r="M5" i="8"/>
  <c r="L5" i="8"/>
  <c r="L31" i="11" s="1"/>
  <c r="K5" i="8"/>
  <c r="K30" i="11" s="1"/>
  <c r="J5" i="8"/>
  <c r="J12" i="8" s="1"/>
  <c r="J11" i="11" s="1"/>
  <c r="I5" i="8"/>
  <c r="I30" i="11" s="1"/>
  <c r="H5" i="8"/>
  <c r="H29" i="11" s="1"/>
  <c r="H35" i="11" s="1"/>
  <c r="G5" i="8"/>
  <c r="G29" i="11" s="1"/>
  <c r="G35" i="11" s="1"/>
  <c r="F5" i="8"/>
  <c r="F29" i="11" s="1"/>
  <c r="F35" i="11" s="1"/>
  <c r="E5" i="8"/>
  <c r="E28" i="11" s="1"/>
  <c r="E34" i="11" s="1"/>
  <c r="D5" i="8"/>
  <c r="D29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L6" i="1" s="1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G18" i="2"/>
  <c r="H18" i="2"/>
  <c r="I18" i="2"/>
  <c r="I21" i="2" s="1"/>
  <c r="J18" i="2"/>
  <c r="K18" i="2"/>
  <c r="B17" i="2"/>
  <c r="C4" i="2"/>
  <c r="D4" i="2"/>
  <c r="E4" i="2"/>
  <c r="E5" i="2"/>
  <c r="E23" i="2" s="1"/>
  <c r="F4" i="2"/>
  <c r="G4" i="2"/>
  <c r="H4" i="2"/>
  <c r="H23" i="2" s="1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G14" i="3" s="1"/>
  <c r="H4" i="3"/>
  <c r="I4" i="3"/>
  <c r="J4" i="3"/>
  <c r="J14" i="3" s="1"/>
  <c r="K4" i="3"/>
  <c r="L4" i="1" s="1"/>
  <c r="L23" i="1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E4" i="1"/>
  <c r="F4" i="1"/>
  <c r="G4" i="1"/>
  <c r="H4" i="1"/>
  <c r="I4" i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23" i="2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B21" i="2" s="1"/>
  <c r="A1" i="1"/>
  <c r="E1" i="6"/>
  <c r="H1" i="1" s="1"/>
  <c r="E1" i="2"/>
  <c r="E1" i="3"/>
  <c r="K23" i="2"/>
  <c r="F23" i="2"/>
  <c r="C23" i="2"/>
  <c r="C16" i="2"/>
  <c r="I6" i="1"/>
  <c r="I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B18" i="2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K20" i="2"/>
  <c r="D20" i="2"/>
  <c r="A1" i="3"/>
  <c r="A1" i="2"/>
  <c r="A1" i="4" s="1"/>
  <c r="H23" i="1"/>
  <c r="G36" i="11" l="1"/>
  <c r="L13" i="1"/>
  <c r="L14" i="1" s="1"/>
  <c r="L25" i="1" s="1"/>
  <c r="J36" i="11"/>
  <c r="M36" i="11"/>
  <c r="P29" i="11"/>
  <c r="D35" i="11"/>
  <c r="O29" i="11"/>
  <c r="G9" i="11"/>
  <c r="C21" i="2"/>
  <c r="L10" i="1"/>
  <c r="N11" i="1" s="1"/>
  <c r="E14" i="3"/>
  <c r="D28" i="11"/>
  <c r="J14" i="1"/>
  <c r="I23" i="1"/>
  <c r="C14" i="3"/>
  <c r="I16" i="2"/>
  <c r="M15" i="8"/>
  <c r="M17" i="11" s="1"/>
  <c r="D30" i="11"/>
  <c r="F28" i="11"/>
  <c r="F34" i="11" s="1"/>
  <c r="F36" i="11" s="1"/>
  <c r="I29" i="11"/>
  <c r="I35" i="11" s="1"/>
  <c r="I36" i="11" s="1"/>
  <c r="L30" i="11"/>
  <c r="H15" i="8"/>
  <c r="H17" i="11" s="1"/>
  <c r="G12" i="8"/>
  <c r="G11" i="11" s="1"/>
  <c r="P11" i="11" s="1"/>
  <c r="H27" i="11"/>
  <c r="H33" i="11" s="1"/>
  <c r="H36" i="11" s="1"/>
  <c r="K28" i="11"/>
  <c r="K34" i="11" s="1"/>
  <c r="K36" i="11" s="1"/>
  <c r="E30" i="11"/>
  <c r="H31" i="11"/>
  <c r="O31" i="11" s="1"/>
  <c r="G13" i="1"/>
  <c r="G14" i="1" s="1"/>
  <c r="H12" i="8"/>
  <c r="H11" i="11" s="1"/>
  <c r="F30" i="11"/>
  <c r="L9" i="11"/>
  <c r="D16" i="2"/>
  <c r="D23" i="2"/>
  <c r="M9" i="11"/>
  <c r="K27" i="11"/>
  <c r="K33" i="11" s="1"/>
  <c r="E29" i="11"/>
  <c r="E35" i="11" s="1"/>
  <c r="E36" i="11" s="1"/>
  <c r="H30" i="11"/>
  <c r="K31" i="11"/>
  <c r="H9" i="11"/>
  <c r="G30" i="11"/>
  <c r="G6" i="1"/>
  <c r="G19" i="1" s="1"/>
  <c r="J20" i="2"/>
  <c r="H63" i="8"/>
  <c r="K12" i="8"/>
  <c r="K11" i="11" s="1"/>
  <c r="D27" i="11"/>
  <c r="L27" i="11"/>
  <c r="L33" i="11" s="1"/>
  <c r="L36" i="11" s="1"/>
  <c r="G80" i="8"/>
  <c r="F20" i="2"/>
  <c r="L5" i="1"/>
  <c r="K14" i="1"/>
  <c r="E20" i="2"/>
  <c r="L11" i="1"/>
  <c r="J23" i="2"/>
  <c r="K21" i="2"/>
  <c r="M12" i="8"/>
  <c r="M11" i="11" s="1"/>
  <c r="B15" i="12"/>
  <c r="D13" i="12"/>
  <c r="D12" i="12"/>
  <c r="D11" i="12"/>
  <c r="D10" i="12"/>
  <c r="D9" i="12"/>
  <c r="E9" i="12" s="1"/>
  <c r="D8" i="12"/>
  <c r="D7" i="12"/>
  <c r="D6" i="12"/>
  <c r="D5" i="12"/>
  <c r="E5" i="12" s="1"/>
  <c r="J9" i="11"/>
  <c r="K9" i="11"/>
  <c r="G63" i="8"/>
  <c r="L58" i="8"/>
  <c r="F80" i="8"/>
  <c r="H80" i="8"/>
  <c r="I63" i="8"/>
  <c r="G94" i="8"/>
  <c r="E105" i="8"/>
  <c r="G105" i="8"/>
  <c r="D58" i="8"/>
  <c r="J63" i="8"/>
  <c r="H94" i="8"/>
  <c r="F94" i="8"/>
  <c r="K80" i="8"/>
  <c r="I105" i="8"/>
  <c r="I107" i="8" s="1"/>
  <c r="M105" i="8"/>
  <c r="D94" i="8"/>
  <c r="E58" i="8"/>
  <c r="G58" i="8"/>
  <c r="K63" i="8"/>
  <c r="E94" i="8"/>
  <c r="N25" i="8"/>
  <c r="F9" i="11"/>
  <c r="F58" i="8"/>
  <c r="L63" i="8"/>
  <c r="D80" i="8"/>
  <c r="I80" i="8"/>
  <c r="L80" i="8"/>
  <c r="M63" i="8"/>
  <c r="J80" i="8"/>
  <c r="D105" i="8"/>
  <c r="H58" i="8"/>
  <c r="H65" i="8" s="1"/>
  <c r="H67" i="8" s="1"/>
  <c r="G107" i="8"/>
  <c r="I9" i="11"/>
  <c r="I58" i="8"/>
  <c r="I65" i="8" s="1"/>
  <c r="I67" i="8" s="1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K94" i="8"/>
  <c r="H105" i="8"/>
  <c r="H107" i="8" s="1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B14" i="1"/>
  <c r="L19" i="1"/>
  <c r="L24" i="1" s="1"/>
  <c r="G20" i="2"/>
  <c r="D6" i="1"/>
  <c r="D19" i="1" s="1"/>
  <c r="J16" i="2"/>
  <c r="G16" i="2"/>
  <c r="D13" i="1"/>
  <c r="E13" i="1" s="1"/>
  <c r="E14" i="1" s="1"/>
  <c r="I25" i="1" s="1"/>
  <c r="E24" i="2"/>
  <c r="L7" i="1"/>
  <c r="D14" i="3"/>
  <c r="D24" i="2"/>
  <c r="F21" i="2"/>
  <c r="K24" i="2"/>
  <c r="B14" i="3"/>
  <c r="G21" i="2"/>
  <c r="E6" i="1"/>
  <c r="E19" i="1" s="1"/>
  <c r="I24" i="1" s="1"/>
  <c r="I14" i="1"/>
  <c r="K25" i="1" s="1"/>
  <c r="M25" i="1" s="1"/>
  <c r="M14" i="1" s="1"/>
  <c r="C24" i="2"/>
  <c r="I23" i="2"/>
  <c r="J23" i="1"/>
  <c r="H21" i="2"/>
  <c r="B23" i="2"/>
  <c r="H14" i="1"/>
  <c r="C6" i="1"/>
  <c r="C19" i="1" s="1"/>
  <c r="L8" i="1"/>
  <c r="J24" i="2"/>
  <c r="B20" i="2"/>
  <c r="K14" i="3"/>
  <c r="I24" i="2"/>
  <c r="H24" i="1"/>
  <c r="H24" i="2"/>
  <c r="B16" i="2"/>
  <c r="G24" i="2"/>
  <c r="K24" i="1"/>
  <c r="L9" i="1"/>
  <c r="E16" i="2"/>
  <c r="F24" i="2"/>
  <c r="J25" i="1"/>
  <c r="M9" i="1"/>
  <c r="N9" i="1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E1" i="4"/>
  <c r="M24" i="1" l="1"/>
  <c r="F6" i="11"/>
  <c r="F13" i="11"/>
  <c r="F19" i="11" s="1"/>
  <c r="F25" i="11"/>
  <c r="F21" i="11"/>
  <c r="F18" i="8"/>
  <c r="F12" i="11" s="1"/>
  <c r="O17" i="11"/>
  <c r="P17" i="11"/>
  <c r="H21" i="11"/>
  <c r="H18" i="8"/>
  <c r="H12" i="11" s="1"/>
  <c r="H25" i="11"/>
  <c r="H13" i="11"/>
  <c r="H19" i="11" s="1"/>
  <c r="M107" i="8"/>
  <c r="M40" i="11"/>
  <c r="M38" i="11"/>
  <c r="G38" i="11"/>
  <c r="G40" i="11"/>
  <c r="G39" i="11"/>
  <c r="O5" i="11"/>
  <c r="P5" i="11"/>
  <c r="L40" i="11"/>
  <c r="L38" i="11"/>
  <c r="O35" i="11"/>
  <c r="P35" i="11"/>
  <c r="K18" i="8"/>
  <c r="K12" i="11" s="1"/>
  <c r="K25" i="11"/>
  <c r="K21" i="11"/>
  <c r="K13" i="11"/>
  <c r="K19" i="11" s="1"/>
  <c r="P28" i="11"/>
  <c r="O28" i="11"/>
  <c r="D34" i="11"/>
  <c r="F38" i="11"/>
  <c r="F40" i="11"/>
  <c r="F39" i="11"/>
  <c r="M11" i="1"/>
  <c r="I18" i="8"/>
  <c r="I12" i="11" s="1"/>
  <c r="I13" i="11"/>
  <c r="I19" i="11" s="1"/>
  <c r="I25" i="11"/>
  <c r="I21" i="11"/>
  <c r="P31" i="11"/>
  <c r="I38" i="11"/>
  <c r="I39" i="11"/>
  <c r="I40" i="11"/>
  <c r="D38" i="11"/>
  <c r="D40" i="11"/>
  <c r="D39" i="11"/>
  <c r="M18" i="8"/>
  <c r="M12" i="11" s="1"/>
  <c r="M25" i="11"/>
  <c r="M21" i="11"/>
  <c r="M13" i="11"/>
  <c r="M19" i="11" s="1"/>
  <c r="L107" i="8"/>
  <c r="P9" i="11"/>
  <c r="O9" i="11"/>
  <c r="D33" i="11"/>
  <c r="O27" i="11"/>
  <c r="P27" i="11"/>
  <c r="D25" i="11"/>
  <c r="D21" i="11"/>
  <c r="D13" i="11"/>
  <c r="D18" i="8"/>
  <c r="D12" i="11" s="1"/>
  <c r="I4" i="12" a="1"/>
  <c r="O18" i="11"/>
  <c r="P18" i="11"/>
  <c r="G27" i="8"/>
  <c r="G25" i="11"/>
  <c r="G21" i="11"/>
  <c r="G18" i="8"/>
  <c r="G12" i="11" s="1"/>
  <c r="G13" i="11"/>
  <c r="G19" i="11" s="1"/>
  <c r="J38" i="11"/>
  <c r="J39" i="11"/>
  <c r="J40" i="11"/>
  <c r="O30" i="11"/>
  <c r="P30" i="11"/>
  <c r="O11" i="11"/>
  <c r="L18" i="8"/>
  <c r="L12" i="11" s="1"/>
  <c r="L25" i="11"/>
  <c r="L21" i="11"/>
  <c r="L13" i="11"/>
  <c r="L19" i="11" s="1"/>
  <c r="K40" i="11"/>
  <c r="K38" i="11"/>
  <c r="L65" i="8"/>
  <c r="L67" i="8" s="1"/>
  <c r="E38" i="11"/>
  <c r="E40" i="11"/>
  <c r="E6" i="11"/>
  <c r="E13" i="11"/>
  <c r="E19" i="11" s="1"/>
  <c r="E18" i="8"/>
  <c r="E12" i="11" s="1"/>
  <c r="E25" i="11"/>
  <c r="E21" i="11"/>
  <c r="J18" i="8"/>
  <c r="J12" i="11" s="1"/>
  <c r="J13" i="11"/>
  <c r="J19" i="11" s="1"/>
  <c r="J25" i="11"/>
  <c r="J21" i="11"/>
  <c r="H38" i="11"/>
  <c r="H39" i="11"/>
  <c r="H40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G28" i="8"/>
  <c r="G14" i="11" s="1"/>
  <c r="G33" i="8"/>
  <c r="G23" i="11" s="1"/>
  <c r="M27" i="8"/>
  <c r="M19" i="8"/>
  <c r="G31" i="8"/>
  <c r="D19" i="8"/>
  <c r="D27" i="8"/>
  <c r="N27" i="8"/>
  <c r="N19" i="8"/>
  <c r="L27" i="8"/>
  <c r="L19" i="8"/>
  <c r="K27" i="8"/>
  <c r="K19" i="8"/>
  <c r="F19" i="8"/>
  <c r="F27" i="8"/>
  <c r="G7" i="11" s="1"/>
  <c r="D14" i="1"/>
  <c r="H25" i="1" s="1"/>
  <c r="N25" i="1" s="1"/>
  <c r="N14" i="1" s="1"/>
  <c r="N24" i="1"/>
  <c r="N23" i="1"/>
  <c r="N4" i="1" s="1"/>
  <c r="N6" i="1" s="1"/>
  <c r="N10" i="1" s="1"/>
  <c r="N12" i="1" s="1"/>
  <c r="N13" i="1" s="1"/>
  <c r="M6" i="1"/>
  <c r="M10" i="1" s="1"/>
  <c r="M12" i="1" s="1"/>
  <c r="M13" i="1" s="1"/>
  <c r="M15" i="1" s="1"/>
  <c r="L39" i="11" l="1"/>
  <c r="O34" i="11"/>
  <c r="P34" i="11"/>
  <c r="D36" i="11"/>
  <c r="O25" i="11"/>
  <c r="P25" i="11"/>
  <c r="O33" i="11"/>
  <c r="P33" i="11"/>
  <c r="P39" i="11"/>
  <c r="O39" i="11"/>
  <c r="O6" i="11"/>
  <c r="P6" i="11"/>
  <c r="P40" i="11"/>
  <c r="O40" i="11"/>
  <c r="I4" i="12"/>
  <c r="I6" i="12"/>
  <c r="I7" i="12"/>
  <c r="I13" i="12"/>
  <c r="I12" i="12"/>
  <c r="J12" i="12" s="1"/>
  <c r="I10" i="12"/>
  <c r="I9" i="12"/>
  <c r="J9" i="12" s="1"/>
  <c r="I5" i="12"/>
  <c r="J5" i="12" s="1"/>
  <c r="I8" i="12"/>
  <c r="J8" i="12" s="1"/>
  <c r="I11" i="12"/>
  <c r="E39" i="11"/>
  <c r="O12" i="11"/>
  <c r="P12" i="11"/>
  <c r="M39" i="11"/>
  <c r="O21" i="11"/>
  <c r="P21" i="11"/>
  <c r="P38" i="11"/>
  <c r="O38" i="11"/>
  <c r="K39" i="11"/>
  <c r="P13" i="11"/>
  <c r="O13" i="11"/>
  <c r="D19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N5" i="1"/>
  <c r="N15" i="1"/>
  <c r="M5" i="1"/>
  <c r="O19" i="11" l="1"/>
  <c r="P19" i="11"/>
  <c r="J11" i="12"/>
  <c r="J6" i="12"/>
  <c r="O7" i="11"/>
  <c r="P7" i="11"/>
  <c r="J10" i="12"/>
  <c r="K8" i="11"/>
  <c r="K23" i="11"/>
  <c r="P23" i="11" s="1"/>
  <c r="J13" i="12"/>
  <c r="J7" i="12"/>
  <c r="P14" i="11"/>
  <c r="O14" i="11"/>
  <c r="O36" i="11"/>
  <c r="P36" i="11"/>
  <c r="I14" i="12"/>
  <c r="J14" i="12" s="1"/>
  <c r="I18" i="12"/>
  <c r="I16" i="12"/>
  <c r="I17" i="12"/>
  <c r="J17" i="12" s="1"/>
  <c r="I15" i="12"/>
  <c r="J15" i="12" s="1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N4" i="12" s="1" a="1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N8" i="12" l="1"/>
  <c r="N7" i="12"/>
  <c r="N10" i="12"/>
  <c r="O10" i="12" s="1"/>
  <c r="N4" i="12"/>
  <c r="N5" i="12"/>
  <c r="N9" i="12"/>
  <c r="O9" i="12" s="1"/>
  <c r="N6" i="12"/>
  <c r="O6" i="12" s="1"/>
  <c r="N11" i="12"/>
  <c r="O11" i="12" s="1"/>
  <c r="N12" i="12"/>
  <c r="O12" i="12" s="1"/>
  <c r="N13" i="12"/>
  <c r="O13" i="12" s="1"/>
  <c r="J16" i="12"/>
  <c r="P15" i="11"/>
  <c r="O15" i="11"/>
  <c r="P8" i="11"/>
  <c r="O8" i="11"/>
  <c r="O23" i="11"/>
  <c r="J18" i="12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O22" i="11" l="1"/>
  <c r="D24" i="11"/>
  <c r="P22" i="11"/>
  <c r="O5" i="12"/>
  <c r="N14" i="12"/>
  <c r="O14" i="12" s="1"/>
  <c r="N17" i="12"/>
  <c r="N15" i="12"/>
  <c r="O15" i="12" s="1"/>
  <c r="N18" i="12"/>
  <c r="O18" i="12" s="1"/>
  <c r="N16" i="12"/>
  <c r="O16" i="12" s="1"/>
  <c r="O7" i="12"/>
  <c r="O8" i="12"/>
  <c r="O17" i="12" l="1"/>
  <c r="P24" i="11"/>
  <c r="O24" i="11"/>
</calcChain>
</file>

<file path=xl/sharedStrings.xml><?xml version="1.0" encoding="utf-8"?>
<sst xmlns="http://schemas.openxmlformats.org/spreadsheetml/2006/main" count="293" uniqueCount="180">
  <si>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</si>
  <si>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</si>
  <si>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</si>
  <si>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</si>
  <si>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</si>
  <si>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</si>
  <si>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</si>
  <si>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</si>
  <si>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</si>
  <si>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</si>
  <si>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</si>
  <si>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</si>
  <si>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</si>
  <si>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</si>
  <si>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</si>
  <si>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</si>
  <si>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</si>
  <si>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</si>
  <si>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</si>
  <si>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</si>
  <si>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</si>
  <si>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</si>
  <si>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</si>
  <si>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</si>
  <si>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</si>
  <si>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</si>
  <si>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</si>
  <si>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</si>
  <si>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</si>
  <si>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</si>
  <si>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</si>
  <si>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</si>
  <si>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</si>
  <si>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</si>
  <si>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</si>
  <si>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</si>
  <si>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</si>
  <si>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</si>
  <si>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</si>
  <si>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</si>
  <si>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</si>
  <si>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</si>
  <si>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</si>
  <si>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</si>
  <si>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</si>
  <si>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</si>
  <si>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</si>
  <si>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</si>
  <si>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</si>
  <si>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</si>
  <si>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</si>
  <si>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</si>
  <si>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SUN PHARMACEUTICAL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</si>
  <si>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</si>
  <si>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</si>
  <si>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</si>
  <si>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</si>
  <si>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</si>
  <si>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</si>
  <si>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</si>
  <si>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</si>
  <si>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</si>
  <si>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</si>
  <si>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</si>
  <si>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</si>
  <si>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</si>
  <si>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</si>
  <si>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</si>
  <si>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</si>
  <si>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</si>
  <si>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</si>
  <si>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</si>
  <si>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</si>
  <si>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</si>
  <si>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</si>
  <si>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</si>
  <si>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</si>
  <si>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</si>
  <si>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</si>
  <si>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</si>
  <si>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</si>
  <si>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</si>
  <si>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</si>
  <si>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</si>
  <si>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</si>
  <si>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</si>
  <si>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</si>
  <si>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</si>
  <si>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</si>
  <si>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</si>
  <si>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</si>
  <si>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</si>
  <si>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</si>
  <si>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</si>
  <si>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</si>
  <si>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</si>
  <si>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</si>
  <si>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</si>
  <si>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</si>
  <si>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</si>
  <si>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</si>
  <si>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</si>
  <si>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</si>
  <si>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</si>
  <si>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</si>
  <si>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</si>
  <si>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</si>
  <si>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</si>
  <si>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</si>
  <si>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</si>
  <si>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</si>
  <si>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</si>
  <si>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</si>
  <si>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</si>
  <si>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</si>
  <si>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</si>
  <si>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</si>
  <si>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</si>
  <si>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</si>
  <si>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</si>
  <si>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</si>
  <si>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</si>
  <si>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</si>
  <si>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</si>
  <si>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</si>
  <si>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</si>
  <si>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</si>
  <si>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</si>
  <si>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</si>
  <si>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</si>
  <si>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</si>
  <si>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</si>
  <si>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</si>
  <si>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</si>
  <si>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</si>
  <si>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</si>
  <si>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</si>
  <si>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</si>
  <si>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</si>
  <si>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</si>
  <si>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</si>
  <si>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</si>
  <si>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</si>
  <si>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</si>
  <si>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</si>
  <si>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</si>
  <si>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</si>
  <si>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</si>
  <si>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</si>
  <si>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</si>
  <si>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</si>
  <si>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</si>
  <si>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</si>
  <si>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</si>
  <si>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</si>
  <si>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</si>
  <si>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</si>
  <si>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</si>
  <si>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</si>
  <si>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</si>
  <si>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</si>
  <si>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</si>
  <si>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</si>
  <si>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</si>
  <si>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</si>
  <si>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</si>
  <si>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</si>
  <si>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</si>
  <si>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</si>
  <si>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</si>
  <si>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</si>
  <si>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</si>
  <si>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</si>
  <si>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</si>
  <si>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</si>
  <si>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</si>
  <si>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</si>
  <si>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</si>
  <si>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</si>
  <si>
    <t>Operating Profit Margin (OPM)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</si>
</sst>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7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0" fillId="8" borderId="0" xfId="0" applyFill="1"/>
    <xf numFmtId="173" fontId="0" fillId="8" borderId="0" xfId="0" applyNumberFormat="1" applyFill="1"/>
    <xf numFmtId="167" fontId="0" fillId="8" borderId="0" xfId="6" applyNumberFormat="1" applyFont="1" applyFill="1"/>
    <xf numFmtId="4" fontId="0" fillId="8" borderId="0" xfId="0" applyNumberFormat="1" applyFill="1"/>
    <xf numFmtId="0" fontId="0" fillId="0" borderId="2" xfId="0" applyBorder="1"/>
    <xf numFmtId="10" fontId="0" fillId="0" borderId="2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69" fontId="0" fillId="0" borderId="3" xfId="0" applyNumberFormat="1" applyBorder="1"/>
    <xf numFmtId="169" fontId="0" fillId="0" borderId="2" xfId="0" applyNumberFormat="1" applyBorder="1"/>
    <xf numFmtId="169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17" fontId="5" fillId="7" borderId="0" xfId="0" applyNumberFormat="1" applyFont="1" applyFill="1"/>
    <xf numFmtId="3" fontId="11" fillId="0" borderId="0" xfId="0" applyNumberFormat="1" applyFont="1"/>
    <xf numFmtId="0" fontId="11" fillId="0" borderId="0" xfId="0" applyFont="1"/>
    <xf numFmtId="0" fontId="1" fillId="9" borderId="0" xfId="0" applyFont="1" applyFill="1"/>
    <xf numFmtId="0" fontId="0" fillId="9" borderId="0" xfId="0" applyFill="1"/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4" xfId="1" applyFont="1" applyBorder="1"/>
    <xf numFmtId="0" fontId="0" fillId="0" borderId="4" xfId="0" applyBorder="1"/>
    <xf numFmtId="166" fontId="1" fillId="0" borderId="4" xfId="0" applyNumberFormat="1" applyFont="1" applyBorder="1"/>
    <xf numFmtId="43" fontId="1" fillId="0" borderId="1" xfId="1" applyFont="1" applyBorder="1"/>
    <xf numFmtId="0" fontId="0" fillId="0" borderId="1" xfId="0" applyBorder="1"/>
    <xf numFmtId="0" fontId="1" fillId="0" borderId="4" xfId="0" applyFont="1" applyBorder="1"/>
    <xf numFmtId="43" fontId="4" fillId="0" borderId="0" xfId="2" applyNumberFormat="1" applyBorder="1" applyAlignment="1" applyProtection="1">
      <alignment horizontal="center"/>
    </xf>
    <xf numFmtId="43" fontId="2" fillId="10" borderId="0" xfId="5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E5" activePane="bottomRight" state="frozen"/>
      <selection activeCell="I2" sqref="I2"/>
      <selection pane="topRight" activeCell="I2" sqref="I2"/>
      <selection pane="bottomLeft" activeCell="I2" sqref="I2"/>
      <selection pane="bottomRight" activeCell="M1" sqref="M1"/>
    </sheetView>
  </sheetViews>
  <sheetFormatPr defaultColWidth="8.77734375" defaultRowHeight="14.4" x14ac:dyDescent="0.3"/>
  <cols>
    <col min="1" max="1" width="35.7773437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SUN PHARMACEUTICAL INDUSTRIES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28487.03</v>
      </c>
      <c r="C4" s="1">
        <f>'Data Sheet'!C17</f>
        <v>31578.44</v>
      </c>
      <c r="D4" s="1">
        <f>'Data Sheet'!D17</f>
        <v>26489.46</v>
      </c>
      <c r="E4" s="1">
        <f>'Data Sheet'!E17</f>
        <v>29065.91</v>
      </c>
      <c r="F4" s="1">
        <f>'Data Sheet'!F17</f>
        <v>32837.5</v>
      </c>
      <c r="G4" s="1">
        <f>'Data Sheet'!G17</f>
        <v>33498.14</v>
      </c>
      <c r="H4" s="1">
        <f>'Data Sheet'!H17</f>
        <v>38654.49</v>
      </c>
      <c r="I4" s="1">
        <f>'Data Sheet'!I17</f>
        <v>43885.68</v>
      </c>
      <c r="J4" s="1">
        <f>'Data Sheet'!J17</f>
        <v>48496.85</v>
      </c>
      <c r="K4" s="1">
        <f>'Data Sheet'!K17</f>
        <v>52578.44</v>
      </c>
      <c r="L4" s="1">
        <f>SUM(Quarters!H4:K4)</f>
        <v>52578.44</v>
      </c>
      <c r="M4" s="1">
        <f>$K4+M23*K4</f>
        <v>58256.395866302802</v>
      </c>
      <c r="N4" s="1">
        <f>$K4+N23*L4</f>
        <v>56283.498921747538</v>
      </c>
    </row>
    <row r="5" spans="1:14" x14ac:dyDescent="0.3">
      <c r="A5" t="s">
        <v>6</v>
      </c>
      <c r="B5" s="6">
        <f>SUM('Data Sheet'!B18,'Data Sheet'!B20:B24, -1*'Data Sheet'!B19)</f>
        <v>20313.13</v>
      </c>
      <c r="C5" s="6">
        <f>SUM('Data Sheet'!C18,'Data Sheet'!C20:C24, -1*'Data Sheet'!C19)</f>
        <v>21476.420000000002</v>
      </c>
      <c r="D5" s="6">
        <f>SUM('Data Sheet'!D18,'Data Sheet'!D20:D24, -1*'Data Sheet'!D19)</f>
        <v>20858.04</v>
      </c>
      <c r="E5" s="6">
        <f>SUM('Data Sheet'!E18,'Data Sheet'!E20:E24, -1*'Data Sheet'!E19)</f>
        <v>22688.929999999997</v>
      </c>
      <c r="F5" s="6">
        <f>SUM('Data Sheet'!F18,'Data Sheet'!F20:F24, -1*'Data Sheet'!F19)</f>
        <v>25854.659999999996</v>
      </c>
      <c r="G5" s="6">
        <f>SUM('Data Sheet'!G18,'Data Sheet'!G20:G24, -1*'Data Sheet'!G19)</f>
        <v>25028.18</v>
      </c>
      <c r="H5" s="6">
        <f>SUM('Data Sheet'!H18,'Data Sheet'!H20:H24, -1*'Data Sheet'!H19)</f>
        <v>28396.920000000002</v>
      </c>
      <c r="I5" s="6">
        <f>SUM('Data Sheet'!I18,'Data Sheet'!I20:I24, -1*'Data Sheet'!I19)</f>
        <v>32235.24</v>
      </c>
      <c r="J5" s="6">
        <f>SUM('Data Sheet'!J18,'Data Sheet'!J20:J24, -1*'Data Sheet'!J19)</f>
        <v>35479.08</v>
      </c>
      <c r="K5" s="6">
        <f>SUM('Data Sheet'!K18,'Data Sheet'!K20:K24, -1*'Data Sheet'!K19)</f>
        <v>37306.75</v>
      </c>
      <c r="L5" s="6">
        <f>SUM(Quarters!H5:K5)</f>
        <v>37306.75</v>
      </c>
      <c r="M5" s="6">
        <f t="shared" ref="M5:N5" si="0">M4-M6</f>
        <v>41335.51312068582</v>
      </c>
      <c r="N5" s="6">
        <f t="shared" si="0"/>
        <v>41754.113606811217</v>
      </c>
    </row>
    <row r="6" spans="1:14" s="2" customFormat="1" x14ac:dyDescent="0.3">
      <c r="A6" s="2" t="s">
        <v>7</v>
      </c>
      <c r="B6" s="1">
        <f>B4-B5</f>
        <v>8173.8999999999978</v>
      </c>
      <c r="C6" s="1">
        <f t="shared" ref="C6:K6" si="1">C4-C5</f>
        <v>10102.019999999997</v>
      </c>
      <c r="D6" s="1">
        <f t="shared" si="1"/>
        <v>5631.4199999999983</v>
      </c>
      <c r="E6" s="1">
        <f t="shared" si="1"/>
        <v>6376.9800000000032</v>
      </c>
      <c r="F6" s="1">
        <f t="shared" si="1"/>
        <v>6982.8400000000038</v>
      </c>
      <c r="G6" s="1">
        <f t="shared" si="1"/>
        <v>8469.9599999999991</v>
      </c>
      <c r="H6" s="1">
        <f t="shared" si="1"/>
        <v>10257.569999999996</v>
      </c>
      <c r="I6" s="1">
        <f t="shared" si="1"/>
        <v>11650.439999999999</v>
      </c>
      <c r="J6" s="1">
        <f t="shared" si="1"/>
        <v>13017.769999999997</v>
      </c>
      <c r="K6" s="1">
        <f t="shared" si="1"/>
        <v>15271.690000000002</v>
      </c>
      <c r="L6" s="1">
        <f>SUM(Quarters!H6:K6)</f>
        <v>15271.69</v>
      </c>
      <c r="M6" s="1">
        <f>M4*M24</f>
        <v>16920.882745616982</v>
      </c>
      <c r="N6" s="1">
        <f>N4*N24</f>
        <v>14529.38531493632</v>
      </c>
    </row>
    <row r="7" spans="1:14" x14ac:dyDescent="0.3">
      <c r="A7" t="s">
        <v>8</v>
      </c>
      <c r="B7" s="6">
        <f>'Data Sheet'!B25</f>
        <v>-42.5</v>
      </c>
      <c r="C7" s="6">
        <f>'Data Sheet'!C25</f>
        <v>610.4</v>
      </c>
      <c r="D7" s="6">
        <f>'Data Sheet'!D25</f>
        <v>-135.03</v>
      </c>
      <c r="E7" s="6">
        <f>'Data Sheet'!E25</f>
        <v>-258.27999999999997</v>
      </c>
      <c r="F7" s="6">
        <f>'Data Sheet'!F25</f>
        <v>382.26</v>
      </c>
      <c r="G7" s="6">
        <f>'Data Sheet'!G25</f>
        <v>-3449.21</v>
      </c>
      <c r="H7" s="6">
        <f>'Data Sheet'!H25</f>
        <v>-3505.16</v>
      </c>
      <c r="I7" s="6">
        <f>'Data Sheet'!I25</f>
        <v>459.42</v>
      </c>
      <c r="J7" s="6">
        <f>'Data Sheet'!J25</f>
        <v>865.23</v>
      </c>
      <c r="K7" s="6">
        <f>'Data Sheet'!K25</f>
        <v>1287.19</v>
      </c>
      <c r="L7" s="6">
        <f>SUM(Quarters!H7:K7)</f>
        <v>1287.19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1037.53</v>
      </c>
      <c r="C8" s="6">
        <f>'Data Sheet'!C26</f>
        <v>1264.75</v>
      </c>
      <c r="D8" s="6">
        <f>'Data Sheet'!D26</f>
        <v>1499.84</v>
      </c>
      <c r="E8" s="6">
        <f>'Data Sheet'!E26</f>
        <v>1753.25</v>
      </c>
      <c r="F8" s="6">
        <f>'Data Sheet'!F26</f>
        <v>2052.7800000000002</v>
      </c>
      <c r="G8" s="6">
        <f>'Data Sheet'!G26</f>
        <v>2079.9499999999998</v>
      </c>
      <c r="H8" s="6">
        <f>'Data Sheet'!H26</f>
        <v>2143.7399999999998</v>
      </c>
      <c r="I8" s="6">
        <f>'Data Sheet'!I26</f>
        <v>2529.4299999999998</v>
      </c>
      <c r="J8" s="6">
        <f>'Data Sheet'!J26</f>
        <v>2556.64</v>
      </c>
      <c r="K8" s="6">
        <f>'Data Sheet'!K26</f>
        <v>2575.39</v>
      </c>
      <c r="L8" s="6">
        <f>SUM(Quarters!H8:K8)</f>
        <v>2575.39</v>
      </c>
      <c r="M8" s="6">
        <f>+$L8</f>
        <v>2575.39</v>
      </c>
      <c r="N8" s="6">
        <f>+$L8</f>
        <v>2575.39</v>
      </c>
    </row>
    <row r="9" spans="1:14" x14ac:dyDescent="0.3">
      <c r="A9" t="s">
        <v>10</v>
      </c>
      <c r="B9" s="6">
        <f>'Data Sheet'!B27</f>
        <v>523.24</v>
      </c>
      <c r="C9" s="6">
        <f>'Data Sheet'!C27</f>
        <v>399.8</v>
      </c>
      <c r="D9" s="6">
        <f>'Data Sheet'!D27</f>
        <v>517.57000000000005</v>
      </c>
      <c r="E9" s="6">
        <f>'Data Sheet'!E27</f>
        <v>555.25</v>
      </c>
      <c r="F9" s="6">
        <f>'Data Sheet'!F27</f>
        <v>302.73</v>
      </c>
      <c r="G9" s="6">
        <f>'Data Sheet'!G27</f>
        <v>141.43</v>
      </c>
      <c r="H9" s="6">
        <f>'Data Sheet'!H27</f>
        <v>127.35</v>
      </c>
      <c r="I9" s="6">
        <f>'Data Sheet'!I27</f>
        <v>172</v>
      </c>
      <c r="J9" s="6">
        <f>'Data Sheet'!J27</f>
        <v>238.47</v>
      </c>
      <c r="K9" s="6">
        <f>'Data Sheet'!K27</f>
        <v>231.36</v>
      </c>
      <c r="L9" s="6">
        <f>SUM(Quarters!H9:K9)</f>
        <v>231.36</v>
      </c>
      <c r="M9" s="6">
        <f>+$L9</f>
        <v>231.36</v>
      </c>
      <c r="N9" s="6">
        <f>+$L9</f>
        <v>231.36</v>
      </c>
    </row>
    <row r="10" spans="1:14" x14ac:dyDescent="0.3">
      <c r="A10" t="s">
        <v>11</v>
      </c>
      <c r="B10" s="6">
        <f>'Data Sheet'!B28</f>
        <v>6570.63</v>
      </c>
      <c r="C10" s="6">
        <f>'Data Sheet'!C28</f>
        <v>9047.8700000000008</v>
      </c>
      <c r="D10" s="6">
        <f>'Data Sheet'!D28</f>
        <v>3478.98</v>
      </c>
      <c r="E10" s="6">
        <f>'Data Sheet'!E28</f>
        <v>3810.2</v>
      </c>
      <c r="F10" s="6">
        <f>'Data Sheet'!F28</f>
        <v>5009.59</v>
      </c>
      <c r="G10" s="6">
        <f>'Data Sheet'!G28</f>
        <v>2799.37</v>
      </c>
      <c r="H10" s="6">
        <f>'Data Sheet'!H28</f>
        <v>4481.32</v>
      </c>
      <c r="I10" s="6">
        <f>'Data Sheet'!I28</f>
        <v>9408.43</v>
      </c>
      <c r="J10" s="6">
        <f>'Data Sheet'!J28</f>
        <v>11087.89</v>
      </c>
      <c r="K10" s="6">
        <f>'Data Sheet'!K28</f>
        <v>13752.13</v>
      </c>
      <c r="L10" s="6">
        <f>SUM(Quarters!H10:K10)</f>
        <v>13752.130000000001</v>
      </c>
      <c r="M10" s="6">
        <f>M6+M7-SUM(M8:M9)</f>
        <v>14114.132745616982</v>
      </c>
      <c r="N10" s="6">
        <f>N6+N7-SUM(N8:N9)</f>
        <v>11722.63531493632</v>
      </c>
    </row>
    <row r="11" spans="1:14" x14ac:dyDescent="0.3">
      <c r="A11" t="s">
        <v>12</v>
      </c>
      <c r="B11" s="6">
        <f>'Data Sheet'!B29</f>
        <v>913.77</v>
      </c>
      <c r="C11" s="6">
        <f>'Data Sheet'!C29</f>
        <v>1211.57</v>
      </c>
      <c r="D11" s="6">
        <f>'Data Sheet'!D29</f>
        <v>911.04</v>
      </c>
      <c r="E11" s="6">
        <f>'Data Sheet'!E29</f>
        <v>600.88</v>
      </c>
      <c r="F11" s="6">
        <f>'Data Sheet'!F29</f>
        <v>822.8</v>
      </c>
      <c r="G11" s="6">
        <f>'Data Sheet'!G29</f>
        <v>514.69000000000005</v>
      </c>
      <c r="H11" s="6">
        <f>'Data Sheet'!H29</f>
        <v>1075.5</v>
      </c>
      <c r="I11" s="6">
        <f>'Data Sheet'!I29</f>
        <v>847.59</v>
      </c>
      <c r="J11" s="6">
        <f>'Data Sheet'!J29</f>
        <v>1439.45</v>
      </c>
      <c r="K11" s="6">
        <f>'Data Sheet'!K29</f>
        <v>2772.03</v>
      </c>
      <c r="L11" s="6">
        <f>SUM(Quarters!H11:K11)</f>
        <v>2772.03</v>
      </c>
      <c r="M11" s="7">
        <f>IF($L10&gt;0,$L11/$L10,0)</f>
        <v>0.20157095664453434</v>
      </c>
      <c r="N11" s="7">
        <f>IF($L10&gt;0,$L11/$L10,0)</f>
        <v>0.20157095664453434</v>
      </c>
    </row>
    <row r="12" spans="1:14" s="2" customFormat="1" x14ac:dyDescent="0.3">
      <c r="A12" s="2" t="s">
        <v>13</v>
      </c>
      <c r="B12" s="1">
        <f>'Data Sheet'!B30</f>
        <v>4545.71</v>
      </c>
      <c r="C12" s="1">
        <f>'Data Sheet'!C30</f>
        <v>6964.37</v>
      </c>
      <c r="D12" s="1">
        <f>'Data Sheet'!D30</f>
        <v>2095.6999999999998</v>
      </c>
      <c r="E12" s="1">
        <f>'Data Sheet'!E30</f>
        <v>2665.42</v>
      </c>
      <c r="F12" s="1">
        <f>'Data Sheet'!F30</f>
        <v>3764.93</v>
      </c>
      <c r="G12" s="1">
        <f>'Data Sheet'!G30</f>
        <v>2903.82</v>
      </c>
      <c r="H12" s="1">
        <f>'Data Sheet'!H30</f>
        <v>3272.73</v>
      </c>
      <c r="I12" s="1">
        <f>'Data Sheet'!I30</f>
        <v>8473.58</v>
      </c>
      <c r="J12" s="1">
        <f>'Data Sheet'!J30</f>
        <v>9576.3799999999992</v>
      </c>
      <c r="K12" s="1">
        <f>'Data Sheet'!K30</f>
        <v>10929.04</v>
      </c>
      <c r="L12" s="1">
        <f>SUM(Quarters!H12:K12)</f>
        <v>10929.04</v>
      </c>
      <c r="M12" s="1">
        <f>M10-M11*M10</f>
        <v>11269.133505875019</v>
      </c>
      <c r="N12" s="1">
        <f>N10-N11*N10</f>
        <v>9359.6925001096042</v>
      </c>
    </row>
    <row r="13" spans="1:14" x14ac:dyDescent="0.3">
      <c r="A13" t="s">
        <v>46</v>
      </c>
      <c r="B13" s="6">
        <f>IF('Data Sheet'!B93&gt;0,B12/'Data Sheet'!B93,0)</f>
        <v>18.887730086840904</v>
      </c>
      <c r="C13" s="6">
        <f>IF('Data Sheet'!C93&gt;0,C12/'Data Sheet'!C93,0)</f>
        <v>29.026674446713624</v>
      </c>
      <c r="D13" s="6">
        <f>IF('Data Sheet'!D93&gt;0,D12/'Data Sheet'!D93,0)</f>
        <v>8.7346309340224231</v>
      </c>
      <c r="E13" s="6">
        <f>IF('Data Sheet'!E93&gt;0,E12/'Data Sheet'!E93,0)</f>
        <v>11.109156837410911</v>
      </c>
      <c r="F13" s="6">
        <f>IF('Data Sheet'!F93&gt;0,F12/'Data Sheet'!F93,0)</f>
        <v>15.691785103988662</v>
      </c>
      <c r="G13" s="6">
        <f>IF('Data Sheet'!G93&gt;0,G12/'Data Sheet'!G93,0)</f>
        <v>12.102779977493435</v>
      </c>
      <c r="H13" s="6">
        <f>IF('Data Sheet'!H93&gt;0,H12/'Data Sheet'!H93,0)</f>
        <v>13.640353436418955</v>
      </c>
      <c r="I13" s="6">
        <f>IF('Data Sheet'!I93&gt;0,I12/'Data Sheet'!I93,0)</f>
        <v>35.316884091193266</v>
      </c>
      <c r="J13" s="6">
        <f>IF('Data Sheet'!J93&gt;0,J12/'Data Sheet'!J93,0)</f>
        <v>39.913224690534733</v>
      </c>
      <c r="K13" s="6">
        <f>IF('Data Sheet'!K93&gt;0,K12/'Data Sheet'!K93,0)</f>
        <v>45.550952361105324</v>
      </c>
      <c r="L13" s="6">
        <f>IF('Data Sheet'!$B6&gt;0,'Profit &amp; Loss'!L12/'Data Sheet'!$B6,0)</f>
        <v>45.557045619408512</v>
      </c>
      <c r="M13" s="6">
        <f>IF('Data Sheet'!$B6&gt;0,'Profit &amp; Loss'!M12/'Data Sheet'!$B6,0)</f>
        <v>46.974704934591983</v>
      </c>
      <c r="N13" s="6">
        <f>IF('Data Sheet'!$B6&gt;0,'Profit &amp; Loss'!N12/'Data Sheet'!$B6,0)</f>
        <v>39.015314996662923</v>
      </c>
    </row>
    <row r="14" spans="1:14" x14ac:dyDescent="0.3">
      <c r="A14" t="s">
        <v>15</v>
      </c>
      <c r="B14" s="6">
        <f>IF(B15&gt;0,B15/B13,"")</f>
        <v>43.41442810914026</v>
      </c>
      <c r="C14" s="6">
        <f t="shared" ref="C14:K14" si="2">IF(C15&gt;0,C15/C13,"")</f>
        <v>23.70750398097746</v>
      </c>
      <c r="D14" s="6">
        <f t="shared" si="2"/>
        <v>56.682417807892357</v>
      </c>
      <c r="E14" s="6">
        <f t="shared" si="2"/>
        <v>43.104081345529039</v>
      </c>
      <c r="F14" s="6">
        <f t="shared" si="2"/>
        <v>22.451237871620457</v>
      </c>
      <c r="G14" s="6">
        <f t="shared" si="2"/>
        <v>49.393610485498407</v>
      </c>
      <c r="H14" s="6">
        <f t="shared" si="2"/>
        <v>67.062045295517805</v>
      </c>
      <c r="I14" s="6">
        <f t="shared" si="2"/>
        <v>27.836544058119472</v>
      </c>
      <c r="J14" s="6">
        <f t="shared" si="2"/>
        <v>40.60183091105408</v>
      </c>
      <c r="K14" s="6">
        <f t="shared" si="2"/>
        <v>38.082628574879401</v>
      </c>
      <c r="L14" s="6">
        <f t="shared" ref="L14" si="3">IF(L13&gt;0,L15/L13,0)</f>
        <v>36.222717640341692</v>
      </c>
      <c r="M14" s="6">
        <f>M25</f>
        <v>36.222717640341692</v>
      </c>
      <c r="N14" s="6">
        <f>N25</f>
        <v>35.685930296098661</v>
      </c>
    </row>
    <row r="15" spans="1:14" s="2" customFormat="1" x14ac:dyDescent="0.3">
      <c r="A15" s="2" t="s">
        <v>47</v>
      </c>
      <c r="B15" s="1">
        <f>'Data Sheet'!B90</f>
        <v>820</v>
      </c>
      <c r="C15" s="1">
        <f>'Data Sheet'!C90</f>
        <v>688.15</v>
      </c>
      <c r="D15" s="1">
        <f>'Data Sheet'!D90</f>
        <v>495.1</v>
      </c>
      <c r="E15" s="1">
        <f>'Data Sheet'!E90</f>
        <v>478.85</v>
      </c>
      <c r="F15" s="1">
        <f>'Data Sheet'!F90</f>
        <v>352.3</v>
      </c>
      <c r="G15" s="1">
        <f>'Data Sheet'!G90</f>
        <v>597.79999999999995</v>
      </c>
      <c r="H15" s="1">
        <f>'Data Sheet'!H90</f>
        <v>914.75</v>
      </c>
      <c r="I15" s="1">
        <f>'Data Sheet'!I90</f>
        <v>983.1</v>
      </c>
      <c r="J15" s="1">
        <f>'Data Sheet'!J90</f>
        <v>1620.55</v>
      </c>
      <c r="K15" s="1">
        <f>'Data Sheet'!K90</f>
        <v>1734.7</v>
      </c>
      <c r="L15" s="1">
        <f>'Data Sheet'!B8</f>
        <v>1650.2</v>
      </c>
      <c r="M15" s="8">
        <f>M13*M14</f>
        <v>1701.551473084091</v>
      </c>
      <c r="N15" s="9">
        <f>N13*N14</f>
        <v>1392.2978114512459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5.2942224646974838E-2</v>
      </c>
      <c r="C18" s="5">
        <f>IF('Data Sheet'!C30&gt;0, 'Data Sheet'!C31/'Data Sheet'!C30, 0)</f>
        <v>0.12057946375623352</v>
      </c>
      <c r="D18" s="5">
        <f>IF('Data Sheet'!D30&gt;0, 'Data Sheet'!D31/'Data Sheet'!D30, 0)</f>
        <v>0.22897361263539631</v>
      </c>
      <c r="E18" s="5">
        <f>IF('Data Sheet'!E30&gt;0, 'Data Sheet'!E31/'Data Sheet'!E30, 0)</f>
        <v>0.24754447704301757</v>
      </c>
      <c r="F18" s="5">
        <f>IF('Data Sheet'!F30&gt;0, 'Data Sheet'!F31/'Data Sheet'!F30, 0)</f>
        <v>0.25491044986228167</v>
      </c>
      <c r="G18" s="5">
        <f>IF('Data Sheet'!G30&gt;0, 'Data Sheet'!G31/'Data Sheet'!G30, 0)</f>
        <v>0.61969405817164969</v>
      </c>
      <c r="H18" s="5">
        <f>IF('Data Sheet'!H30&gt;0, 'Data Sheet'!H31/'Data Sheet'!H30, 0)</f>
        <v>0.73311883351208329</v>
      </c>
      <c r="I18" s="5">
        <f>IF('Data Sheet'!I30&gt;0, 'Data Sheet'!I31/'Data Sheet'!I30, 0)</f>
        <v>0.32562388034337314</v>
      </c>
      <c r="J18" s="5">
        <f>IF('Data Sheet'!J30&gt;0, 'Data Sheet'!J31/'Data Sheet'!J30, 0)</f>
        <v>0.33823428059454619</v>
      </c>
      <c r="K18" s="5">
        <f>IF('Data Sheet'!K30&gt;0, 'Data Sheet'!K31/'Data Sheet'!K30, 0)</f>
        <v>0.35125500501416407</v>
      </c>
    </row>
    <row r="19" spans="1:14" x14ac:dyDescent="0.3">
      <c r="A19" t="s">
        <v>179</v>
      </c>
      <c r="B19" s="5">
        <f t="shared" ref="B19:L19" si="4">IF(B6&gt;0,B6/B4,0)</f>
        <v>0.28693408895205985</v>
      </c>
      <c r="C19" s="5">
        <f t="shared" ref="C19:K19" si="5">IF(C6&gt;0,C6/C4,0)</f>
        <v>0.31990243976586547</v>
      </c>
      <c r="D19" s="5">
        <f t="shared" si="5"/>
        <v>0.21259097014435169</v>
      </c>
      <c r="E19" s="5">
        <f t="shared" si="5"/>
        <v>0.21939722513418652</v>
      </c>
      <c r="F19" s="5">
        <f t="shared" si="5"/>
        <v>0.21264834411876676</v>
      </c>
      <c r="G19" s="5">
        <f t="shared" si="5"/>
        <v>0.25284866562740499</v>
      </c>
      <c r="H19" s="5">
        <f t="shared" si="5"/>
        <v>0.26536555003053969</v>
      </c>
      <c r="I19" s="5">
        <f t="shared" si="5"/>
        <v>0.26547247302536953</v>
      </c>
      <c r="J19" s="5">
        <f t="shared" si="5"/>
        <v>0.26842506265870869</v>
      </c>
      <c r="K19" s="5">
        <f t="shared" si="5"/>
        <v>0.29045536535507716</v>
      </c>
      <c r="L19" s="5">
        <f t="shared" si="4"/>
        <v>0.2904553653550771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54</v>
      </c>
      <c r="I22" s="12" t="s">
        <v>55</v>
      </c>
      <c r="J22" s="12" t="s">
        <v>56</v>
      </c>
      <c r="K22" s="12" t="s">
        <v>57</v>
      </c>
      <c r="L22" s="13" t="s">
        <v>58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>
        <f>IF(B4=0,"",POWER($K4/B4,1/9)-1)</f>
        <v>7.0467266083731994E-2</v>
      </c>
      <c r="I23" s="5">
        <f>IF(D4=0,"",POWER($K4/D4,1/7)-1)</f>
        <v>0.10289333715715698</v>
      </c>
      <c r="J23" s="5">
        <f>IF(F4=0,"",POWER($K4/F4,1/5)-1)</f>
        <v>9.8721244921464724E-2</v>
      </c>
      <c r="K23" s="5">
        <f>IF(H4=0,"",POWER($K4/H4, 1/3)-1)</f>
        <v>0.10799019267788856</v>
      </c>
      <c r="L23" s="5">
        <f>IF(ISERROR(MAX(IF(J4=0,"",(K4-J4)/J4),IF(K4=0,"",(L4-K4)/K4))),"",MAX(IF(J4=0,"",(K4-J4)/J4),IF(K4=0,"",(L4-K4)/K4)))</f>
        <v>8.4161961034582733E-2</v>
      </c>
      <c r="M23" s="16">
        <f>MAX(K23:L23)</f>
        <v>0.10799019267788856</v>
      </c>
      <c r="N23" s="16">
        <f>MIN(H23:L23)</f>
        <v>7.0467266083731994E-2</v>
      </c>
    </row>
    <row r="24" spans="1:14" x14ac:dyDescent="0.3">
      <c r="G24" t="s">
        <v>17</v>
      </c>
      <c r="H24" s="5">
        <f>IF(SUM(B4:$K$4)=0,"",SUMPRODUCT(B19:$K$19,B4:$K$4)/SUM(B4:$K$4))</f>
        <v>0.26242328664503084</v>
      </c>
      <c r="I24" s="5">
        <f>IF(SUM(E4:$K$4)=0,"",SUMPRODUCT(E19:$K$19,E4:$K$4)/SUM(E4:$K$4))</f>
        <v>0.25814644777391887</v>
      </c>
      <c r="J24" s="5">
        <f>IF(SUM(G4:$K$4)=0,"",SUMPRODUCT(G19:$K$19,G4:$K$4)/SUM(G4:$K$4))</f>
        <v>0.27021536191192075</v>
      </c>
      <c r="K24" s="5">
        <f>IF(SUM(I4:$K$4)=0, "", SUMPRODUCT(I19:$K$19,I4:$K$4)/SUM(I4:$K$4))</f>
        <v>0.27552174906114385</v>
      </c>
      <c r="L24" s="5">
        <f>L19</f>
        <v>0.2904553653550771</v>
      </c>
      <c r="M24" s="16">
        <f>MAX(K24:L24)</f>
        <v>0.2904553653550771</v>
      </c>
      <c r="N24" s="16">
        <f>MIN(H24:L24)</f>
        <v>0.25814644777391887</v>
      </c>
    </row>
    <row r="25" spans="1:14" x14ac:dyDescent="0.3">
      <c r="G25" t="s">
        <v>22</v>
      </c>
      <c r="H25" s="6">
        <f>IF(ISERROR(AVERAGEIF(B14:$L14,"&gt;0")),"",AVERAGEIF(B14:$L14,"&gt;0"))</f>
        <v>40.778095098233678</v>
      </c>
      <c r="I25" s="6">
        <f>IF(ISERROR(AVERAGEIF(E14:$L14,"&gt;0")),"",AVERAGEIF(E14:$L14,"&gt;0"))</f>
        <v>40.594337022820042</v>
      </c>
      <c r="J25" s="6">
        <f>IF(ISERROR(AVERAGEIF(G14:$L14,"&gt;0")),"",AVERAGEIF(G14:$L14,"&gt;0"))</f>
        <v>43.199896160901808</v>
      </c>
      <c r="K25" s="6">
        <f>IF(ISERROR(AVERAGEIF(I14:$L14,"&gt;0")),"",AVERAGEIF(I14:$L14,"&gt;0"))</f>
        <v>35.685930296098661</v>
      </c>
      <c r="L25" s="6">
        <f>L14</f>
        <v>36.222717640341692</v>
      </c>
      <c r="M25" s="1">
        <f>MAX(K25:L25)</f>
        <v>36.222717640341692</v>
      </c>
      <c r="N25" s="1">
        <f>MIN(H25:L25)</f>
        <v>35.685930296098661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A15" sqref="A15"/>
    </sheetView>
  </sheetViews>
  <sheetFormatPr defaultColWidth="8.77734375" defaultRowHeight="14.4" x14ac:dyDescent="0.3"/>
  <cols>
    <col min="1" max="1" width="36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SUN PHARMACEUTICAL INDUSTRIES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5</v>
      </c>
      <c r="B4" s="1">
        <f>'Data Sheet'!B42</f>
        <v>11240.97</v>
      </c>
      <c r="C4" s="1">
        <f>'Data Sheet'!C42</f>
        <v>10930.67</v>
      </c>
      <c r="D4" s="1">
        <f>'Data Sheet'!D42</f>
        <v>11940.84</v>
      </c>
      <c r="E4" s="1">
        <f>'Data Sheet'!E42</f>
        <v>12192.41</v>
      </c>
      <c r="F4" s="1">
        <f>'Data Sheet'!F42</f>
        <v>12380.7</v>
      </c>
      <c r="G4" s="1">
        <f>'Data Sheet'!G42</f>
        <v>11982.9</v>
      </c>
      <c r="H4" s="1">
        <f>'Data Sheet'!H42</f>
        <v>12652.75</v>
      </c>
      <c r="I4" s="1">
        <f>'Data Sheet'!I42</f>
        <v>13291.39</v>
      </c>
      <c r="J4" s="1">
        <f>'Data Sheet'!J42</f>
        <v>13675.46</v>
      </c>
      <c r="K4" s="1">
        <f>'Data Sheet'!K42</f>
        <v>12958.84</v>
      </c>
    </row>
    <row r="5" spans="1:11" x14ac:dyDescent="0.3">
      <c r="A5" t="s">
        <v>6</v>
      </c>
      <c r="B5" s="6">
        <f>'Data Sheet'!B43</f>
        <v>8237.25</v>
      </c>
      <c r="C5" s="6">
        <f>'Data Sheet'!C43</f>
        <v>8128.54</v>
      </c>
      <c r="D5" s="6">
        <f>'Data Sheet'!D43</f>
        <v>8609.07</v>
      </c>
      <c r="E5" s="6">
        <f>'Data Sheet'!E43</f>
        <v>9013.0300000000007</v>
      </c>
      <c r="F5" s="6">
        <f>'Data Sheet'!F43</f>
        <v>8903.8700000000008</v>
      </c>
      <c r="G5" s="6">
        <f>'Data Sheet'!G43</f>
        <v>8947.75</v>
      </c>
      <c r="H5" s="6">
        <f>'Data Sheet'!H43</f>
        <v>9045.1299999999992</v>
      </c>
      <c r="I5" s="6">
        <f>'Data Sheet'!I43</f>
        <v>9352.43</v>
      </c>
      <c r="J5" s="6">
        <f>'Data Sheet'!J43</f>
        <v>9666.44</v>
      </c>
      <c r="K5" s="6">
        <f>'Data Sheet'!K43</f>
        <v>9242.75</v>
      </c>
    </row>
    <row r="6" spans="1:11" s="2" customFormat="1" x14ac:dyDescent="0.3">
      <c r="A6" s="2" t="s">
        <v>7</v>
      </c>
      <c r="B6" s="1">
        <f>'Data Sheet'!B50</f>
        <v>3003.72</v>
      </c>
      <c r="C6" s="1">
        <f>'Data Sheet'!C50</f>
        <v>2802.13</v>
      </c>
      <c r="D6" s="1">
        <f>'Data Sheet'!D50</f>
        <v>3331.77</v>
      </c>
      <c r="E6" s="1">
        <f>'Data Sheet'!E50</f>
        <v>3179.38</v>
      </c>
      <c r="F6" s="1">
        <f>'Data Sheet'!F50</f>
        <v>3476.83</v>
      </c>
      <c r="G6" s="1">
        <f>'Data Sheet'!G50</f>
        <v>3035.15</v>
      </c>
      <c r="H6" s="1">
        <f>'Data Sheet'!H50</f>
        <v>3607.62</v>
      </c>
      <c r="I6" s="1">
        <f>'Data Sheet'!I50</f>
        <v>3938.96</v>
      </c>
      <c r="J6" s="1">
        <f>'Data Sheet'!J50</f>
        <v>4009.02</v>
      </c>
      <c r="K6" s="1">
        <f>'Data Sheet'!K50</f>
        <v>3716.09</v>
      </c>
    </row>
    <row r="7" spans="1:11" x14ac:dyDescent="0.3">
      <c r="A7" t="s">
        <v>8</v>
      </c>
      <c r="B7" s="6">
        <f>'Data Sheet'!B44</f>
        <v>173.88</v>
      </c>
      <c r="C7" s="6">
        <f>'Data Sheet'!C44</f>
        <v>201.83</v>
      </c>
      <c r="D7" s="6">
        <f>'Data Sheet'!D44</f>
        <v>-118.43</v>
      </c>
      <c r="E7" s="6">
        <f>'Data Sheet'!E44</f>
        <v>293.61</v>
      </c>
      <c r="F7" s="6">
        <f>'Data Sheet'!F44</f>
        <v>180.39</v>
      </c>
      <c r="G7" s="6">
        <f>'Data Sheet'!G44</f>
        <v>504.3</v>
      </c>
      <c r="H7" s="6">
        <f>'Data Sheet'!H44</f>
        <v>532.54999999999995</v>
      </c>
      <c r="I7" s="6">
        <f>'Data Sheet'!I44</f>
        <v>354</v>
      </c>
      <c r="J7" s="6">
        <f>'Data Sheet'!J44</f>
        <v>149.44999999999999</v>
      </c>
      <c r="K7" s="6">
        <f>'Data Sheet'!K44</f>
        <v>251.19</v>
      </c>
    </row>
    <row r="8" spans="1:11" x14ac:dyDescent="0.3">
      <c r="A8" t="s">
        <v>9</v>
      </c>
      <c r="B8" s="6">
        <f>'Data Sheet'!B45</f>
        <v>659.95</v>
      </c>
      <c r="C8" s="6">
        <f>'Data Sheet'!C45</f>
        <v>671.53</v>
      </c>
      <c r="D8" s="6">
        <f>'Data Sheet'!D45</f>
        <v>651.32000000000005</v>
      </c>
      <c r="E8" s="6">
        <f>'Data Sheet'!E45</f>
        <v>632.82000000000005</v>
      </c>
      <c r="F8" s="6">
        <f>'Data Sheet'!F45</f>
        <v>622.14</v>
      </c>
      <c r="G8" s="6">
        <f>'Data Sheet'!G45</f>
        <v>650.36</v>
      </c>
      <c r="H8" s="6">
        <f>'Data Sheet'!H45</f>
        <v>655.13</v>
      </c>
      <c r="I8" s="6">
        <f>'Data Sheet'!I45</f>
        <v>625.91</v>
      </c>
      <c r="J8" s="6">
        <f>'Data Sheet'!J45</f>
        <v>630.55999999999995</v>
      </c>
      <c r="K8" s="6">
        <f>'Data Sheet'!K45</f>
        <v>663.79</v>
      </c>
    </row>
    <row r="9" spans="1:11" x14ac:dyDescent="0.3">
      <c r="A9" t="s">
        <v>10</v>
      </c>
      <c r="B9" s="6">
        <f>'Data Sheet'!B46</f>
        <v>46.18</v>
      </c>
      <c r="C9" s="6">
        <f>'Data Sheet'!C46</f>
        <v>92.74</v>
      </c>
      <c r="D9" s="6">
        <f>'Data Sheet'!D46</f>
        <v>80.88</v>
      </c>
      <c r="E9" s="6">
        <f>'Data Sheet'!E46</f>
        <v>49.29</v>
      </c>
      <c r="F9" s="6">
        <f>'Data Sheet'!F46</f>
        <v>34.729999999999997</v>
      </c>
      <c r="G9" s="6">
        <f>'Data Sheet'!G46</f>
        <v>73.569999999999993</v>
      </c>
      <c r="H9" s="6">
        <f>'Data Sheet'!H46</f>
        <v>61.54</v>
      </c>
      <c r="I9" s="6">
        <f>'Data Sheet'!I46</f>
        <v>69.17</v>
      </c>
      <c r="J9" s="6">
        <f>'Data Sheet'!J46</f>
        <v>51.51</v>
      </c>
      <c r="K9" s="6">
        <f>'Data Sheet'!K46</f>
        <v>49.14</v>
      </c>
    </row>
    <row r="10" spans="1:11" x14ac:dyDescent="0.3">
      <c r="A10" t="s">
        <v>11</v>
      </c>
      <c r="B10" s="6">
        <f>'Data Sheet'!B47</f>
        <v>2471.4699999999998</v>
      </c>
      <c r="C10" s="6">
        <f>'Data Sheet'!C47</f>
        <v>2239.69</v>
      </c>
      <c r="D10" s="6">
        <f>'Data Sheet'!D47</f>
        <v>2481.14</v>
      </c>
      <c r="E10" s="6">
        <f>'Data Sheet'!E47</f>
        <v>2790.88</v>
      </c>
      <c r="F10" s="6">
        <f>'Data Sheet'!F47</f>
        <v>3000.35</v>
      </c>
      <c r="G10" s="6">
        <f>'Data Sheet'!G47</f>
        <v>2815.52</v>
      </c>
      <c r="H10" s="6">
        <f>'Data Sheet'!H47</f>
        <v>3423.5</v>
      </c>
      <c r="I10" s="6">
        <f>'Data Sheet'!I47</f>
        <v>3597.88</v>
      </c>
      <c r="J10" s="6">
        <f>'Data Sheet'!J47</f>
        <v>3476.4</v>
      </c>
      <c r="K10" s="6">
        <f>'Data Sheet'!K47</f>
        <v>3254.35</v>
      </c>
    </row>
    <row r="11" spans="1:11" x14ac:dyDescent="0.3">
      <c r="A11" t="s">
        <v>12</v>
      </c>
      <c r="B11" s="6">
        <f>'Data Sheet'!B48</f>
        <v>283.43</v>
      </c>
      <c r="C11" s="6">
        <f>'Data Sheet'!C48</f>
        <v>222.91</v>
      </c>
      <c r="D11" s="6">
        <f>'Data Sheet'!D48</f>
        <v>468.1</v>
      </c>
      <c r="E11" s="6">
        <f>'Data Sheet'!E48</f>
        <v>390.1</v>
      </c>
      <c r="F11" s="6">
        <f>'Data Sheet'!F48</f>
        <v>432.32</v>
      </c>
      <c r="G11" s="6">
        <f>'Data Sheet'!G48</f>
        <v>148.93</v>
      </c>
      <c r="H11" s="6">
        <f>'Data Sheet'!H48</f>
        <v>552.25</v>
      </c>
      <c r="I11" s="6">
        <f>'Data Sheet'!I48</f>
        <v>567.21</v>
      </c>
      <c r="J11" s="6">
        <f>'Data Sheet'!J48</f>
        <v>558.86</v>
      </c>
      <c r="K11" s="6">
        <f>'Data Sheet'!K48</f>
        <v>1093.71</v>
      </c>
    </row>
    <row r="12" spans="1:11" s="2" customFormat="1" x14ac:dyDescent="0.3">
      <c r="A12" s="2" t="s">
        <v>13</v>
      </c>
      <c r="B12" s="1">
        <f>'Data Sheet'!B49</f>
        <v>2166.0100000000002</v>
      </c>
      <c r="C12" s="1">
        <f>'Data Sheet'!C49</f>
        <v>1984.47</v>
      </c>
      <c r="D12" s="1">
        <f>'Data Sheet'!D49</f>
        <v>2022.54</v>
      </c>
      <c r="E12" s="1">
        <f>'Data Sheet'!E49</f>
        <v>2375.5100000000002</v>
      </c>
      <c r="F12" s="1">
        <f>'Data Sheet'!F49</f>
        <v>2523.75</v>
      </c>
      <c r="G12" s="1">
        <f>'Data Sheet'!G49</f>
        <v>2654.58</v>
      </c>
      <c r="H12" s="1">
        <f>'Data Sheet'!H49</f>
        <v>2835.62</v>
      </c>
      <c r="I12" s="1">
        <f>'Data Sheet'!I49</f>
        <v>3040.16</v>
      </c>
      <c r="J12" s="1">
        <f>'Data Sheet'!J49</f>
        <v>2903.38</v>
      </c>
      <c r="K12" s="1">
        <f>'Data Sheet'!K49</f>
        <v>2149.88</v>
      </c>
    </row>
    <row r="14" spans="1:11" s="2" customFormat="1" x14ac:dyDescent="0.3">
      <c r="A14" s="2" t="s">
        <v>178</v>
      </c>
      <c r="B14" s="10">
        <f>IF(B4&gt;0,B6/B4,"")</f>
        <v>0.26721181535045463</v>
      </c>
      <c r="C14" s="10">
        <f t="shared" ref="C14:K14" si="0">IF(C4&gt;0,C6/C4,"")</f>
        <v>0.25635482545900662</v>
      </c>
      <c r="D14" s="10">
        <f t="shared" si="0"/>
        <v>0.2790230838031495</v>
      </c>
      <c r="E14" s="10">
        <f t="shared" si="0"/>
        <v>0.26076714939868328</v>
      </c>
      <c r="F14" s="10">
        <f t="shared" si="0"/>
        <v>0.28082660915780205</v>
      </c>
      <c r="G14" s="10">
        <f t="shared" si="0"/>
        <v>0.25329010506638627</v>
      </c>
      <c r="H14" s="10">
        <f t="shared" si="0"/>
        <v>0.28512536800300331</v>
      </c>
      <c r="I14" s="10">
        <f t="shared" si="0"/>
        <v>0.29635425640207685</v>
      </c>
      <c r="J14" s="10">
        <f t="shared" si="0"/>
        <v>0.29315430705804413</v>
      </c>
      <c r="K14" s="10">
        <f t="shared" si="0"/>
        <v>0.28676100638637408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12" activePane="bottomRight" state="frozen"/>
      <selection activeCell="C4" sqref="C4"/>
      <selection pane="topRight" activeCell="C4" sqref="C4"/>
      <selection pane="bottomLeft" activeCell="C4" sqref="C4"/>
      <selection pane="bottomRight" activeCell="E1" sqref="E1:E1048576"/>
    </sheetView>
  </sheetViews>
  <sheetFormatPr defaultColWidth="8.77734375" defaultRowHeight="14.4" x14ac:dyDescent="0.3"/>
  <cols>
    <col min="1" max="1" width="35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SUN PHARMACEUTICAL INDUSTRIES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23</v>
      </c>
      <c r="B4" s="14">
        <f>'Data Sheet'!B57</f>
        <v>240.66</v>
      </c>
      <c r="C4" s="14">
        <f>'Data Sheet'!C57</f>
        <v>239.93</v>
      </c>
      <c r="D4" s="14">
        <f>'Data Sheet'!D57</f>
        <v>239.93</v>
      </c>
      <c r="E4" s="14">
        <f>'Data Sheet'!E57</f>
        <v>239.93</v>
      </c>
      <c r="F4" s="14">
        <f>'Data Sheet'!F57</f>
        <v>239.93</v>
      </c>
      <c r="G4" s="14">
        <f>'Data Sheet'!G57</f>
        <v>239.93</v>
      </c>
      <c r="H4" s="14">
        <f>'Data Sheet'!H57</f>
        <v>239.93</v>
      </c>
      <c r="I4" s="14">
        <f>'Data Sheet'!I57</f>
        <v>239.93</v>
      </c>
      <c r="J4" s="14">
        <f>'Data Sheet'!J57</f>
        <v>239.93</v>
      </c>
      <c r="K4" s="14">
        <f>'Data Sheet'!K57</f>
        <v>239.93</v>
      </c>
    </row>
    <row r="5" spans="1:11" x14ac:dyDescent="0.3">
      <c r="A5" t="s">
        <v>24</v>
      </c>
      <c r="B5" s="14">
        <f>'Data Sheet'!B58</f>
        <v>32741.82</v>
      </c>
      <c r="C5" s="14">
        <f>'Data Sheet'!C58</f>
        <v>36399.74</v>
      </c>
      <c r="D5" s="14">
        <f>'Data Sheet'!D58</f>
        <v>38074.18</v>
      </c>
      <c r="E5" s="14">
        <f>'Data Sheet'!E58</f>
        <v>41169.129999999997</v>
      </c>
      <c r="F5" s="14">
        <f>'Data Sheet'!F58</f>
        <v>45024.52</v>
      </c>
      <c r="G5" s="14">
        <f>'Data Sheet'!G58</f>
        <v>46222.85</v>
      </c>
      <c r="H5" s="14">
        <f>'Data Sheet'!H58</f>
        <v>47771.29</v>
      </c>
      <c r="I5" s="14">
        <f>'Data Sheet'!I58</f>
        <v>55755.45</v>
      </c>
      <c r="J5" s="14">
        <f>'Data Sheet'!J58</f>
        <v>63426.82</v>
      </c>
      <c r="K5" s="14">
        <f>'Data Sheet'!K58</f>
        <v>71978.09</v>
      </c>
    </row>
    <row r="6" spans="1:11" x14ac:dyDescent="0.3">
      <c r="A6" t="s">
        <v>60</v>
      </c>
      <c r="B6" s="14">
        <f>'Data Sheet'!B59</f>
        <v>8496.76</v>
      </c>
      <c r="C6" s="14">
        <f>'Data Sheet'!C59</f>
        <v>9831.77</v>
      </c>
      <c r="D6" s="14">
        <f>'Data Sheet'!D59</f>
        <v>10385.27</v>
      </c>
      <c r="E6" s="14">
        <f>'Data Sheet'!E59</f>
        <v>10514.36</v>
      </c>
      <c r="F6" s="14">
        <f>'Data Sheet'!F59</f>
        <v>8314.8799999999992</v>
      </c>
      <c r="G6" s="14">
        <f>'Data Sheet'!G59</f>
        <v>3868.58</v>
      </c>
      <c r="H6" s="14">
        <f>'Data Sheet'!H59</f>
        <v>1290.3</v>
      </c>
      <c r="I6" s="14">
        <f>'Data Sheet'!I59</f>
        <v>6885.87</v>
      </c>
      <c r="J6" s="14">
        <f>'Data Sheet'!J59</f>
        <v>3273.67</v>
      </c>
      <c r="K6" s="14">
        <f>'Data Sheet'!K59</f>
        <v>2362.19</v>
      </c>
    </row>
    <row r="7" spans="1:11" x14ac:dyDescent="0.3">
      <c r="A7" t="s">
        <v>61</v>
      </c>
      <c r="B7" s="14">
        <f>'Data Sheet'!B60</f>
        <v>13948.26</v>
      </c>
      <c r="C7" s="14">
        <f>'Data Sheet'!C60</f>
        <v>14624.01</v>
      </c>
      <c r="D7" s="14">
        <f>'Data Sheet'!D60</f>
        <v>15598.01</v>
      </c>
      <c r="E7" s="14">
        <f>'Data Sheet'!E60</f>
        <v>12666.11</v>
      </c>
      <c r="F7" s="14">
        <f>'Data Sheet'!F60</f>
        <v>14614.99</v>
      </c>
      <c r="G7" s="14">
        <f>'Data Sheet'!G60</f>
        <v>17290.86</v>
      </c>
      <c r="H7" s="14">
        <f>'Data Sheet'!H60</f>
        <v>20474.39</v>
      </c>
      <c r="I7" s="14">
        <f>'Data Sheet'!I60</f>
        <v>17830.650000000001</v>
      </c>
      <c r="J7" s="14">
        <f>'Data Sheet'!J60</f>
        <v>18367.400000000001</v>
      </c>
      <c r="K7" s="14">
        <f>'Data Sheet'!K60</f>
        <v>17520.37</v>
      </c>
    </row>
    <row r="8" spans="1:11" s="2" customFormat="1" x14ac:dyDescent="0.3">
      <c r="A8" s="2" t="s">
        <v>25</v>
      </c>
      <c r="B8" s="15">
        <f>'Data Sheet'!B61</f>
        <v>55427.5</v>
      </c>
      <c r="C8" s="15">
        <f>'Data Sheet'!C61</f>
        <v>61095.45</v>
      </c>
      <c r="D8" s="15">
        <f>'Data Sheet'!D61</f>
        <v>64297.39</v>
      </c>
      <c r="E8" s="15">
        <f>'Data Sheet'!E61</f>
        <v>64589.53</v>
      </c>
      <c r="F8" s="15">
        <f>'Data Sheet'!F61</f>
        <v>68194.320000000007</v>
      </c>
      <c r="G8" s="15">
        <f>'Data Sheet'!G61</f>
        <v>67622.22</v>
      </c>
      <c r="H8" s="15">
        <f>'Data Sheet'!H61</f>
        <v>69775.91</v>
      </c>
      <c r="I8" s="15">
        <f>'Data Sheet'!I61</f>
        <v>80711.899999999994</v>
      </c>
      <c r="J8" s="15">
        <f>'Data Sheet'!J61</f>
        <v>85307.82</v>
      </c>
      <c r="K8" s="15">
        <f>'Data Sheet'!K61</f>
        <v>92100.58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15872.25</v>
      </c>
      <c r="C10" s="14">
        <f>'Data Sheet'!C62</f>
        <v>17675.169999999998</v>
      </c>
      <c r="D10" s="14">
        <f>'Data Sheet'!D62</f>
        <v>18852.650000000001</v>
      </c>
      <c r="E10" s="14">
        <f>'Data Sheet'!E62</f>
        <v>21836.54</v>
      </c>
      <c r="F10" s="14">
        <f>'Data Sheet'!F62</f>
        <v>22846.91</v>
      </c>
      <c r="G10" s="14">
        <f>'Data Sheet'!G62</f>
        <v>21552.98</v>
      </c>
      <c r="H10" s="14">
        <f>'Data Sheet'!H62</f>
        <v>22665.16</v>
      </c>
      <c r="I10" s="14">
        <f>'Data Sheet'!I62</f>
        <v>24065.439999999999</v>
      </c>
      <c r="J10" s="14">
        <f>'Data Sheet'!J62</f>
        <v>23211.38</v>
      </c>
      <c r="K10" s="14">
        <f>'Data Sheet'!K62</f>
        <v>27995.9</v>
      </c>
    </row>
    <row r="11" spans="1:11" x14ac:dyDescent="0.3">
      <c r="A11" t="s">
        <v>27</v>
      </c>
      <c r="B11" s="14">
        <f>'Data Sheet'!B63</f>
        <v>2175.4499999999998</v>
      </c>
      <c r="C11" s="14">
        <f>'Data Sheet'!C63</f>
        <v>2801.38</v>
      </c>
      <c r="D11" s="14">
        <f>'Data Sheet'!D63</f>
        <v>2465.16</v>
      </c>
      <c r="E11" s="14">
        <f>'Data Sheet'!E63</f>
        <v>1411.15</v>
      </c>
      <c r="F11" s="14">
        <f>'Data Sheet'!F63</f>
        <v>1220.3399999999999</v>
      </c>
      <c r="G11" s="14">
        <f>'Data Sheet'!G63</f>
        <v>1566.83</v>
      </c>
      <c r="H11" s="14">
        <f>'Data Sheet'!H63</f>
        <v>1286.8</v>
      </c>
      <c r="I11" s="14">
        <f>'Data Sheet'!I63</f>
        <v>4973.16</v>
      </c>
      <c r="J11" s="14">
        <f>'Data Sheet'!J63</f>
        <v>5353.88</v>
      </c>
      <c r="K11" s="14">
        <f>'Data Sheet'!K63</f>
        <v>1234.3399999999999</v>
      </c>
    </row>
    <row r="12" spans="1:11" x14ac:dyDescent="0.3">
      <c r="A12" t="s">
        <v>28</v>
      </c>
      <c r="B12" s="14">
        <f>'Data Sheet'!B64</f>
        <v>1829.88</v>
      </c>
      <c r="C12" s="14">
        <f>'Data Sheet'!C64</f>
        <v>1191.8800000000001</v>
      </c>
      <c r="D12" s="14">
        <f>'Data Sheet'!D64</f>
        <v>7142.87</v>
      </c>
      <c r="E12" s="14">
        <f>'Data Sheet'!E64</f>
        <v>7902.53</v>
      </c>
      <c r="F12" s="14">
        <f>'Data Sheet'!F64</f>
        <v>10143.11</v>
      </c>
      <c r="G12" s="14">
        <f>'Data Sheet'!G64</f>
        <v>9612.4500000000007</v>
      </c>
      <c r="H12" s="14">
        <f>'Data Sheet'!H64</f>
        <v>12848.59</v>
      </c>
      <c r="I12" s="14">
        <f>'Data Sheet'!I64</f>
        <v>14824.34</v>
      </c>
      <c r="J12" s="14">
        <f>'Data Sheet'!J64</f>
        <v>15025.77</v>
      </c>
      <c r="K12" s="14">
        <f>'Data Sheet'!K64</f>
        <v>18353.8</v>
      </c>
    </row>
    <row r="13" spans="1:11" x14ac:dyDescent="0.3">
      <c r="A13" t="s">
        <v>62</v>
      </c>
      <c r="B13" s="14">
        <f>'Data Sheet'!B65</f>
        <v>35549.919999999998</v>
      </c>
      <c r="C13" s="14">
        <f>'Data Sheet'!C65</f>
        <v>39427.019999999997</v>
      </c>
      <c r="D13" s="14">
        <f>'Data Sheet'!D65</f>
        <v>35836.71</v>
      </c>
      <c r="E13" s="14">
        <f>'Data Sheet'!E65</f>
        <v>33439.31</v>
      </c>
      <c r="F13" s="14">
        <f>'Data Sheet'!F65</f>
        <v>33983.96</v>
      </c>
      <c r="G13" s="14">
        <f>'Data Sheet'!G65</f>
        <v>34889.96</v>
      </c>
      <c r="H13" s="14">
        <f>'Data Sheet'!H65</f>
        <v>32975.360000000001</v>
      </c>
      <c r="I13" s="14">
        <f>'Data Sheet'!I65</f>
        <v>36848.959999999999</v>
      </c>
      <c r="J13" s="14">
        <f>'Data Sheet'!J65</f>
        <v>41716.79</v>
      </c>
      <c r="K13" s="14">
        <f>'Data Sheet'!K65</f>
        <v>44516.54</v>
      </c>
    </row>
    <row r="14" spans="1:11" s="2" customFormat="1" x14ac:dyDescent="0.3">
      <c r="A14" s="2" t="s">
        <v>25</v>
      </c>
      <c r="B14" s="14">
        <f>'Data Sheet'!B66</f>
        <v>55427.5</v>
      </c>
      <c r="C14" s="14">
        <f>'Data Sheet'!C66</f>
        <v>61095.45</v>
      </c>
      <c r="D14" s="14">
        <f>'Data Sheet'!D66</f>
        <v>64297.39</v>
      </c>
      <c r="E14" s="14">
        <f>'Data Sheet'!E66</f>
        <v>64589.53</v>
      </c>
      <c r="F14" s="14">
        <f>'Data Sheet'!F66</f>
        <v>68194.320000000007</v>
      </c>
      <c r="G14" s="14">
        <f>'Data Sheet'!G66</f>
        <v>67622.22</v>
      </c>
      <c r="H14" s="14">
        <f>'Data Sheet'!H66</f>
        <v>69775.91</v>
      </c>
      <c r="I14" s="14">
        <f>'Data Sheet'!I66</f>
        <v>80711.899999999994</v>
      </c>
      <c r="J14" s="14">
        <f>'Data Sheet'!J66</f>
        <v>85307.82</v>
      </c>
      <c r="K14" s="14">
        <f>'Data Sheet'!K66</f>
        <v>92100.58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21601.659999999996</v>
      </c>
      <c r="C16" s="4">
        <f t="shared" ref="C16:K16" si="0">C13-C7</f>
        <v>24803.009999999995</v>
      </c>
      <c r="D16" s="4">
        <f t="shared" si="0"/>
        <v>20238.699999999997</v>
      </c>
      <c r="E16" s="4">
        <f t="shared" si="0"/>
        <v>20773.199999999997</v>
      </c>
      <c r="F16" s="4">
        <f t="shared" si="0"/>
        <v>19368.97</v>
      </c>
      <c r="G16" s="4">
        <f t="shared" si="0"/>
        <v>17599.099999999999</v>
      </c>
      <c r="H16" s="4">
        <f t="shared" si="0"/>
        <v>12500.970000000001</v>
      </c>
      <c r="I16" s="4">
        <f t="shared" si="0"/>
        <v>19018.309999999998</v>
      </c>
      <c r="J16" s="4">
        <f t="shared" si="0"/>
        <v>23349.39</v>
      </c>
      <c r="K16" s="4">
        <f t="shared" si="0"/>
        <v>26996.170000000002</v>
      </c>
    </row>
    <row r="17" spans="1:11" x14ac:dyDescent="0.3">
      <c r="A17" t="s">
        <v>42</v>
      </c>
      <c r="B17" s="4">
        <f>'Data Sheet'!B67</f>
        <v>6775.66</v>
      </c>
      <c r="C17" s="4">
        <f>'Data Sheet'!C67</f>
        <v>7202.61</v>
      </c>
      <c r="D17" s="4">
        <f>'Data Sheet'!D67</f>
        <v>7815.28</v>
      </c>
      <c r="E17" s="4">
        <f>'Data Sheet'!E67</f>
        <v>8884.2000000000007</v>
      </c>
      <c r="F17" s="4">
        <f>'Data Sheet'!F67</f>
        <v>9421.24</v>
      </c>
      <c r="G17" s="4">
        <f>'Data Sheet'!G67</f>
        <v>9061.4</v>
      </c>
      <c r="H17" s="4">
        <f>'Data Sheet'!H67</f>
        <v>10484.59</v>
      </c>
      <c r="I17" s="4">
        <f>'Data Sheet'!I67</f>
        <v>11438.51</v>
      </c>
      <c r="J17" s="4">
        <f>'Data Sheet'!J67</f>
        <v>11249.37</v>
      </c>
      <c r="K17" s="4">
        <f>'Data Sheet'!K67</f>
        <v>13046.11</v>
      </c>
    </row>
    <row r="18" spans="1:11" x14ac:dyDescent="0.3">
      <c r="A18" t="s">
        <v>43</v>
      </c>
      <c r="B18" s="4">
        <f>'Data Sheet'!B68</f>
        <v>6422.54</v>
      </c>
      <c r="C18" s="4">
        <f>'Data Sheet'!C68</f>
        <v>6832.81</v>
      </c>
      <c r="D18" s="4">
        <f>'Data Sheet'!D68</f>
        <v>6880.69</v>
      </c>
      <c r="E18" s="4">
        <f>'Data Sheet'!E68</f>
        <v>7885.98</v>
      </c>
      <c r="F18" s="4">
        <f>'Data Sheet'!F68</f>
        <v>7874.99</v>
      </c>
      <c r="G18" s="4">
        <f>'Data Sheet'!G68</f>
        <v>8997.02</v>
      </c>
      <c r="H18" s="4">
        <f>'Data Sheet'!H68</f>
        <v>8925.1299999999992</v>
      </c>
      <c r="I18" s="4">
        <f>'Data Sheet'!I68</f>
        <v>10513.05</v>
      </c>
      <c r="J18" s="4">
        <f>'Data Sheet'!J68</f>
        <v>9868.2900000000009</v>
      </c>
      <c r="K18" s="4">
        <f>'Data Sheet'!K68</f>
        <v>10243.33</v>
      </c>
    </row>
    <row r="20" spans="1:11" x14ac:dyDescent="0.3">
      <c r="A20" t="s">
        <v>44</v>
      </c>
      <c r="B20" s="4">
        <f>IF('Profit &amp; Loss'!B4&gt;0,'Balance Sheet'!B17/('Profit &amp; Loss'!B4/365),0)</f>
        <v>86.815505161471719</v>
      </c>
      <c r="C20" s="4">
        <f>IF('Profit &amp; Loss'!C4&gt;0,'Balance Sheet'!C17/('Profit &amp; Loss'!C4/365),0)</f>
        <v>83.251504824177516</v>
      </c>
      <c r="D20" s="4">
        <f>IF('Profit &amp; Loss'!D4&gt;0,'Balance Sheet'!D17/('Profit &amp; Loss'!D4/365),0)</f>
        <v>107.68725372280144</v>
      </c>
      <c r="E20" s="4">
        <f>IF('Profit &amp; Loss'!E4&gt;0,'Balance Sheet'!E17/('Profit &amp; Loss'!E4/365),0)</f>
        <v>111.5648194052758</v>
      </c>
      <c r="F20" s="4">
        <f>IF('Profit &amp; Loss'!F4&gt;0,'Balance Sheet'!F17/('Profit &amp; Loss'!F4/365),0)</f>
        <v>104.72029234868671</v>
      </c>
      <c r="G20" s="4">
        <f>IF('Profit &amp; Loss'!G4&gt;0,'Balance Sheet'!G17/('Profit &amp; Loss'!G4/365),0)</f>
        <v>98.734168523983726</v>
      </c>
      <c r="H20" s="4">
        <f>IF('Profit &amp; Loss'!H4&gt;0,'Balance Sheet'!H17/('Profit &amp; Loss'!H4/365),0)</f>
        <v>99.002091348249579</v>
      </c>
      <c r="I20" s="4">
        <f>IF('Profit &amp; Loss'!I4&gt;0,'Balance Sheet'!I17/('Profit &amp; Loss'!I4/365),0)</f>
        <v>95.134817325378123</v>
      </c>
      <c r="J20" s="4">
        <f>IF('Profit &amp; Loss'!J4&gt;0,'Balance Sheet'!J17/('Profit &amp; Loss'!J4/365),0)</f>
        <v>84.665706123181209</v>
      </c>
      <c r="K20" s="4">
        <f>IF('Profit &amp; Loss'!K4&gt;0,'Balance Sheet'!K17/('Profit &amp; Loss'!K4/365),0)</f>
        <v>90.56621212040524</v>
      </c>
    </row>
    <row r="21" spans="1:11" x14ac:dyDescent="0.3">
      <c r="A21" t="s">
        <v>45</v>
      </c>
      <c r="B21" s="4">
        <f>IF('Balance Sheet'!B18&gt;0,'Profit &amp; Loss'!B4/'Balance Sheet'!B18,0)</f>
        <v>4.4354772410915304</v>
      </c>
      <c r="C21" s="4">
        <f>IF('Balance Sheet'!C18&gt;0,'Profit &amp; Loss'!C4/'Balance Sheet'!C18,0)</f>
        <v>4.6215890680408203</v>
      </c>
      <c r="D21" s="4">
        <f>IF('Balance Sheet'!D18&gt;0,'Profit &amp; Loss'!D4/'Balance Sheet'!D18,0)</f>
        <v>3.8498261075560736</v>
      </c>
      <c r="E21" s="4">
        <f>IF('Balance Sheet'!E18&gt;0,'Profit &amp; Loss'!E4/'Balance Sheet'!E18,0)</f>
        <v>3.6857701896276684</v>
      </c>
      <c r="F21" s="4">
        <f>IF('Balance Sheet'!F18&gt;0,'Profit &amp; Loss'!F4/'Balance Sheet'!F18,0)</f>
        <v>4.1698465648845273</v>
      </c>
      <c r="G21" s="4">
        <f>IF('Balance Sheet'!G18&gt;0,'Profit &amp; Loss'!G4/'Balance Sheet'!G18,0)</f>
        <v>3.723248364458454</v>
      </c>
      <c r="H21" s="4">
        <f>IF('Balance Sheet'!H18&gt;0,'Profit &amp; Loss'!H4/'Balance Sheet'!H18,0)</f>
        <v>4.3309722099285954</v>
      </c>
      <c r="I21" s="4">
        <f>IF('Balance Sheet'!I18&gt;0,'Profit &amp; Loss'!I4/'Balance Sheet'!I18,0)</f>
        <v>4.1744003880890892</v>
      </c>
      <c r="J21" s="4">
        <f>IF('Balance Sheet'!J18&gt;0,'Profit &amp; Loss'!J4/'Balance Sheet'!J18,0)</f>
        <v>4.9144127300677214</v>
      </c>
      <c r="K21" s="4">
        <f>IF('Balance Sheet'!K18&gt;0,'Profit &amp; Loss'!K4/'Balance Sheet'!K18,0)</f>
        <v>5.1329440718984944</v>
      </c>
    </row>
    <row r="23" spans="1:11" s="2" customFormat="1" x14ac:dyDescent="0.3">
      <c r="A23" s="2" t="s">
        <v>48</v>
      </c>
      <c r="B23" s="10">
        <f>IF(SUM('Balance Sheet'!B4:B5)&gt;0,'Profit &amp; Loss'!B12/SUM('Balance Sheet'!B4:B5),"")</f>
        <v>0.13782195880964682</v>
      </c>
      <c r="C23" s="10">
        <f>IF(SUM('Balance Sheet'!C4:C5)&gt;0,'Profit &amp; Loss'!C12/SUM('Balance Sheet'!C4:C5),"")</f>
        <v>0.19007731237754052</v>
      </c>
      <c r="D23" s="10">
        <f>IF(SUM('Balance Sheet'!D4:D5)&gt;0,'Profit &amp; Loss'!D12/SUM('Balance Sheet'!D4:D5),"")</f>
        <v>5.4697864572607842E-2</v>
      </c>
      <c r="E23" s="10">
        <f>IF(SUM('Balance Sheet'!E4:E5)&gt;0,'Profit &amp; Loss'!E12/SUM('Balance Sheet'!E4:E5),"")</f>
        <v>6.4368039264837223E-2</v>
      </c>
      <c r="F23" s="10">
        <f>IF(SUM('Balance Sheet'!F4:F5)&gt;0,'Profit &amp; Loss'!F12/SUM('Balance Sheet'!F4:F5),"")</f>
        <v>8.3176311652963866E-2</v>
      </c>
      <c r="G23" s="10">
        <f>IF(SUM('Balance Sheet'!G4:G5)&gt;0,'Profit &amp; Loss'!G12/SUM('Balance Sheet'!G4:G5),"")</f>
        <v>6.2497767029867785E-2</v>
      </c>
      <c r="H23" s="10">
        <f>IF(SUM('Balance Sheet'!H4:H5)&gt;0,'Profit &amp; Loss'!H12/SUM('Balance Sheet'!H4:H5),"")</f>
        <v>6.8165941211241865E-2</v>
      </c>
      <c r="I23" s="10">
        <f>IF(SUM('Balance Sheet'!I4:I5)&gt;0,'Profit &amp; Loss'!I12/SUM('Balance Sheet'!I4:I5),"")</f>
        <v>0.15132641300050112</v>
      </c>
      <c r="J23" s="10">
        <f>IF(SUM('Balance Sheet'!J4:J5)&gt;0,'Profit &amp; Loss'!J12/SUM('Balance Sheet'!J4:J5),"")</f>
        <v>0.15041414867258027</v>
      </c>
      <c r="K23" s="10">
        <f>IF(SUM('Balance Sheet'!K4:K5)&gt;0,'Profit &amp; Loss'!K12/SUM('Balance Sheet'!K4:K5),"")</f>
        <v>0.15133397453987249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0.21484018088319498</v>
      </c>
      <c r="D24" s="10">
        <f>IF((C4+C5+C6+D4+D5+D6)&gt;0,('Profit &amp; Loss'!D10+'Profit &amp; Loss'!D9)*2/(C4+C5+C6+D4+D5+D6),"")</f>
        <v>8.3986877490390438E-2</v>
      </c>
      <c r="E24" s="10">
        <f>IF((D4+D5+D6+E4+E5+E6)&gt;0,('Profit &amp; Loss'!E10+'Profit &amp; Loss'!E9)*2/(D4+D5+D6+E4+E5+E6),"")</f>
        <v>8.6768605127267376E-2</v>
      </c>
      <c r="F24" s="10">
        <f>IF((E4+E5+E6+F4+F5+F6)&gt;0,('Profit &amp; Loss'!F10+'Profit &amp; Loss'!F9)*2/(E4+E5+E6+F4+F5+F6),"")</f>
        <v>0.10070486314337777</v>
      </c>
      <c r="G24" s="10">
        <f>IF((F4+F5+F6+G4+G5+G6)&gt;0,('Profit &amp; Loss'!G10+'Profit &amp; Loss'!G9)*2/(F4+F5+F6+G4+G5+G6),"")</f>
        <v>5.6602453510798553E-2</v>
      </c>
      <c r="H24" s="10">
        <f>IF((G4+G5+G6+H4+H5+H6)&gt;0,('Profit &amp; Loss'!H10+'Profit &amp; Loss'!H9)*2/(G4+G5+G6+H4+H5+H6),"")</f>
        <v>9.2513033849869641E-2</v>
      </c>
      <c r="I24" s="10">
        <f>IF((H4+H5+H6+I4+I5+I6)&gt;0,('Profit &amp; Loss'!I10+'Profit &amp; Loss'!I9)*2/(H4+H5+H6+I4+I5+I6),"")</f>
        <v>0.17080038226904187</v>
      </c>
      <c r="J24" s="10">
        <f>IF((I4+I5+I6+J4+J5+J6)&gt;0,('Profit &amp; Loss'!J10+'Profit &amp; Loss'!J9)*2/(I4+I5+I6+J4+J5+J6),"")</f>
        <v>0.1744910537662934</v>
      </c>
      <c r="K24" s="10">
        <f>IF((J4+J5+J6+K4+K5+K6)&gt;0,('Profit &amp; Loss'!K10+'Profit &amp; Loss'!K9)*2/(J4+J5+J6+K4+K5+K6),"")</f>
        <v>0.19761769008518404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36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SUN PHARMACEUTICAL INDUSTRIES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31</v>
      </c>
      <c r="B4" s="1">
        <f>'Data Sheet'!B82</f>
        <v>6685.86</v>
      </c>
      <c r="C4" s="1">
        <f>'Data Sheet'!C82</f>
        <v>7082.21</v>
      </c>
      <c r="D4" s="1">
        <f>'Data Sheet'!D82</f>
        <v>3907.15</v>
      </c>
      <c r="E4" s="1">
        <f>'Data Sheet'!E82</f>
        <v>2196.4499999999998</v>
      </c>
      <c r="F4" s="1">
        <f>'Data Sheet'!F82</f>
        <v>6554.77</v>
      </c>
      <c r="G4" s="1">
        <f>'Data Sheet'!G82</f>
        <v>6170.37</v>
      </c>
      <c r="H4" s="1">
        <f>'Data Sheet'!H82</f>
        <v>8984.5400000000009</v>
      </c>
      <c r="I4" s="1">
        <f>'Data Sheet'!I82</f>
        <v>4959.33</v>
      </c>
      <c r="J4" s="1">
        <f>'Data Sheet'!J82</f>
        <v>12134.98</v>
      </c>
      <c r="K4" s="1">
        <f>'Data Sheet'!K82</f>
        <v>14072.09</v>
      </c>
    </row>
    <row r="5" spans="1:11" x14ac:dyDescent="0.3">
      <c r="A5" t="s">
        <v>32</v>
      </c>
      <c r="B5" s="6">
        <f>'Data Sheet'!B83</f>
        <v>-3949.13</v>
      </c>
      <c r="C5" s="6">
        <f>'Data Sheet'!C83</f>
        <v>-4186.1499999999996</v>
      </c>
      <c r="D5" s="6">
        <f>'Data Sheet'!D83</f>
        <v>-3103.8</v>
      </c>
      <c r="E5" s="6">
        <f>'Data Sheet'!E83</f>
        <v>-310.08</v>
      </c>
      <c r="F5" s="6">
        <f>'Data Sheet'!F83</f>
        <v>-2225.3200000000002</v>
      </c>
      <c r="G5" s="6">
        <f>'Data Sheet'!G83</f>
        <v>406.53</v>
      </c>
      <c r="H5" s="6">
        <f>'Data Sheet'!H83</f>
        <v>-5555.86</v>
      </c>
      <c r="I5" s="6">
        <f>'Data Sheet'!I83</f>
        <v>-7219.92</v>
      </c>
      <c r="J5" s="6">
        <f>'Data Sheet'!J83</f>
        <v>-762.9</v>
      </c>
      <c r="K5" s="6">
        <f>'Data Sheet'!K83</f>
        <v>-5306.16</v>
      </c>
    </row>
    <row r="6" spans="1:11" x14ac:dyDescent="0.3">
      <c r="A6" t="s">
        <v>33</v>
      </c>
      <c r="B6" s="6">
        <f>'Data Sheet'!B84</f>
        <v>-1888.53</v>
      </c>
      <c r="C6" s="6">
        <f>'Data Sheet'!C84</f>
        <v>-2285.39</v>
      </c>
      <c r="D6" s="6">
        <f>'Data Sheet'!D84</f>
        <v>-1539.26</v>
      </c>
      <c r="E6" s="6">
        <f>'Data Sheet'!E84</f>
        <v>-2730.52</v>
      </c>
      <c r="F6" s="6">
        <f>'Data Sheet'!F84</f>
        <v>-5715.14</v>
      </c>
      <c r="G6" s="6">
        <f>'Data Sheet'!G84</f>
        <v>-5980.48</v>
      </c>
      <c r="H6" s="6">
        <f>'Data Sheet'!H84</f>
        <v>-5193.46</v>
      </c>
      <c r="I6" s="6">
        <f>'Data Sheet'!I84</f>
        <v>2376.0700000000002</v>
      </c>
      <c r="J6" s="6">
        <f>'Data Sheet'!J84</f>
        <v>-6710.16</v>
      </c>
      <c r="K6" s="6">
        <f>'Data Sheet'!K84</f>
        <v>-7905.82</v>
      </c>
    </row>
    <row r="7" spans="1:11" s="2" customFormat="1" x14ac:dyDescent="0.3">
      <c r="A7" s="2" t="s">
        <v>34</v>
      </c>
      <c r="B7" s="1">
        <f>'Data Sheet'!B85</f>
        <v>848.2</v>
      </c>
      <c r="C7" s="1">
        <f>'Data Sheet'!C85</f>
        <v>610.66999999999996</v>
      </c>
      <c r="D7" s="1">
        <f>'Data Sheet'!D85</f>
        <v>-735.91</v>
      </c>
      <c r="E7" s="1">
        <f>'Data Sheet'!E85</f>
        <v>-844.15</v>
      </c>
      <c r="F7" s="1">
        <f>'Data Sheet'!F85</f>
        <v>-1385.69</v>
      </c>
      <c r="G7" s="1">
        <f>'Data Sheet'!G85</f>
        <v>596.41999999999996</v>
      </c>
      <c r="H7" s="1">
        <f>'Data Sheet'!H85</f>
        <v>-1764.78</v>
      </c>
      <c r="I7" s="1">
        <f>'Data Sheet'!I85</f>
        <v>115.48</v>
      </c>
      <c r="J7" s="1">
        <f>'Data Sheet'!J85</f>
        <v>4661.92</v>
      </c>
      <c r="K7" s="1">
        <f>'Data Sheet'!K85</f>
        <v>860.11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2" sqref="E2:K2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71" t="str">
        <f>IF(B2&lt;&gt;B3, "A NEW VERSION OF THE WORKSHEET IS AVAILABLE", "")</f>
        <v/>
      </c>
      <c r="F1" s="71"/>
      <c r="G1" s="71"/>
      <c r="H1" s="71"/>
      <c r="I1" s="71"/>
      <c r="J1" s="71"/>
      <c r="K1" s="71"/>
    </row>
    <row r="2" spans="1:11" x14ac:dyDescent="0.3">
      <c r="A2" s="1" t="s">
        <v>50</v>
      </c>
      <c r="B2" s="4">
        <v>2.1</v>
      </c>
      <c r="E2" s="72"/>
      <c r="F2" s="72"/>
      <c r="G2" s="72"/>
      <c r="H2" s="72"/>
      <c r="I2" s="72"/>
      <c r="J2" s="72"/>
      <c r="K2" s="72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239.8979093443219</v>
      </c>
    </row>
    <row r="7" spans="1:11" x14ac:dyDescent="0.3">
      <c r="A7" s="4" t="s">
        <v>30</v>
      </c>
      <c r="B7">
        <v>1</v>
      </c>
    </row>
    <row r="8" spans="1:11" x14ac:dyDescent="0.3">
      <c r="A8" s="4" t="s">
        <v>41</v>
      </c>
      <c r="B8">
        <v>1650.2</v>
      </c>
    </row>
    <row r="9" spans="1:11" x14ac:dyDescent="0.3">
      <c r="A9" s="4" t="s">
        <v>68</v>
      </c>
      <c r="B9">
        <v>395879.53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>
        <v>28487.03</v>
      </c>
      <c r="C17">
        <v>31578.44</v>
      </c>
      <c r="D17">
        <v>26489.46</v>
      </c>
      <c r="E17">
        <v>29065.91</v>
      </c>
      <c r="F17">
        <v>32837.5</v>
      </c>
      <c r="G17">
        <v>33498.14</v>
      </c>
      <c r="H17">
        <v>38654.49</v>
      </c>
      <c r="I17">
        <v>43885.68</v>
      </c>
      <c r="J17">
        <v>48496.85</v>
      </c>
      <c r="K17">
        <v>52578.44</v>
      </c>
    </row>
    <row r="18" spans="1:11" s="6" customFormat="1" x14ac:dyDescent="0.3">
      <c r="A18" s="4" t="s">
        <v>69</v>
      </c>
      <c r="B18">
        <v>6724.15</v>
      </c>
      <c r="C18">
        <v>8402.3700000000008</v>
      </c>
      <c r="D18">
        <v>7193.98</v>
      </c>
      <c r="E18">
        <v>8302.08</v>
      </c>
      <c r="F18">
        <v>8929.6</v>
      </c>
      <c r="G18">
        <v>9328.2999999999993</v>
      </c>
      <c r="H18">
        <v>10459.15</v>
      </c>
      <c r="I18">
        <v>11349.07</v>
      </c>
      <c r="J18">
        <v>10370.48</v>
      </c>
      <c r="K18">
        <v>10597.05</v>
      </c>
    </row>
    <row r="19" spans="1:11" s="6" customFormat="1" x14ac:dyDescent="0.3">
      <c r="A19" s="4" t="s">
        <v>70</v>
      </c>
      <c r="B19">
        <v>393.77</v>
      </c>
      <c r="C19">
        <v>271.63</v>
      </c>
      <c r="D19">
        <v>-230.7</v>
      </c>
      <c r="E19">
        <v>433.11</v>
      </c>
      <c r="F19">
        <v>-300.85000000000002</v>
      </c>
      <c r="G19">
        <v>638.22</v>
      </c>
      <c r="H19">
        <v>107.61</v>
      </c>
      <c r="I19">
        <v>686.91</v>
      </c>
      <c r="J19">
        <v>-292.13</v>
      </c>
      <c r="K19">
        <v>-150.31</v>
      </c>
    </row>
    <row r="20" spans="1:11" s="6" customFormat="1" x14ac:dyDescent="0.3">
      <c r="A20" s="4" t="s">
        <v>71</v>
      </c>
      <c r="B20">
        <v>545.44000000000005</v>
      </c>
      <c r="C20">
        <v>525.09</v>
      </c>
      <c r="D20">
        <v>559.97</v>
      </c>
      <c r="E20">
        <v>613.6</v>
      </c>
      <c r="F20">
        <v>621.89</v>
      </c>
      <c r="G20">
        <v>627.09</v>
      </c>
      <c r="H20">
        <v>702.78</v>
      </c>
      <c r="I20">
        <v>830.05</v>
      </c>
      <c r="J20">
        <v>760.78</v>
      </c>
      <c r="K20"/>
    </row>
    <row r="21" spans="1:11" s="6" customFormat="1" x14ac:dyDescent="0.3">
      <c r="A21" s="4" t="s">
        <v>72</v>
      </c>
      <c r="B21">
        <v>1808.55</v>
      </c>
      <c r="C21">
        <v>1973.46</v>
      </c>
      <c r="D21">
        <v>1828.35</v>
      </c>
      <c r="E21">
        <v>1884.71</v>
      </c>
      <c r="F21">
        <v>1690</v>
      </c>
      <c r="G21">
        <v>1723.78</v>
      </c>
      <c r="H21">
        <v>1880.71</v>
      </c>
      <c r="I21">
        <v>1936.77</v>
      </c>
      <c r="J21">
        <v>2186.62</v>
      </c>
      <c r="K21"/>
    </row>
    <row r="22" spans="1:11" s="6" customFormat="1" x14ac:dyDescent="0.3">
      <c r="A22" s="4" t="s">
        <v>73</v>
      </c>
      <c r="B22">
        <v>4772.3100000000004</v>
      </c>
      <c r="C22">
        <v>4902.3</v>
      </c>
      <c r="D22">
        <v>5367.05</v>
      </c>
      <c r="E22">
        <v>5967.09</v>
      </c>
      <c r="F22">
        <v>6362.35</v>
      </c>
      <c r="G22">
        <v>6862.23</v>
      </c>
      <c r="H22">
        <v>7300.83</v>
      </c>
      <c r="I22">
        <v>8296.0300000000007</v>
      </c>
      <c r="J22">
        <v>9429.06</v>
      </c>
      <c r="K22">
        <v>9973.1200000000008</v>
      </c>
    </row>
    <row r="23" spans="1:11" s="6" customFormat="1" x14ac:dyDescent="0.3">
      <c r="A23" s="4" t="s">
        <v>74</v>
      </c>
      <c r="B23">
        <v>5219.2</v>
      </c>
      <c r="C23">
        <v>5224.6099999999997</v>
      </c>
      <c r="D23">
        <v>4727</v>
      </c>
      <c r="E23">
        <v>5350.33</v>
      </c>
      <c r="F23">
        <v>6995.37</v>
      </c>
      <c r="G23">
        <v>6283.41</v>
      </c>
      <c r="H23">
        <v>7366.88</v>
      </c>
      <c r="I23">
        <v>9482.36</v>
      </c>
      <c r="J23">
        <v>11033.19</v>
      </c>
      <c r="K23"/>
    </row>
    <row r="24" spans="1:11" s="6" customFormat="1" x14ac:dyDescent="0.3">
      <c r="A24" s="4" t="s">
        <v>75</v>
      </c>
      <c r="B24">
        <v>1637.25</v>
      </c>
      <c r="C24">
        <v>720.22</v>
      </c>
      <c r="D24">
        <v>950.99</v>
      </c>
      <c r="E24">
        <v>1004.23</v>
      </c>
      <c r="F24">
        <v>954.6</v>
      </c>
      <c r="G24">
        <v>841.59</v>
      </c>
      <c r="H24">
        <v>794.18</v>
      </c>
      <c r="I24">
        <v>1027.8699999999999</v>
      </c>
      <c r="J24">
        <v>1406.82</v>
      </c>
      <c r="K24">
        <v>16586.27</v>
      </c>
    </row>
    <row r="25" spans="1:11" s="6" customFormat="1" x14ac:dyDescent="0.3">
      <c r="A25" s="6" t="s">
        <v>8</v>
      </c>
      <c r="B25">
        <v>-42.5</v>
      </c>
      <c r="C25">
        <v>610.4</v>
      </c>
      <c r="D25">
        <v>-135.03</v>
      </c>
      <c r="E25">
        <v>-258.27999999999997</v>
      </c>
      <c r="F25">
        <v>382.26</v>
      </c>
      <c r="G25">
        <v>-3449.21</v>
      </c>
      <c r="H25">
        <v>-3505.16</v>
      </c>
      <c r="I25">
        <v>459.42</v>
      </c>
      <c r="J25">
        <v>865.23</v>
      </c>
      <c r="K25">
        <v>1287.19</v>
      </c>
    </row>
    <row r="26" spans="1:11" s="6" customFormat="1" x14ac:dyDescent="0.3">
      <c r="A26" s="6" t="s">
        <v>9</v>
      </c>
      <c r="B26">
        <v>1037.53</v>
      </c>
      <c r="C26">
        <v>1264.75</v>
      </c>
      <c r="D26">
        <v>1499.84</v>
      </c>
      <c r="E26">
        <v>1753.25</v>
      </c>
      <c r="F26">
        <v>2052.7800000000002</v>
      </c>
      <c r="G26">
        <v>2079.9499999999998</v>
      </c>
      <c r="H26">
        <v>2143.7399999999998</v>
      </c>
      <c r="I26">
        <v>2529.4299999999998</v>
      </c>
      <c r="J26">
        <v>2556.64</v>
      </c>
      <c r="K26">
        <v>2575.39</v>
      </c>
    </row>
    <row r="27" spans="1:11" s="6" customFormat="1" x14ac:dyDescent="0.3">
      <c r="A27" s="6" t="s">
        <v>10</v>
      </c>
      <c r="B27">
        <v>523.24</v>
      </c>
      <c r="C27">
        <v>399.8</v>
      </c>
      <c r="D27">
        <v>517.57000000000005</v>
      </c>
      <c r="E27">
        <v>555.25</v>
      </c>
      <c r="F27">
        <v>302.73</v>
      </c>
      <c r="G27">
        <v>141.43</v>
      </c>
      <c r="H27">
        <v>127.35</v>
      </c>
      <c r="I27">
        <v>172</v>
      </c>
      <c r="J27">
        <v>238.47</v>
      </c>
      <c r="K27">
        <v>231.36</v>
      </c>
    </row>
    <row r="28" spans="1:11" s="6" customFormat="1" x14ac:dyDescent="0.3">
      <c r="A28" s="6" t="s">
        <v>11</v>
      </c>
      <c r="B28">
        <v>6570.63</v>
      </c>
      <c r="C28">
        <v>9047.8700000000008</v>
      </c>
      <c r="D28">
        <v>3478.98</v>
      </c>
      <c r="E28">
        <v>3810.2</v>
      </c>
      <c r="F28">
        <v>5009.59</v>
      </c>
      <c r="G28">
        <v>2799.37</v>
      </c>
      <c r="H28">
        <v>4481.32</v>
      </c>
      <c r="I28">
        <v>9408.43</v>
      </c>
      <c r="J28">
        <v>11087.89</v>
      </c>
      <c r="K28">
        <v>13752.13</v>
      </c>
    </row>
    <row r="29" spans="1:11" s="6" customFormat="1" x14ac:dyDescent="0.3">
      <c r="A29" s="6" t="s">
        <v>12</v>
      </c>
      <c r="B29">
        <v>913.77</v>
      </c>
      <c r="C29">
        <v>1211.57</v>
      </c>
      <c r="D29">
        <v>911.04</v>
      </c>
      <c r="E29">
        <v>600.88</v>
      </c>
      <c r="F29">
        <v>822.8</v>
      </c>
      <c r="G29">
        <v>514.69000000000005</v>
      </c>
      <c r="H29">
        <v>1075.5</v>
      </c>
      <c r="I29">
        <v>847.59</v>
      </c>
      <c r="J29">
        <v>1439.45</v>
      </c>
      <c r="K29">
        <v>2772.03</v>
      </c>
    </row>
    <row r="30" spans="1:11" s="6" customFormat="1" x14ac:dyDescent="0.3">
      <c r="A30" s="6" t="s">
        <v>13</v>
      </c>
      <c r="B30">
        <v>4545.71</v>
      </c>
      <c r="C30">
        <v>6964.37</v>
      </c>
      <c r="D30">
        <v>2095.6999999999998</v>
      </c>
      <c r="E30">
        <v>2665.42</v>
      </c>
      <c r="F30">
        <v>3764.93</v>
      </c>
      <c r="G30">
        <v>2903.82</v>
      </c>
      <c r="H30">
        <v>3272.73</v>
      </c>
      <c r="I30">
        <v>8473.58</v>
      </c>
      <c r="J30">
        <v>9576.3799999999992</v>
      </c>
      <c r="K30">
        <v>10929.04</v>
      </c>
    </row>
    <row r="31" spans="1:11" s="6" customFormat="1" x14ac:dyDescent="0.3">
      <c r="A31" s="6" t="s">
        <v>59</v>
      </c>
      <c r="B31">
        <v>240.66</v>
      </c>
      <c r="C31">
        <v>839.76</v>
      </c>
      <c r="D31">
        <v>479.86</v>
      </c>
      <c r="E31">
        <v>659.81</v>
      </c>
      <c r="F31">
        <v>959.72</v>
      </c>
      <c r="G31">
        <v>1799.48</v>
      </c>
      <c r="H31">
        <v>2399.3000000000002</v>
      </c>
      <c r="I31">
        <v>2759.2</v>
      </c>
      <c r="J31">
        <v>3239.06</v>
      </c>
      <c r="K31">
        <v>3838.88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5</v>
      </c>
      <c r="B42">
        <v>11240.97</v>
      </c>
      <c r="C42">
        <v>10930.67</v>
      </c>
      <c r="D42">
        <v>11940.84</v>
      </c>
      <c r="E42">
        <v>12192.41</v>
      </c>
      <c r="F42">
        <v>12380.7</v>
      </c>
      <c r="G42">
        <v>11982.9</v>
      </c>
      <c r="H42">
        <v>12652.75</v>
      </c>
      <c r="I42">
        <v>13291.39</v>
      </c>
      <c r="J42">
        <v>13675.46</v>
      </c>
      <c r="K42">
        <v>12958.84</v>
      </c>
    </row>
    <row r="43" spans="1:11" s="6" customFormat="1" x14ac:dyDescent="0.3">
      <c r="A43" s="6" t="s">
        <v>6</v>
      </c>
      <c r="B43">
        <v>8237.25</v>
      </c>
      <c r="C43">
        <v>8128.54</v>
      </c>
      <c r="D43">
        <v>8609.07</v>
      </c>
      <c r="E43">
        <v>9013.0300000000007</v>
      </c>
      <c r="F43">
        <v>8903.8700000000008</v>
      </c>
      <c r="G43">
        <v>8947.75</v>
      </c>
      <c r="H43">
        <v>9045.1299999999992</v>
      </c>
      <c r="I43">
        <v>9352.43</v>
      </c>
      <c r="J43">
        <v>9666.44</v>
      </c>
      <c r="K43">
        <v>9242.75</v>
      </c>
    </row>
    <row r="44" spans="1:11" s="6" customFormat="1" x14ac:dyDescent="0.3">
      <c r="A44" s="6" t="s">
        <v>8</v>
      </c>
      <c r="B44">
        <v>173.88</v>
      </c>
      <c r="C44">
        <v>201.83</v>
      </c>
      <c r="D44">
        <v>-118.43</v>
      </c>
      <c r="E44">
        <v>293.61</v>
      </c>
      <c r="F44">
        <v>180.39</v>
      </c>
      <c r="G44">
        <v>504.3</v>
      </c>
      <c r="H44">
        <v>532.54999999999995</v>
      </c>
      <c r="I44">
        <v>354</v>
      </c>
      <c r="J44">
        <v>149.44999999999999</v>
      </c>
      <c r="K44">
        <v>251.19</v>
      </c>
    </row>
    <row r="45" spans="1:11" s="6" customFormat="1" x14ac:dyDescent="0.3">
      <c r="A45" s="6" t="s">
        <v>9</v>
      </c>
      <c r="B45">
        <v>659.95</v>
      </c>
      <c r="C45">
        <v>671.53</v>
      </c>
      <c r="D45">
        <v>651.32000000000005</v>
      </c>
      <c r="E45">
        <v>632.82000000000005</v>
      </c>
      <c r="F45">
        <v>622.14</v>
      </c>
      <c r="G45">
        <v>650.36</v>
      </c>
      <c r="H45">
        <v>655.13</v>
      </c>
      <c r="I45">
        <v>625.91</v>
      </c>
      <c r="J45">
        <v>630.55999999999995</v>
      </c>
      <c r="K45">
        <v>663.79</v>
      </c>
    </row>
    <row r="46" spans="1:11" s="6" customFormat="1" x14ac:dyDescent="0.3">
      <c r="A46" s="6" t="s">
        <v>10</v>
      </c>
      <c r="B46">
        <v>46.18</v>
      </c>
      <c r="C46">
        <v>92.74</v>
      </c>
      <c r="D46">
        <v>80.88</v>
      </c>
      <c r="E46">
        <v>49.29</v>
      </c>
      <c r="F46">
        <v>34.729999999999997</v>
      </c>
      <c r="G46">
        <v>73.569999999999993</v>
      </c>
      <c r="H46">
        <v>61.54</v>
      </c>
      <c r="I46">
        <v>69.17</v>
      </c>
      <c r="J46">
        <v>51.51</v>
      </c>
      <c r="K46">
        <v>49.14</v>
      </c>
    </row>
    <row r="47" spans="1:11" s="6" customFormat="1" x14ac:dyDescent="0.3">
      <c r="A47" s="6" t="s">
        <v>11</v>
      </c>
      <c r="B47">
        <v>2471.4699999999998</v>
      </c>
      <c r="C47">
        <v>2239.69</v>
      </c>
      <c r="D47">
        <v>2481.14</v>
      </c>
      <c r="E47">
        <v>2790.88</v>
      </c>
      <c r="F47">
        <v>3000.35</v>
      </c>
      <c r="G47">
        <v>2815.52</v>
      </c>
      <c r="H47">
        <v>3423.5</v>
      </c>
      <c r="I47">
        <v>3597.88</v>
      </c>
      <c r="J47">
        <v>3476.4</v>
      </c>
      <c r="K47">
        <v>3254.35</v>
      </c>
    </row>
    <row r="48" spans="1:11" s="6" customFormat="1" x14ac:dyDescent="0.3">
      <c r="A48" s="6" t="s">
        <v>12</v>
      </c>
      <c r="B48">
        <v>283.43</v>
      </c>
      <c r="C48">
        <v>222.91</v>
      </c>
      <c r="D48">
        <v>468.1</v>
      </c>
      <c r="E48">
        <v>390.1</v>
      </c>
      <c r="F48">
        <v>432.32</v>
      </c>
      <c r="G48">
        <v>148.93</v>
      </c>
      <c r="H48">
        <v>552.25</v>
      </c>
      <c r="I48">
        <v>567.21</v>
      </c>
      <c r="J48">
        <v>558.86</v>
      </c>
      <c r="K48">
        <v>1093.71</v>
      </c>
    </row>
    <row r="49" spans="1:11" s="6" customFormat="1" x14ac:dyDescent="0.3">
      <c r="A49" s="6" t="s">
        <v>13</v>
      </c>
      <c r="B49">
        <v>2166.0100000000002</v>
      </c>
      <c r="C49">
        <v>1984.47</v>
      </c>
      <c r="D49">
        <v>2022.54</v>
      </c>
      <c r="E49">
        <v>2375.5100000000002</v>
      </c>
      <c r="F49">
        <v>2523.75</v>
      </c>
      <c r="G49">
        <v>2654.58</v>
      </c>
      <c r="H49">
        <v>2835.62</v>
      </c>
      <c r="I49">
        <v>3040.16</v>
      </c>
      <c r="J49">
        <v>2903.38</v>
      </c>
      <c r="K49">
        <v>2149.88</v>
      </c>
    </row>
    <row r="50" spans="1:11" x14ac:dyDescent="0.3">
      <c r="A50" s="6" t="s">
        <v>7</v>
      </c>
      <c r="B50">
        <v>3003.72</v>
      </c>
      <c r="C50">
        <v>2802.13</v>
      </c>
      <c r="D50">
        <v>3331.77</v>
      </c>
      <c r="E50">
        <v>3179.38</v>
      </c>
      <c r="F50">
        <v>3476.83</v>
      </c>
      <c r="G50">
        <v>3035.15</v>
      </c>
      <c r="H50">
        <v>3607.62</v>
      </c>
      <c r="I50">
        <v>3938.96</v>
      </c>
      <c r="J50">
        <v>4009.02</v>
      </c>
      <c r="K50">
        <v>3716.09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23</v>
      </c>
      <c r="B57">
        <v>240.66</v>
      </c>
      <c r="C57">
        <v>239.93</v>
      </c>
      <c r="D57">
        <v>239.93</v>
      </c>
      <c r="E57">
        <v>239.93</v>
      </c>
      <c r="F57">
        <v>239.93</v>
      </c>
      <c r="G57">
        <v>239.93</v>
      </c>
      <c r="H57">
        <v>239.93</v>
      </c>
      <c r="I57">
        <v>239.93</v>
      </c>
      <c r="J57">
        <v>239.93</v>
      </c>
      <c r="K57">
        <v>239.93</v>
      </c>
    </row>
    <row r="58" spans="1:11" x14ac:dyDescent="0.3">
      <c r="A58" s="6" t="s">
        <v>24</v>
      </c>
      <c r="B58">
        <v>32741.82</v>
      </c>
      <c r="C58">
        <v>36399.74</v>
      </c>
      <c r="D58">
        <v>38074.18</v>
      </c>
      <c r="E58">
        <v>41169.129999999997</v>
      </c>
      <c r="F58">
        <v>45024.52</v>
      </c>
      <c r="G58">
        <v>46222.85</v>
      </c>
      <c r="H58">
        <v>47771.29</v>
      </c>
      <c r="I58">
        <v>55755.45</v>
      </c>
      <c r="J58">
        <v>63426.82</v>
      </c>
      <c r="K58">
        <v>71978.09</v>
      </c>
    </row>
    <row r="59" spans="1:11" x14ac:dyDescent="0.3">
      <c r="A59" s="6" t="s">
        <v>60</v>
      </c>
      <c r="B59">
        <v>8496.76</v>
      </c>
      <c r="C59">
        <v>9831.77</v>
      </c>
      <c r="D59">
        <v>10385.27</v>
      </c>
      <c r="E59">
        <v>10514.36</v>
      </c>
      <c r="F59">
        <v>8314.8799999999992</v>
      </c>
      <c r="G59">
        <v>3868.58</v>
      </c>
      <c r="H59">
        <v>1290.3</v>
      </c>
      <c r="I59">
        <v>6885.87</v>
      </c>
      <c r="J59">
        <v>3273.67</v>
      </c>
      <c r="K59">
        <v>2362.19</v>
      </c>
    </row>
    <row r="60" spans="1:11" x14ac:dyDescent="0.3">
      <c r="A60" s="6" t="s">
        <v>61</v>
      </c>
      <c r="B60">
        <v>13948.26</v>
      </c>
      <c r="C60">
        <v>14624.01</v>
      </c>
      <c r="D60">
        <v>15598.01</v>
      </c>
      <c r="E60">
        <v>12666.11</v>
      </c>
      <c r="F60">
        <v>14614.99</v>
      </c>
      <c r="G60">
        <v>17290.86</v>
      </c>
      <c r="H60">
        <v>20474.39</v>
      </c>
      <c r="I60">
        <v>17830.650000000001</v>
      </c>
      <c r="J60">
        <v>18367.400000000001</v>
      </c>
      <c r="K60">
        <v>17520.37</v>
      </c>
    </row>
    <row r="61" spans="1:11" s="1" customFormat="1" x14ac:dyDescent="0.3">
      <c r="A61" s="1" t="s">
        <v>25</v>
      </c>
      <c r="B61">
        <v>55427.5</v>
      </c>
      <c r="C61">
        <v>61095.45</v>
      </c>
      <c r="D61">
        <v>64297.39</v>
      </c>
      <c r="E61">
        <v>64589.53</v>
      </c>
      <c r="F61">
        <v>68194.320000000007</v>
      </c>
      <c r="G61">
        <v>67622.22</v>
      </c>
      <c r="H61">
        <v>69775.91</v>
      </c>
      <c r="I61">
        <v>80711.899999999994</v>
      </c>
      <c r="J61">
        <v>85307.82</v>
      </c>
      <c r="K61">
        <v>92100.58</v>
      </c>
    </row>
    <row r="62" spans="1:11" x14ac:dyDescent="0.3">
      <c r="A62" s="6" t="s">
        <v>26</v>
      </c>
      <c r="B62">
        <v>15872.25</v>
      </c>
      <c r="C62">
        <v>17675.169999999998</v>
      </c>
      <c r="D62">
        <v>18852.650000000001</v>
      </c>
      <c r="E62">
        <v>21836.54</v>
      </c>
      <c r="F62">
        <v>22846.91</v>
      </c>
      <c r="G62">
        <v>21552.98</v>
      </c>
      <c r="H62">
        <v>22665.16</v>
      </c>
      <c r="I62">
        <v>24065.439999999999</v>
      </c>
      <c r="J62">
        <v>23211.38</v>
      </c>
      <c r="K62">
        <v>27995.9</v>
      </c>
    </row>
    <row r="63" spans="1:11" x14ac:dyDescent="0.3">
      <c r="A63" s="6" t="s">
        <v>27</v>
      </c>
      <c r="B63">
        <v>2175.4499999999998</v>
      </c>
      <c r="C63">
        <v>2801.38</v>
      </c>
      <c r="D63">
        <v>2465.16</v>
      </c>
      <c r="E63">
        <v>1411.15</v>
      </c>
      <c r="F63">
        <v>1220.3399999999999</v>
      </c>
      <c r="G63">
        <v>1566.83</v>
      </c>
      <c r="H63">
        <v>1286.8</v>
      </c>
      <c r="I63">
        <v>4973.16</v>
      </c>
      <c r="J63">
        <v>5353.88</v>
      </c>
      <c r="K63">
        <v>1234.3399999999999</v>
      </c>
    </row>
    <row r="64" spans="1:11" x14ac:dyDescent="0.3">
      <c r="A64" s="6" t="s">
        <v>28</v>
      </c>
      <c r="B64">
        <v>1829.88</v>
      </c>
      <c r="C64">
        <v>1191.8800000000001</v>
      </c>
      <c r="D64">
        <v>7142.87</v>
      </c>
      <c r="E64">
        <v>7902.53</v>
      </c>
      <c r="F64">
        <v>10143.11</v>
      </c>
      <c r="G64">
        <v>9612.4500000000007</v>
      </c>
      <c r="H64">
        <v>12848.59</v>
      </c>
      <c r="I64">
        <v>14824.34</v>
      </c>
      <c r="J64">
        <v>15025.77</v>
      </c>
      <c r="K64">
        <v>18353.8</v>
      </c>
    </row>
    <row r="65" spans="1:11" x14ac:dyDescent="0.3">
      <c r="A65" s="6" t="s">
        <v>62</v>
      </c>
      <c r="B65">
        <v>35549.919999999998</v>
      </c>
      <c r="C65">
        <v>39427.019999999997</v>
      </c>
      <c r="D65">
        <v>35836.71</v>
      </c>
      <c r="E65">
        <v>33439.31</v>
      </c>
      <c r="F65">
        <v>33983.96</v>
      </c>
      <c r="G65">
        <v>34889.96</v>
      </c>
      <c r="H65">
        <v>32975.360000000001</v>
      </c>
      <c r="I65">
        <v>36848.959999999999</v>
      </c>
      <c r="J65">
        <v>41716.79</v>
      </c>
      <c r="K65">
        <v>44516.54</v>
      </c>
    </row>
    <row r="66" spans="1:11" s="1" customFormat="1" x14ac:dyDescent="0.3">
      <c r="A66" s="1" t="s">
        <v>25</v>
      </c>
      <c r="B66">
        <v>55427.5</v>
      </c>
      <c r="C66">
        <v>61095.45</v>
      </c>
      <c r="D66">
        <v>64297.39</v>
      </c>
      <c r="E66">
        <v>64589.53</v>
      </c>
      <c r="F66">
        <v>68194.320000000007</v>
      </c>
      <c r="G66">
        <v>67622.22</v>
      </c>
      <c r="H66">
        <v>69775.91</v>
      </c>
      <c r="I66">
        <v>80711.899999999994</v>
      </c>
      <c r="J66">
        <v>85307.82</v>
      </c>
      <c r="K66">
        <v>92100.58</v>
      </c>
    </row>
    <row r="67" spans="1:11" s="6" customFormat="1" x14ac:dyDescent="0.3">
      <c r="A67" s="6" t="s">
        <v>67</v>
      </c>
      <c r="B67">
        <v>6775.66</v>
      </c>
      <c r="C67">
        <v>7202.61</v>
      </c>
      <c r="D67">
        <v>7815.28</v>
      </c>
      <c r="E67">
        <v>8884.2000000000007</v>
      </c>
      <c r="F67">
        <v>9421.24</v>
      </c>
      <c r="G67">
        <v>9061.4</v>
      </c>
      <c r="H67">
        <v>10484.59</v>
      </c>
      <c r="I67">
        <v>11438.51</v>
      </c>
      <c r="J67">
        <v>11249.37</v>
      </c>
      <c r="K67">
        <v>13046.11</v>
      </c>
    </row>
    <row r="68" spans="1:11" x14ac:dyDescent="0.3">
      <c r="A68" s="6" t="s">
        <v>43</v>
      </c>
      <c r="B68">
        <v>6422.54</v>
      </c>
      <c r="C68">
        <v>6832.81</v>
      </c>
      <c r="D68">
        <v>6880.69</v>
      </c>
      <c r="E68">
        <v>7885.98</v>
      </c>
      <c r="F68">
        <v>7874.99</v>
      </c>
      <c r="G68">
        <v>8997.02</v>
      </c>
      <c r="H68">
        <v>8925.1299999999992</v>
      </c>
      <c r="I68">
        <v>10513.05</v>
      </c>
      <c r="J68">
        <v>9868.2900000000009</v>
      </c>
      <c r="K68">
        <v>10243.33</v>
      </c>
    </row>
    <row r="69" spans="1:11" x14ac:dyDescent="0.3">
      <c r="A69" s="4" t="s">
        <v>76</v>
      </c>
      <c r="B69">
        <v>13181.65</v>
      </c>
      <c r="C69">
        <v>15140.84</v>
      </c>
      <c r="D69">
        <v>9929.3799999999992</v>
      </c>
      <c r="E69">
        <v>7275.6</v>
      </c>
      <c r="F69">
        <v>6487.55</v>
      </c>
      <c r="G69">
        <v>6445.51</v>
      </c>
      <c r="H69">
        <v>5033.3500000000004</v>
      </c>
      <c r="I69">
        <v>5770.29</v>
      </c>
      <c r="J69">
        <v>10520.68</v>
      </c>
      <c r="K69">
        <v>11331.62</v>
      </c>
    </row>
    <row r="70" spans="1:11" x14ac:dyDescent="0.3">
      <c r="A70" s="4" t="s">
        <v>63</v>
      </c>
      <c r="B70">
        <v>2406605118</v>
      </c>
      <c r="C70">
        <v>2399260815</v>
      </c>
      <c r="D70">
        <v>2399260815</v>
      </c>
      <c r="E70">
        <v>2399334970</v>
      </c>
      <c r="F70">
        <v>2399334970</v>
      </c>
      <c r="G70">
        <v>2399334970</v>
      </c>
      <c r="H70">
        <v>2399334970</v>
      </c>
      <c r="I70">
        <v>2399334970</v>
      </c>
      <c r="J70">
        <v>2399334970</v>
      </c>
      <c r="K70"/>
    </row>
    <row r="71" spans="1:11" x14ac:dyDescent="0.3">
      <c r="A71" s="4" t="s">
        <v>64</v>
      </c>
    </row>
    <row r="72" spans="1:11" x14ac:dyDescent="0.3">
      <c r="A72" s="4" t="s">
        <v>77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31</v>
      </c>
      <c r="B82">
        <v>6685.86</v>
      </c>
      <c r="C82">
        <v>7082.21</v>
      </c>
      <c r="D82">
        <v>3907.15</v>
      </c>
      <c r="E82">
        <v>2196.4499999999998</v>
      </c>
      <c r="F82">
        <v>6554.77</v>
      </c>
      <c r="G82">
        <v>6170.37</v>
      </c>
      <c r="H82">
        <v>8984.5400000000009</v>
      </c>
      <c r="I82">
        <v>4959.33</v>
      </c>
      <c r="J82">
        <v>12134.98</v>
      </c>
      <c r="K82">
        <v>14072.09</v>
      </c>
    </row>
    <row r="83" spans="1:11" s="6" customFormat="1" x14ac:dyDescent="0.3">
      <c r="A83" s="6" t="s">
        <v>32</v>
      </c>
      <c r="B83">
        <v>-3949.13</v>
      </c>
      <c r="C83">
        <v>-4186.1499999999996</v>
      </c>
      <c r="D83">
        <v>-3103.8</v>
      </c>
      <c r="E83">
        <v>-310.08</v>
      </c>
      <c r="F83">
        <v>-2225.3200000000002</v>
      </c>
      <c r="G83">
        <v>406.53</v>
      </c>
      <c r="H83">
        <v>-5555.86</v>
      </c>
      <c r="I83">
        <v>-7219.92</v>
      </c>
      <c r="J83">
        <v>-762.9</v>
      </c>
      <c r="K83">
        <v>-5306.16</v>
      </c>
    </row>
    <row r="84" spans="1:11" s="6" customFormat="1" x14ac:dyDescent="0.3">
      <c r="A84" s="6" t="s">
        <v>33</v>
      </c>
      <c r="B84">
        <v>-1888.53</v>
      </c>
      <c r="C84">
        <v>-2285.39</v>
      </c>
      <c r="D84">
        <v>-1539.26</v>
      </c>
      <c r="E84">
        <v>-2730.52</v>
      </c>
      <c r="F84">
        <v>-5715.14</v>
      </c>
      <c r="G84">
        <v>-5980.48</v>
      </c>
      <c r="H84">
        <v>-5193.46</v>
      </c>
      <c r="I84">
        <v>2376.0700000000002</v>
      </c>
      <c r="J84">
        <v>-6710.16</v>
      </c>
      <c r="K84">
        <v>-7905.82</v>
      </c>
    </row>
    <row r="85" spans="1:11" s="1" customFormat="1" x14ac:dyDescent="0.3">
      <c r="A85" s="6" t="s">
        <v>34</v>
      </c>
      <c r="B85">
        <v>848.2</v>
      </c>
      <c r="C85">
        <v>610.66999999999996</v>
      </c>
      <c r="D85">
        <v>-735.91</v>
      </c>
      <c r="E85">
        <v>-844.15</v>
      </c>
      <c r="F85">
        <v>-1385.69</v>
      </c>
      <c r="G85">
        <v>596.41999999999996</v>
      </c>
      <c r="H85">
        <v>-1764.78</v>
      </c>
      <c r="I85">
        <v>115.48</v>
      </c>
      <c r="J85">
        <v>4661.92</v>
      </c>
      <c r="K85">
        <v>860.11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>
        <v>820</v>
      </c>
      <c r="C90">
        <v>688.15</v>
      </c>
      <c r="D90">
        <v>495.1</v>
      </c>
      <c r="E90">
        <v>478.85</v>
      </c>
      <c r="F90">
        <v>352.3</v>
      </c>
      <c r="G90">
        <v>597.79999999999995</v>
      </c>
      <c r="H90">
        <v>914.75</v>
      </c>
      <c r="I90">
        <v>983.1</v>
      </c>
      <c r="J90">
        <v>1620.55</v>
      </c>
      <c r="K90">
        <v>1734.7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20">
        <v>240.67</v>
      </c>
      <c r="C93" s="20">
        <v>239.93</v>
      </c>
      <c r="D93" s="20">
        <v>239.93</v>
      </c>
      <c r="E93" s="20">
        <v>239.93</v>
      </c>
      <c r="F93" s="20">
        <v>239.93</v>
      </c>
      <c r="G93" s="20">
        <v>239.93</v>
      </c>
      <c r="H93" s="20">
        <v>239.93</v>
      </c>
      <c r="I93" s="20">
        <v>239.93</v>
      </c>
      <c r="J93" s="20">
        <v>239.93</v>
      </c>
      <c r="K93" s="20">
        <v>239.93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workbookViewId="0">
      <pane ySplit="3" topLeftCell="A4" activePane="bottomLeft" state="frozen"/>
      <selection pane="bottomLeft" activeCell="B70" sqref="B70:N70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73" t="str">
        <f>"Historical Financial Statement - "&amp;'Data Sheet'!B1</f>
        <v>Historical Financial Statement - SUN PHARMACEUTICAL INDUSTRIES LTD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4" x14ac:dyDescent="0.3">
      <c r="B3" s="21" t="s">
        <v>80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81</v>
      </c>
    </row>
    <row r="4" spans="1:14" x14ac:dyDescent="0.3">
      <c r="A4" t="s">
        <v>83</v>
      </c>
      <c r="B4" s="60" t="s">
        <v>82</v>
      </c>
      <c r="C4" s="60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14" ht="15" customHeight="1" x14ac:dyDescent="0.3">
      <c r="B5" t="s">
        <v>5</v>
      </c>
      <c r="D5" s="24">
        <f>IFERROR('Data Sheet'!B17,0)</f>
        <v>28487.03</v>
      </c>
      <c r="E5" s="24">
        <f>IFERROR('Data Sheet'!C17,0)</f>
        <v>31578.44</v>
      </c>
      <c r="F5" s="24">
        <f>IFERROR('Data Sheet'!D17,0)</f>
        <v>26489.46</v>
      </c>
      <c r="G5" s="24">
        <f>IFERROR('Data Sheet'!E17,0)</f>
        <v>29065.91</v>
      </c>
      <c r="H5" s="24">
        <f>IFERROR('Data Sheet'!F17,0)</f>
        <v>32837.5</v>
      </c>
      <c r="I5" s="24">
        <f>IFERROR('Data Sheet'!G17,0)</f>
        <v>33498.14</v>
      </c>
      <c r="J5" s="24">
        <f>IFERROR('Data Sheet'!H17,0)</f>
        <v>38654.49</v>
      </c>
      <c r="K5" s="24">
        <f>IFERROR('Data Sheet'!I17,0)</f>
        <v>43885.68</v>
      </c>
      <c r="L5" s="24">
        <f>IFERROR('Data Sheet'!J17,0)</f>
        <v>48496.85</v>
      </c>
      <c r="M5" s="24">
        <f>IFERROR('Data Sheet'!K17,0)</f>
        <v>52578.44</v>
      </c>
      <c r="N5" s="24">
        <f>IFERROR(SUM('Data Sheet'!H42:K42),0)</f>
        <v>52578.44</v>
      </c>
    </row>
    <row r="6" spans="1:14" x14ac:dyDescent="0.3">
      <c r="B6" s="25" t="s">
        <v>21</v>
      </c>
      <c r="C6" s="25"/>
      <c r="D6" s="25" t="s">
        <v>84</v>
      </c>
      <c r="E6" s="26">
        <f>E5/D5 - 1</f>
        <v>0.10851991239521985</v>
      </c>
      <c r="F6" s="26">
        <f t="shared" ref="F6:N6" si="0">F5/E5 - 1</f>
        <v>-0.16115362253486876</v>
      </c>
      <c r="G6" s="26">
        <f t="shared" si="0"/>
        <v>9.7263213368637969E-2</v>
      </c>
      <c r="H6" s="26">
        <f t="shared" si="0"/>
        <v>0.12975991462163061</v>
      </c>
      <c r="I6" s="26">
        <f t="shared" si="0"/>
        <v>2.0118462124095959E-2</v>
      </c>
      <c r="J6" s="26">
        <f t="shared" si="0"/>
        <v>0.15392944205260339</v>
      </c>
      <c r="K6" s="26">
        <f t="shared" si="0"/>
        <v>0.1353320144697292</v>
      </c>
      <c r="L6" s="26">
        <f t="shared" si="0"/>
        <v>0.10507231516066295</v>
      </c>
      <c r="M6" s="26">
        <f t="shared" si="0"/>
        <v>8.4161961034582733E-2</v>
      </c>
      <c r="N6" s="26">
        <f t="shared" si="0"/>
        <v>0</v>
      </c>
    </row>
    <row r="8" spans="1:14" x14ac:dyDescent="0.3">
      <c r="B8" t="s">
        <v>85</v>
      </c>
      <c r="D8" s="24">
        <f>IFERROR(SUM('Data Sheet'!B18,'Data Sheet'!B20:B22)-1*'Data Sheet'!B19,0)</f>
        <v>13456.68</v>
      </c>
      <c r="E8" s="24">
        <f>IFERROR(SUM('Data Sheet'!C18,'Data Sheet'!C20:C22)-1*'Data Sheet'!C19,0)</f>
        <v>15531.590000000002</v>
      </c>
      <c r="F8" s="24">
        <f>IFERROR(SUM('Data Sheet'!D18,'Data Sheet'!D20:D22)-1*'Data Sheet'!D19,0)</f>
        <v>15180.05</v>
      </c>
      <c r="G8" s="24">
        <f>IFERROR(SUM('Data Sheet'!E18,'Data Sheet'!E20:E22)-1*'Data Sheet'!E19,0)</f>
        <v>16334.369999999999</v>
      </c>
      <c r="H8" s="24">
        <f>IFERROR(SUM('Data Sheet'!F18,'Data Sheet'!F20:F22)-1*'Data Sheet'!F19,0)</f>
        <v>17904.689999999999</v>
      </c>
      <c r="I8" s="24">
        <f>IFERROR(SUM('Data Sheet'!G18,'Data Sheet'!G20:G22)-1*'Data Sheet'!G19,0)</f>
        <v>17903.18</v>
      </c>
      <c r="J8" s="24">
        <f>IFERROR(SUM('Data Sheet'!H18,'Data Sheet'!H20:H22)-1*'Data Sheet'!H19,0)</f>
        <v>20235.86</v>
      </c>
      <c r="K8" s="24">
        <f>IFERROR(SUM('Data Sheet'!I18,'Data Sheet'!I20:I22)-1*'Data Sheet'!I19,0)</f>
        <v>21725.01</v>
      </c>
      <c r="L8" s="24">
        <f>IFERROR(SUM('Data Sheet'!J18,'Data Sheet'!J20:J22)-1*'Data Sheet'!J19,0)</f>
        <v>23039.070000000003</v>
      </c>
      <c r="M8" s="24">
        <f>IFERROR(SUM('Data Sheet'!K18,'Data Sheet'!K20:K22)-1*'Data Sheet'!K19,0)</f>
        <v>20720.48</v>
      </c>
      <c r="N8" s="24">
        <f>IFERROR(SUM('Data Sheet'!H43:K43),0)</f>
        <v>37306.75</v>
      </c>
    </row>
    <row r="9" spans="1:14" x14ac:dyDescent="0.3">
      <c r="B9" s="25" t="s">
        <v>86</v>
      </c>
      <c r="C9" s="25"/>
      <c r="D9" s="26">
        <f>D8/D5</f>
        <v>0.47237918449203026</v>
      </c>
      <c r="E9" s="26">
        <f t="shared" ref="E9:N9" si="1">E8/E5</f>
        <v>0.49184158558814184</v>
      </c>
      <c r="F9" s="26">
        <f t="shared" si="1"/>
        <v>0.57306000197814522</v>
      </c>
      <c r="G9" s="26">
        <f t="shared" si="1"/>
        <v>0.56197690008673384</v>
      </c>
      <c r="H9" s="26">
        <f t="shared" si="1"/>
        <v>0.54525131328511611</v>
      </c>
      <c r="I9" s="26">
        <f t="shared" si="1"/>
        <v>0.53445295768660595</v>
      </c>
      <c r="J9" s="26">
        <f t="shared" si="1"/>
        <v>0.52350606617756446</v>
      </c>
      <c r="K9" s="26">
        <f t="shared" si="1"/>
        <v>0.49503642190345459</v>
      </c>
      <c r="L9" s="26">
        <f t="shared" si="1"/>
        <v>0.47506322575589971</v>
      </c>
      <c r="M9" s="26">
        <f t="shared" si="1"/>
        <v>0.39408700600474261</v>
      </c>
      <c r="N9" s="26">
        <f t="shared" si="1"/>
        <v>0.7095446346449229</v>
      </c>
    </row>
    <row r="11" spans="1:14" x14ac:dyDescent="0.3">
      <c r="B11" s="62" t="s">
        <v>87</v>
      </c>
      <c r="C11" s="62"/>
      <c r="D11" s="63">
        <f t="shared" ref="D11:N11" si="2">D5-D8</f>
        <v>15030.349999999999</v>
      </c>
      <c r="E11" s="63">
        <f t="shared" si="2"/>
        <v>16046.849999999997</v>
      </c>
      <c r="F11" s="63">
        <f t="shared" si="2"/>
        <v>11309.41</v>
      </c>
      <c r="G11" s="63">
        <f t="shared" si="2"/>
        <v>12731.54</v>
      </c>
      <c r="H11" s="63">
        <f t="shared" si="2"/>
        <v>14932.810000000001</v>
      </c>
      <c r="I11" s="63">
        <f t="shared" si="2"/>
        <v>15594.96</v>
      </c>
      <c r="J11" s="63">
        <f t="shared" si="2"/>
        <v>18418.629999999997</v>
      </c>
      <c r="K11" s="63">
        <f t="shared" si="2"/>
        <v>22160.670000000002</v>
      </c>
      <c r="L11" s="63">
        <f t="shared" si="2"/>
        <v>25457.779999999995</v>
      </c>
      <c r="M11" s="63">
        <f t="shared" si="2"/>
        <v>31857.960000000003</v>
      </c>
      <c r="N11" s="63">
        <f t="shared" si="2"/>
        <v>15271.690000000002</v>
      </c>
    </row>
    <row r="12" spans="1:14" x14ac:dyDescent="0.3">
      <c r="B12" s="28" t="s">
        <v>145</v>
      </c>
      <c r="C12" s="28"/>
      <c r="D12" s="28">
        <f>(D5-D8)/D5</f>
        <v>0.52762081550796969</v>
      </c>
      <c r="E12" s="28">
        <f t="shared" ref="E12:N12" si="3">(E5-E8)/E5</f>
        <v>0.50815841441185816</v>
      </c>
      <c r="F12" s="28">
        <f t="shared" si="3"/>
        <v>0.42693999802185473</v>
      </c>
      <c r="G12" s="28">
        <f t="shared" si="3"/>
        <v>0.4380230999132661</v>
      </c>
      <c r="H12" s="28">
        <f t="shared" si="3"/>
        <v>0.45474868671488394</v>
      </c>
      <c r="I12" s="28">
        <f t="shared" si="3"/>
        <v>0.46554704231339411</v>
      </c>
      <c r="J12" s="28">
        <f t="shared" si="3"/>
        <v>0.4764939338224356</v>
      </c>
      <c r="K12" s="28">
        <f t="shared" si="3"/>
        <v>0.50496357809654546</v>
      </c>
      <c r="L12" s="28">
        <f t="shared" si="3"/>
        <v>0.52493677424410035</v>
      </c>
      <c r="M12" s="28">
        <f t="shared" si="3"/>
        <v>0.60591299399525744</v>
      </c>
      <c r="N12" s="28">
        <f t="shared" si="3"/>
        <v>0.29045536535507716</v>
      </c>
    </row>
    <row r="14" spans="1:14" x14ac:dyDescent="0.3">
      <c r="B14" t="s">
        <v>88</v>
      </c>
      <c r="D14" s="27">
        <f>IFERROR(SUM('Data Sheet'!B23:B24),0)</f>
        <v>6856.45</v>
      </c>
      <c r="E14" s="27">
        <f>IFERROR(SUM('Data Sheet'!C23:C24),0)</f>
        <v>5944.83</v>
      </c>
      <c r="F14" s="27">
        <f>IFERROR(SUM('Data Sheet'!D23:D24),0)</f>
        <v>5677.99</v>
      </c>
      <c r="G14" s="27">
        <f>IFERROR(SUM('Data Sheet'!E23:E24),0)</f>
        <v>6354.5599999999995</v>
      </c>
      <c r="H14" s="27">
        <f>IFERROR(SUM('Data Sheet'!F23:F24),0)</f>
        <v>7949.97</v>
      </c>
      <c r="I14" s="27">
        <f>IFERROR(SUM('Data Sheet'!G23:G24),0)</f>
        <v>7125</v>
      </c>
      <c r="J14" s="27">
        <f>IFERROR(SUM('Data Sheet'!H23:H24),0)</f>
        <v>8161.06</v>
      </c>
      <c r="K14" s="27">
        <f>IFERROR(SUM('Data Sheet'!I23:I24),0)</f>
        <v>10510.23</v>
      </c>
      <c r="L14" s="27">
        <f>IFERROR(SUM('Data Sheet'!J23:J24),0)</f>
        <v>12440.01</v>
      </c>
      <c r="M14" s="27">
        <f>IFERROR(SUM('Data Sheet'!K23:K24),0)</f>
        <v>16586.27</v>
      </c>
      <c r="N14" s="27">
        <f>IFERROR(SUM('Data Sheet'!L23:L24),0)</f>
        <v>0</v>
      </c>
    </row>
    <row r="15" spans="1:14" x14ac:dyDescent="0.3">
      <c r="B15" s="25" t="s">
        <v>89</v>
      </c>
      <c r="C15" s="25"/>
      <c r="D15" s="26">
        <f t="shared" ref="D15:N15" si="4">D14/D5</f>
        <v>0.24068672655590984</v>
      </c>
      <c r="E15" s="26">
        <f t="shared" si="4"/>
        <v>0.18825597464599264</v>
      </c>
      <c r="F15" s="26">
        <f t="shared" si="4"/>
        <v>0.21434902787750298</v>
      </c>
      <c r="G15" s="26">
        <f t="shared" si="4"/>
        <v>0.21862587477907966</v>
      </c>
      <c r="H15" s="26">
        <f t="shared" si="4"/>
        <v>0.24210034259611726</v>
      </c>
      <c r="I15" s="26">
        <f t="shared" si="4"/>
        <v>0.21269837668598915</v>
      </c>
      <c r="J15" s="26">
        <f t="shared" si="4"/>
        <v>0.21112838379189586</v>
      </c>
      <c r="K15" s="26">
        <f t="shared" si="4"/>
        <v>0.23949110507117582</v>
      </c>
      <c r="L15" s="26">
        <f t="shared" si="4"/>
        <v>0.25651171158539166</v>
      </c>
      <c r="M15" s="26">
        <f t="shared" si="4"/>
        <v>0.31545762864018029</v>
      </c>
      <c r="N15" s="26">
        <f t="shared" si="4"/>
        <v>0</v>
      </c>
    </row>
    <row r="17" spans="2:14" x14ac:dyDescent="0.3">
      <c r="B17" s="62" t="s">
        <v>90</v>
      </c>
      <c r="C17" s="62"/>
      <c r="D17" s="63">
        <f>D11-D14</f>
        <v>8173.8999999999987</v>
      </c>
      <c r="E17" s="63">
        <f t="shared" ref="E17:N17" si="5">E11-E14</f>
        <v>10102.019999999997</v>
      </c>
      <c r="F17" s="63">
        <f t="shared" si="5"/>
        <v>5631.42</v>
      </c>
      <c r="G17" s="63">
        <f t="shared" si="5"/>
        <v>6376.9800000000014</v>
      </c>
      <c r="H17" s="63">
        <f t="shared" si="5"/>
        <v>6982.8400000000011</v>
      </c>
      <c r="I17" s="63">
        <f t="shared" si="5"/>
        <v>8469.9599999999991</v>
      </c>
      <c r="J17" s="63">
        <f t="shared" si="5"/>
        <v>10257.569999999996</v>
      </c>
      <c r="K17" s="63">
        <f t="shared" si="5"/>
        <v>11650.440000000002</v>
      </c>
      <c r="L17" s="63">
        <f t="shared" si="5"/>
        <v>13017.769999999995</v>
      </c>
      <c r="M17" s="63">
        <f t="shared" si="5"/>
        <v>15271.690000000002</v>
      </c>
      <c r="N17" s="63">
        <f t="shared" si="5"/>
        <v>15271.690000000002</v>
      </c>
    </row>
    <row r="18" spans="2:14" x14ac:dyDescent="0.3">
      <c r="B18" s="28" t="s">
        <v>149</v>
      </c>
      <c r="C18" s="28"/>
      <c r="D18" s="28">
        <f>D17/D5</f>
        <v>0.28693408895205991</v>
      </c>
      <c r="E18" s="28">
        <f t="shared" ref="E18:N18" si="6">E17/E5</f>
        <v>0.31990243976586547</v>
      </c>
      <c r="F18" s="28">
        <f t="shared" si="6"/>
        <v>0.21259097014435177</v>
      </c>
      <c r="G18" s="28">
        <f t="shared" si="6"/>
        <v>0.21939722513418644</v>
      </c>
      <c r="H18" s="28">
        <f t="shared" si="6"/>
        <v>0.21264834411876668</v>
      </c>
      <c r="I18" s="28">
        <f t="shared" si="6"/>
        <v>0.25284866562740499</v>
      </c>
      <c r="J18" s="28">
        <f t="shared" si="6"/>
        <v>0.26536555003053969</v>
      </c>
      <c r="K18" s="28">
        <f t="shared" si="6"/>
        <v>0.26547247302536958</v>
      </c>
      <c r="L18" s="28">
        <f t="shared" si="6"/>
        <v>0.26842506265870869</v>
      </c>
      <c r="M18" s="28">
        <f t="shared" si="6"/>
        <v>0.29045536535507716</v>
      </c>
      <c r="N18" s="28">
        <f t="shared" si="6"/>
        <v>0.29045536535507716</v>
      </c>
    </row>
    <row r="19" spans="2:14" x14ac:dyDescent="0.3">
      <c r="B19" s="25" t="s">
        <v>91</v>
      </c>
      <c r="C19" s="25"/>
      <c r="D19" s="26">
        <f t="shared" ref="D19:N19" si="7">D17/D5</f>
        <v>0.28693408895205991</v>
      </c>
      <c r="E19" s="26">
        <f t="shared" si="7"/>
        <v>0.31990243976586547</v>
      </c>
      <c r="F19" s="26">
        <f t="shared" si="7"/>
        <v>0.21259097014435177</v>
      </c>
      <c r="G19" s="26">
        <f t="shared" si="7"/>
        <v>0.21939722513418644</v>
      </c>
      <c r="H19" s="26">
        <f t="shared" si="7"/>
        <v>0.21264834411876668</v>
      </c>
      <c r="I19" s="26">
        <f t="shared" si="7"/>
        <v>0.25284866562740499</v>
      </c>
      <c r="J19" s="26">
        <f t="shared" si="7"/>
        <v>0.26536555003053969</v>
      </c>
      <c r="K19" s="26">
        <f t="shared" si="7"/>
        <v>0.26547247302536958</v>
      </c>
      <c r="L19" s="26">
        <f t="shared" si="7"/>
        <v>0.26842506265870869</v>
      </c>
      <c r="M19" s="26">
        <f t="shared" si="7"/>
        <v>0.29045536535507716</v>
      </c>
      <c r="N19" s="26">
        <f t="shared" si="7"/>
        <v>0.29045536535507716</v>
      </c>
    </row>
    <row r="21" spans="2:14" x14ac:dyDescent="0.3">
      <c r="B21" t="s">
        <v>10</v>
      </c>
      <c r="D21" s="27">
        <f>IFERROR('Data Sheet'!B27,0)</f>
        <v>523.24</v>
      </c>
      <c r="E21" s="27">
        <f>IFERROR('Data Sheet'!C27,0)</f>
        <v>399.8</v>
      </c>
      <c r="F21" s="27">
        <f>IFERROR('Data Sheet'!D27,0)</f>
        <v>517.57000000000005</v>
      </c>
      <c r="G21" s="27">
        <f>IFERROR('Data Sheet'!E27,0)</f>
        <v>555.25</v>
      </c>
      <c r="H21" s="27">
        <f>IFERROR('Data Sheet'!F27,0)</f>
        <v>302.73</v>
      </c>
      <c r="I21" s="27">
        <f>IFERROR('Data Sheet'!G27,0)</f>
        <v>141.43</v>
      </c>
      <c r="J21" s="27">
        <f>IFERROR('Data Sheet'!H27,0)</f>
        <v>127.35</v>
      </c>
      <c r="K21" s="27">
        <f>IFERROR('Data Sheet'!I27,0)</f>
        <v>172</v>
      </c>
      <c r="L21" s="27">
        <f>IFERROR('Data Sheet'!J27,0)</f>
        <v>238.47</v>
      </c>
      <c r="M21" s="27">
        <f>IFERROR('Data Sheet'!K27,0)</f>
        <v>231.36</v>
      </c>
      <c r="N21" s="27">
        <f>IFERROR('Data Sheet'!L27,0)</f>
        <v>0</v>
      </c>
    </row>
    <row r="22" spans="2:14" x14ac:dyDescent="0.3">
      <c r="B22" s="25" t="s">
        <v>92</v>
      </c>
      <c r="C22" s="25"/>
      <c r="D22" s="28">
        <f t="shared" ref="D22:N22" si="8">D21/D5</f>
        <v>1.8367657140811101E-2</v>
      </c>
      <c r="E22" s="28">
        <f t="shared" si="8"/>
        <v>1.2660536745957053E-2</v>
      </c>
      <c r="F22" s="28">
        <f t="shared" si="8"/>
        <v>1.9538714643484618E-2</v>
      </c>
      <c r="G22" s="28">
        <f t="shared" si="8"/>
        <v>1.9103134909589963E-2</v>
      </c>
      <c r="H22" s="28">
        <f t="shared" si="8"/>
        <v>9.2190331176246667E-3</v>
      </c>
      <c r="I22" s="28">
        <f t="shared" si="8"/>
        <v>4.2220254617122031E-3</v>
      </c>
      <c r="J22" s="28">
        <f t="shared" si="8"/>
        <v>3.2945719889203042E-3</v>
      </c>
      <c r="K22" s="28">
        <f t="shared" si="8"/>
        <v>3.9192738952660636E-3</v>
      </c>
      <c r="L22" s="28">
        <f t="shared" si="8"/>
        <v>4.9172265827574372E-3</v>
      </c>
      <c r="M22" s="28">
        <f t="shared" si="8"/>
        <v>4.4002827014266686E-3</v>
      </c>
      <c r="N22" s="28">
        <f t="shared" si="8"/>
        <v>0</v>
      </c>
    </row>
    <row r="24" spans="2:14" x14ac:dyDescent="0.3">
      <c r="B24" t="s">
        <v>9</v>
      </c>
      <c r="D24" s="27">
        <f>IFERROR('Data Sheet'!B26,0)</f>
        <v>1037.53</v>
      </c>
      <c r="E24" s="27">
        <f>IFERROR('Data Sheet'!C26,0)</f>
        <v>1264.75</v>
      </c>
      <c r="F24" s="27">
        <f>IFERROR('Data Sheet'!D26,0)</f>
        <v>1499.84</v>
      </c>
      <c r="G24" s="27">
        <f>IFERROR('Data Sheet'!E26,0)</f>
        <v>1753.25</v>
      </c>
      <c r="H24" s="27">
        <f>IFERROR('Data Sheet'!F26,0)</f>
        <v>2052.7800000000002</v>
      </c>
      <c r="I24" s="27">
        <f>IFERROR('Data Sheet'!G26,0)</f>
        <v>2079.9499999999998</v>
      </c>
      <c r="J24" s="27">
        <f>IFERROR('Data Sheet'!H26,0)</f>
        <v>2143.7399999999998</v>
      </c>
      <c r="K24" s="27">
        <f>IFERROR('Data Sheet'!I26,0)</f>
        <v>2529.4299999999998</v>
      </c>
      <c r="L24" s="27">
        <f>IFERROR('Data Sheet'!J26,0)</f>
        <v>2556.64</v>
      </c>
      <c r="M24" s="27">
        <f>IFERROR('Data Sheet'!K26,0)</f>
        <v>2575.39</v>
      </c>
      <c r="N24" s="27">
        <f>IFERROR(SUM('Data Sheet'!H45:K45),0)</f>
        <v>2575.39</v>
      </c>
    </row>
    <row r="25" spans="2:14" x14ac:dyDescent="0.3">
      <c r="B25" s="25" t="s">
        <v>93</v>
      </c>
      <c r="D25" s="28">
        <f t="shared" ref="D25:N25" si="9">D24/D5</f>
        <v>3.6421136215323252E-2</v>
      </c>
      <c r="E25" s="28">
        <f t="shared" si="9"/>
        <v>4.0051060153699802E-2</v>
      </c>
      <c r="F25" s="28">
        <f t="shared" si="9"/>
        <v>5.6620255754552942E-2</v>
      </c>
      <c r="G25" s="28">
        <f t="shared" si="9"/>
        <v>6.0319804196737693E-2</v>
      </c>
      <c r="H25" s="28">
        <f t="shared" si="9"/>
        <v>6.2513285116102019E-2</v>
      </c>
      <c r="I25" s="28">
        <f t="shared" si="9"/>
        <v>6.2091507170248854E-2</v>
      </c>
      <c r="J25" s="28">
        <f t="shared" si="9"/>
        <v>5.5459016533396244E-2</v>
      </c>
      <c r="K25" s="28">
        <f t="shared" si="9"/>
        <v>5.7636796330830464E-2</v>
      </c>
      <c r="L25" s="28">
        <f t="shared" si="9"/>
        <v>5.2717650734016741E-2</v>
      </c>
      <c r="M25" s="28">
        <f t="shared" si="9"/>
        <v>4.898186404921865E-2</v>
      </c>
      <c r="N25" s="28">
        <f t="shared" si="9"/>
        <v>4.898186404921865E-2</v>
      </c>
    </row>
    <row r="27" spans="2:14" x14ac:dyDescent="0.3">
      <c r="B27" s="62" t="s">
        <v>94</v>
      </c>
      <c r="C27" s="62"/>
      <c r="D27" s="64">
        <f>IFERROR(D17-SUM(D21,D24),0)</f>
        <v>6613.1299999999992</v>
      </c>
      <c r="E27" s="64">
        <f t="shared" ref="E27:N27" si="10">IFERROR(E17-SUM(E21,E24),0)</f>
        <v>8437.4699999999975</v>
      </c>
      <c r="F27" s="64">
        <f t="shared" si="10"/>
        <v>3614.01</v>
      </c>
      <c r="G27" s="64">
        <f t="shared" si="10"/>
        <v>4068.4800000000014</v>
      </c>
      <c r="H27" s="64">
        <f t="shared" si="10"/>
        <v>4627.3300000000008</v>
      </c>
      <c r="I27" s="64">
        <f t="shared" si="10"/>
        <v>6248.58</v>
      </c>
      <c r="J27" s="64">
        <f t="shared" si="10"/>
        <v>7986.4799999999959</v>
      </c>
      <c r="K27" s="64">
        <f t="shared" si="10"/>
        <v>8949.010000000002</v>
      </c>
      <c r="L27" s="64">
        <f t="shared" si="10"/>
        <v>10222.659999999996</v>
      </c>
      <c r="M27" s="64">
        <f t="shared" si="10"/>
        <v>12464.940000000002</v>
      </c>
      <c r="N27" s="64">
        <f t="shared" si="10"/>
        <v>12696.300000000003</v>
      </c>
    </row>
    <row r="28" spans="2:14" x14ac:dyDescent="0.3">
      <c r="B28" s="25" t="s">
        <v>95</v>
      </c>
      <c r="C28" s="25"/>
      <c r="D28" s="28">
        <f t="shared" ref="D28:N28" si="11">D27/D5</f>
        <v>0.23214529559592556</v>
      </c>
      <c r="E28" s="28">
        <f t="shared" si="11"/>
        <v>0.26719084286620864</v>
      </c>
      <c r="F28" s="28">
        <f t="shared" si="11"/>
        <v>0.1364319997463142</v>
      </c>
      <c r="G28" s="28">
        <f t="shared" si="11"/>
        <v>0.1399742860278588</v>
      </c>
      <c r="H28" s="28">
        <f t="shared" si="11"/>
        <v>0.14091602588503999</v>
      </c>
      <c r="I28" s="28">
        <f t="shared" si="11"/>
        <v>0.18653513299544391</v>
      </c>
      <c r="J28" s="28">
        <f t="shared" si="11"/>
        <v>0.20661196150822314</v>
      </c>
      <c r="K28" s="28">
        <f t="shared" si="11"/>
        <v>0.20391640279927306</v>
      </c>
      <c r="L28" s="28">
        <f t="shared" si="11"/>
        <v>0.2107901853419345</v>
      </c>
      <c r="M28" s="28">
        <f t="shared" si="11"/>
        <v>0.23707321860443181</v>
      </c>
      <c r="N28" s="28">
        <f t="shared" si="11"/>
        <v>0.24147350130585848</v>
      </c>
    </row>
    <row r="30" spans="2:14" x14ac:dyDescent="0.3">
      <c r="B30" t="s">
        <v>12</v>
      </c>
      <c r="D30" s="24">
        <f>IFERROR('Data Sheet'!B29,0)</f>
        <v>913.77</v>
      </c>
      <c r="E30" s="24">
        <f>IFERROR('Data Sheet'!C29,0)</f>
        <v>1211.57</v>
      </c>
      <c r="F30" s="24">
        <f>IFERROR('Data Sheet'!D29,0)</f>
        <v>911.04</v>
      </c>
      <c r="G30" s="24">
        <f>IFERROR('Data Sheet'!E29,0)</f>
        <v>600.88</v>
      </c>
      <c r="H30" s="24">
        <f>IFERROR('Data Sheet'!F29,0)</f>
        <v>822.8</v>
      </c>
      <c r="I30" s="24">
        <f>IFERROR('Data Sheet'!G29,0)</f>
        <v>514.69000000000005</v>
      </c>
      <c r="J30" s="24">
        <f>IFERROR('Data Sheet'!H29,0)</f>
        <v>1075.5</v>
      </c>
      <c r="K30" s="24">
        <f>IFERROR('Data Sheet'!I29,0)</f>
        <v>847.59</v>
      </c>
      <c r="L30" s="24">
        <f>IFERROR('Data Sheet'!J29,0)</f>
        <v>1439.45</v>
      </c>
      <c r="M30" s="24">
        <f>IFERROR('Data Sheet'!K29,0)</f>
        <v>2772.03</v>
      </c>
      <c r="N30" s="24">
        <f>IFERROR(SUM('Data Sheet'!H48:K48),0)</f>
        <v>2772.03</v>
      </c>
    </row>
    <row r="31" spans="2:14" x14ac:dyDescent="0.3">
      <c r="B31" s="25" t="s">
        <v>97</v>
      </c>
      <c r="C31" s="25"/>
      <c r="D31" s="26">
        <f>D30/D27</f>
        <v>0.13817511526312051</v>
      </c>
      <c r="E31" s="26">
        <f t="shared" ref="E31:N31" si="12">E30/E27</f>
        <v>0.14359399203789766</v>
      </c>
      <c r="F31" s="26">
        <f t="shared" si="12"/>
        <v>0.25208563340997947</v>
      </c>
      <c r="G31" s="26">
        <f t="shared" si="12"/>
        <v>0.14769152115777878</v>
      </c>
      <c r="H31" s="26">
        <f t="shared" si="12"/>
        <v>0.17781312333462274</v>
      </c>
      <c r="I31" s="26">
        <f t="shared" si="12"/>
        <v>8.2369114262760515E-2</v>
      </c>
      <c r="J31" s="26">
        <f t="shared" si="12"/>
        <v>0.13466508399194646</v>
      </c>
      <c r="K31" s="26">
        <f t="shared" si="12"/>
        <v>9.4713269959470353E-2</v>
      </c>
      <c r="L31" s="26">
        <f t="shared" si="12"/>
        <v>0.14080973053980086</v>
      </c>
      <c r="M31" s="26">
        <f t="shared" si="12"/>
        <v>0.22238614866978901</v>
      </c>
      <c r="N31" s="26">
        <f t="shared" si="12"/>
        <v>0.21833368776730225</v>
      </c>
    </row>
    <row r="33" spans="1:14" x14ac:dyDescent="0.3">
      <c r="B33" s="62" t="s">
        <v>98</v>
      </c>
      <c r="C33" s="62"/>
      <c r="D33" s="64">
        <f>IFERROR(D27-D30,0)</f>
        <v>5699.3599999999988</v>
      </c>
      <c r="E33" s="64">
        <f t="shared" ref="E33:N33" si="13">IFERROR(E27-E30,0)</f>
        <v>7225.8999999999978</v>
      </c>
      <c r="F33" s="64">
        <f t="shared" si="13"/>
        <v>2702.9700000000003</v>
      </c>
      <c r="G33" s="64">
        <f t="shared" si="13"/>
        <v>3467.6000000000013</v>
      </c>
      <c r="H33" s="64">
        <f t="shared" si="13"/>
        <v>3804.5300000000007</v>
      </c>
      <c r="I33" s="64">
        <f t="shared" si="13"/>
        <v>5733.8899999999994</v>
      </c>
      <c r="J33" s="64">
        <f t="shared" si="13"/>
        <v>6910.9799999999959</v>
      </c>
      <c r="K33" s="64">
        <f t="shared" si="13"/>
        <v>8101.4200000000019</v>
      </c>
      <c r="L33" s="64">
        <f t="shared" si="13"/>
        <v>8783.2099999999955</v>
      </c>
      <c r="M33" s="64">
        <f t="shared" si="13"/>
        <v>9692.9100000000017</v>
      </c>
      <c r="N33" s="64">
        <f t="shared" si="13"/>
        <v>9924.2700000000023</v>
      </c>
    </row>
    <row r="34" spans="1:14" x14ac:dyDescent="0.3">
      <c r="B34" s="26" t="s">
        <v>99</v>
      </c>
      <c r="C34" s="26"/>
      <c r="D34" s="26">
        <f t="shared" ref="D34:N34" si="14">D33/D5</f>
        <v>0.20006859261916735</v>
      </c>
      <c r="E34" s="26">
        <f t="shared" si="14"/>
        <v>0.22882384310307913</v>
      </c>
      <c r="F34" s="26">
        <f t="shared" si="14"/>
        <v>0.10203945267287443</v>
      </c>
      <c r="G34" s="26">
        <f t="shared" si="14"/>
        <v>0.11930127080143031</v>
      </c>
      <c r="H34" s="26">
        <f t="shared" si="14"/>
        <v>0.11585930719451848</v>
      </c>
      <c r="I34" s="26">
        <f t="shared" si="14"/>
        <v>0.17117039931172295</v>
      </c>
      <c r="J34" s="26">
        <f t="shared" si="14"/>
        <v>0.17878854435797747</v>
      </c>
      <c r="K34" s="26">
        <f t="shared" si="14"/>
        <v>0.18460281349178143</v>
      </c>
      <c r="L34" s="26">
        <f t="shared" si="14"/>
        <v>0.18110887614350202</v>
      </c>
      <c r="M34" s="26">
        <f t="shared" si="14"/>
        <v>0.18435141856624124</v>
      </c>
      <c r="N34" s="26">
        <f t="shared" si="14"/>
        <v>0.18875170126766791</v>
      </c>
    </row>
    <row r="36" spans="1:14" x14ac:dyDescent="0.3">
      <c r="B36" s="24" t="s">
        <v>63</v>
      </c>
      <c r="C36" s="24"/>
      <c r="D36" s="24">
        <f>IFERROR('Data Sheet'!B93,0)</f>
        <v>240.67</v>
      </c>
      <c r="E36" s="24">
        <f>IFERROR('Data Sheet'!C93,0)</f>
        <v>239.93</v>
      </c>
      <c r="F36" s="24">
        <f>IFERROR('Data Sheet'!D93,0)</f>
        <v>239.93</v>
      </c>
      <c r="G36" s="24">
        <f>IFERROR('Data Sheet'!E93,0)</f>
        <v>239.93</v>
      </c>
      <c r="H36" s="24">
        <f>IFERROR('Data Sheet'!F93,0)</f>
        <v>239.93</v>
      </c>
      <c r="I36" s="24">
        <f>IFERROR('Data Sheet'!G93,0)</f>
        <v>239.93</v>
      </c>
      <c r="J36" s="24">
        <f>IFERROR('Data Sheet'!H93,0)</f>
        <v>239.93</v>
      </c>
      <c r="K36" s="24">
        <f>IFERROR('Data Sheet'!I93,0)</f>
        <v>239.93</v>
      </c>
      <c r="L36" s="24">
        <f>IFERROR('Data Sheet'!J93,0)</f>
        <v>239.93</v>
      </c>
      <c r="M36" s="24">
        <f>IFERROR('Data Sheet'!K93,0)</f>
        <v>239.93</v>
      </c>
    </row>
    <row r="38" spans="1:14" x14ac:dyDescent="0.3">
      <c r="B38" t="s">
        <v>100</v>
      </c>
      <c r="D38" s="24">
        <f>IFERROR(D33/D36,0)</f>
        <v>23.681223251755512</v>
      </c>
      <c r="E38" s="24">
        <f t="shared" ref="E38:M38" si="15">IFERROR(E33/E36,0)</f>
        <v>30.1167007043721</v>
      </c>
      <c r="F38" s="24">
        <f t="shared" si="15"/>
        <v>11.265660817738508</v>
      </c>
      <c r="G38" s="24">
        <f t="shared" si="15"/>
        <v>14.452548660025846</v>
      </c>
      <c r="H38" s="24">
        <f t="shared" si="15"/>
        <v>15.85683324302922</v>
      </c>
      <c r="I38" s="24">
        <f t="shared" si="15"/>
        <v>23.898178635435332</v>
      </c>
      <c r="J38" s="24">
        <f t="shared" si="15"/>
        <v>28.804151210769788</v>
      </c>
      <c r="K38" s="24">
        <f t="shared" si="15"/>
        <v>33.765765014795988</v>
      </c>
      <c r="L38" s="24">
        <f t="shared" si="15"/>
        <v>36.607385487433817</v>
      </c>
      <c r="M38" s="24">
        <f t="shared" si="15"/>
        <v>40.398908014837666</v>
      </c>
    </row>
    <row r="39" spans="1:14" x14ac:dyDescent="0.3">
      <c r="B39" s="26" t="s">
        <v>102</v>
      </c>
      <c r="C39" s="26"/>
      <c r="D39" s="26"/>
      <c r="E39" s="26">
        <f>E38/D38-1</f>
        <v>0.2717544353262884</v>
      </c>
      <c r="F39" s="26">
        <f t="shared" ref="F39:M39" si="16">F38/E38-1</f>
        <v>-0.62593310175895023</v>
      </c>
      <c r="G39" s="26">
        <f t="shared" si="16"/>
        <v>0.28288512266136911</v>
      </c>
      <c r="H39" s="26">
        <f t="shared" si="16"/>
        <v>9.7165186295997019E-2</v>
      </c>
      <c r="I39" s="26">
        <f t="shared" si="16"/>
        <v>0.50712177325451457</v>
      </c>
      <c r="J39" s="26">
        <f t="shared" si="16"/>
        <v>0.2052864634654652</v>
      </c>
      <c r="K39" s="26">
        <f t="shared" si="16"/>
        <v>0.17225342860202275</v>
      </c>
      <c r="L39" s="26">
        <f t="shared" si="16"/>
        <v>8.4156851514918918E-2</v>
      </c>
      <c r="M39" s="26">
        <f t="shared" si="16"/>
        <v>0.1035726118355369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101</v>
      </c>
      <c r="D41" s="24">
        <f>IFERROR('Data Sheet'!B31/'Historical FS'!D36,0)</f>
        <v>0.99995844932895672</v>
      </c>
      <c r="E41" s="24">
        <f>IFERROR('Data Sheet'!C31/'Historical FS'!E36,0)</f>
        <v>3.5000208394114947</v>
      </c>
      <c r="F41" s="24">
        <f>IFERROR('Data Sheet'!D31/'Historical FS'!F36,0)</f>
        <v>2</v>
      </c>
      <c r="G41" s="24">
        <f>IFERROR('Data Sheet'!E31/'Historical FS'!G36,0)</f>
        <v>2.7500104197057471</v>
      </c>
      <c r="H41" s="24">
        <f>IFERROR('Data Sheet'!F31/'Historical FS'!H36,0)</f>
        <v>4</v>
      </c>
      <c r="I41" s="24">
        <f>IFERROR('Data Sheet'!G31/'Historical FS'!I36,0)</f>
        <v>7.5000208394114951</v>
      </c>
      <c r="J41" s="24">
        <f>IFERROR('Data Sheet'!H31/'Historical FS'!J36,0)</f>
        <v>10</v>
      </c>
      <c r="K41" s="24">
        <f>IFERROR('Data Sheet'!I31/'Historical FS'!K36,0)</f>
        <v>11.500020839411494</v>
      </c>
      <c r="L41" s="24">
        <f>IFERROR('Data Sheet'!J31/'Historical FS'!L36,0)</f>
        <v>13.500020839411494</v>
      </c>
      <c r="M41" s="24">
        <f>IFERROR('Data Sheet'!K31/'Historical FS'!M36,0)</f>
        <v>16</v>
      </c>
    </row>
    <row r="42" spans="1:14" x14ac:dyDescent="0.3">
      <c r="B42" s="26" t="s">
        <v>103</v>
      </c>
      <c r="C42" s="26"/>
      <c r="D42" s="26">
        <f>IFERROR(D41/D38,0)</f>
        <v>4.2225793773335962E-2</v>
      </c>
      <c r="E42" s="26">
        <f t="shared" ref="E42:M42" si="17">IFERROR(E41/E38,0)</f>
        <v>0.11621528114144952</v>
      </c>
      <c r="F42" s="26">
        <f t="shared" si="17"/>
        <v>0.17753064221948447</v>
      </c>
      <c r="G42" s="26">
        <f t="shared" si="17"/>
        <v>0.19027857884415725</v>
      </c>
      <c r="H42" s="26">
        <f t="shared" si="17"/>
        <v>0.25225717762772271</v>
      </c>
      <c r="I42" s="26">
        <f t="shared" si="17"/>
        <v>0.31383231976895271</v>
      </c>
      <c r="J42" s="26">
        <f t="shared" si="17"/>
        <v>0.34717218107996284</v>
      </c>
      <c r="K42" s="26">
        <f t="shared" si="17"/>
        <v>0.34058226829370647</v>
      </c>
      <c r="L42" s="26">
        <f t="shared" si="17"/>
        <v>0.36877861283061675</v>
      </c>
      <c r="M42" s="26">
        <f t="shared" si="17"/>
        <v>0.39605030893715093</v>
      </c>
    </row>
    <row r="44" spans="1:14" x14ac:dyDescent="0.3">
      <c r="B44" s="30" t="s">
        <v>104</v>
      </c>
      <c r="D44" s="29">
        <f>IFERROR(IF(D41&lt;D38,1-D41/D38,0),0)</f>
        <v>0.95777420622666409</v>
      </c>
      <c r="E44" s="29">
        <f t="shared" ref="E44:M44" si="18">IFERROR(IF(E41&lt;E38,1-E41/E38,0),0)</f>
        <v>0.88378471885855048</v>
      </c>
      <c r="F44" s="29">
        <f t="shared" si="18"/>
        <v>0.82246935778051555</v>
      </c>
      <c r="G44" s="29">
        <f t="shared" si="18"/>
        <v>0.80972142115584278</v>
      </c>
      <c r="H44" s="29">
        <f t="shared" si="18"/>
        <v>0.74774282237227729</v>
      </c>
      <c r="I44" s="29">
        <f t="shared" si="18"/>
        <v>0.68616768023104724</v>
      </c>
      <c r="J44" s="29">
        <f t="shared" si="18"/>
        <v>0.65282781892003716</v>
      </c>
      <c r="K44" s="29">
        <f t="shared" si="18"/>
        <v>0.65941773170629348</v>
      </c>
      <c r="L44" s="29">
        <f t="shared" si="18"/>
        <v>0.63122138716938325</v>
      </c>
      <c r="M44" s="29">
        <f t="shared" si="18"/>
        <v>0.60394969106284901</v>
      </c>
    </row>
    <row r="47" spans="1:14" x14ac:dyDescent="0.3">
      <c r="A47" t="s">
        <v>83</v>
      </c>
      <c r="B47" s="60" t="s">
        <v>105</v>
      </c>
      <c r="C47" s="6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 spans="1:14" x14ac:dyDescent="0.3">
      <c r="B48" s="6" t="s">
        <v>23</v>
      </c>
      <c r="D48" s="24">
        <f>IFERROR('Data Sheet'!B57,0)</f>
        <v>240.66</v>
      </c>
      <c r="E48" s="24">
        <f>IFERROR('Data Sheet'!C57,0)</f>
        <v>239.93</v>
      </c>
      <c r="F48" s="24">
        <f>IFERROR('Data Sheet'!D57,0)</f>
        <v>239.93</v>
      </c>
      <c r="G48" s="24">
        <f>IFERROR('Data Sheet'!E57,0)</f>
        <v>239.93</v>
      </c>
      <c r="H48" s="24">
        <f>IFERROR('Data Sheet'!F57,0)</f>
        <v>239.93</v>
      </c>
      <c r="I48" s="24">
        <f>IFERROR('Data Sheet'!G57,0)</f>
        <v>239.93</v>
      </c>
      <c r="J48" s="24">
        <f>IFERROR('Data Sheet'!H57,0)</f>
        <v>239.93</v>
      </c>
      <c r="K48" s="24">
        <f>IFERROR('Data Sheet'!I57,0)</f>
        <v>239.93</v>
      </c>
      <c r="L48" s="24">
        <f>IFERROR('Data Sheet'!J57,0)</f>
        <v>239.93</v>
      </c>
      <c r="M48" s="24">
        <f>IFERROR('Data Sheet'!K57,0)</f>
        <v>239.93</v>
      </c>
    </row>
    <row r="49" spans="2:13" x14ac:dyDescent="0.3">
      <c r="B49" s="6" t="s">
        <v>24</v>
      </c>
      <c r="D49" s="24">
        <f>IFERROR('Data Sheet'!B58,0)</f>
        <v>32741.82</v>
      </c>
      <c r="E49" s="24">
        <f>IFERROR('Data Sheet'!C58,0)</f>
        <v>36399.74</v>
      </c>
      <c r="F49" s="24">
        <f>IFERROR('Data Sheet'!D58,0)</f>
        <v>38074.18</v>
      </c>
      <c r="G49" s="24">
        <f>IFERROR('Data Sheet'!E58,0)</f>
        <v>41169.129999999997</v>
      </c>
      <c r="H49" s="24">
        <f>IFERROR('Data Sheet'!F58,0)</f>
        <v>45024.52</v>
      </c>
      <c r="I49" s="24">
        <f>IFERROR('Data Sheet'!G58,0)</f>
        <v>46222.85</v>
      </c>
      <c r="J49" s="24">
        <f>IFERROR('Data Sheet'!H58,0)</f>
        <v>47771.29</v>
      </c>
      <c r="K49" s="24">
        <f>IFERROR('Data Sheet'!I58,0)</f>
        <v>55755.45</v>
      </c>
      <c r="L49" s="24">
        <f>IFERROR('Data Sheet'!J58,0)</f>
        <v>63426.82</v>
      </c>
      <c r="M49" s="24">
        <f>IFERROR('Data Sheet'!K58,0)</f>
        <v>71978.09</v>
      </c>
    </row>
    <row r="50" spans="2:13" x14ac:dyDescent="0.3">
      <c r="B50" s="6" t="s">
        <v>60</v>
      </c>
      <c r="D50" s="24">
        <f>IFERROR('Data Sheet'!B59,0)</f>
        <v>8496.76</v>
      </c>
      <c r="E50" s="24">
        <f>IFERROR('Data Sheet'!C59,0)</f>
        <v>9831.77</v>
      </c>
      <c r="F50" s="24">
        <f>IFERROR('Data Sheet'!D59,0)</f>
        <v>10385.27</v>
      </c>
      <c r="G50" s="24">
        <f>IFERROR('Data Sheet'!E59,0)</f>
        <v>10514.36</v>
      </c>
      <c r="H50" s="24">
        <f>IFERROR('Data Sheet'!F59,0)</f>
        <v>8314.8799999999992</v>
      </c>
      <c r="I50" s="24">
        <f>IFERROR('Data Sheet'!G59,0)</f>
        <v>3868.58</v>
      </c>
      <c r="J50" s="24">
        <f>IFERROR('Data Sheet'!H59,0)</f>
        <v>1290.3</v>
      </c>
      <c r="K50" s="24">
        <f>IFERROR('Data Sheet'!I59,0)</f>
        <v>6885.87</v>
      </c>
      <c r="L50" s="24">
        <f>IFERROR('Data Sheet'!J59,0)</f>
        <v>3273.67</v>
      </c>
      <c r="M50" s="24">
        <f>IFERROR('Data Sheet'!K59,0)</f>
        <v>2362.19</v>
      </c>
    </row>
    <row r="51" spans="2:13" x14ac:dyDescent="0.3">
      <c r="B51" s="6" t="s">
        <v>61</v>
      </c>
      <c r="D51" s="24">
        <f>IFERROR('Data Sheet'!B60,0)</f>
        <v>13948.26</v>
      </c>
      <c r="E51" s="24">
        <f>IFERROR('Data Sheet'!C60,0)</f>
        <v>14624.01</v>
      </c>
      <c r="F51" s="24">
        <f>IFERROR('Data Sheet'!D60,0)</f>
        <v>15598.01</v>
      </c>
      <c r="G51" s="24">
        <f>IFERROR('Data Sheet'!E60,0)</f>
        <v>12666.11</v>
      </c>
      <c r="H51" s="24">
        <f>IFERROR('Data Sheet'!F60,0)</f>
        <v>14614.99</v>
      </c>
      <c r="I51" s="24">
        <f>IFERROR('Data Sheet'!G60,0)</f>
        <v>17290.86</v>
      </c>
      <c r="J51" s="24">
        <f>IFERROR('Data Sheet'!H60,0)</f>
        <v>20474.39</v>
      </c>
      <c r="K51" s="24">
        <f>IFERROR('Data Sheet'!I60,0)</f>
        <v>17830.650000000001</v>
      </c>
      <c r="L51" s="24">
        <f>IFERROR('Data Sheet'!J60,0)</f>
        <v>18367.400000000001</v>
      </c>
      <c r="M51" s="24">
        <f>IFERROR('Data Sheet'!K60,0)</f>
        <v>17520.37</v>
      </c>
    </row>
    <row r="52" spans="2:13" ht="15" thickBot="1" x14ac:dyDescent="0.35">
      <c r="B52" s="65" t="s">
        <v>106</v>
      </c>
      <c r="C52" s="66"/>
      <c r="D52" s="67">
        <f>IFERROR('Data Sheet'!B61,0)</f>
        <v>55427.5</v>
      </c>
      <c r="E52" s="67">
        <f>IFERROR('Data Sheet'!C61,0)</f>
        <v>61095.45</v>
      </c>
      <c r="F52" s="67">
        <f>IFERROR('Data Sheet'!D61,0)</f>
        <v>64297.39</v>
      </c>
      <c r="G52" s="67">
        <f>IFERROR('Data Sheet'!E61,0)</f>
        <v>64589.53</v>
      </c>
      <c r="H52" s="67">
        <f>IFERROR('Data Sheet'!F61,0)</f>
        <v>68194.320000000007</v>
      </c>
      <c r="I52" s="67">
        <f>IFERROR('Data Sheet'!G61,0)</f>
        <v>67622.22</v>
      </c>
      <c r="J52" s="67">
        <f>IFERROR('Data Sheet'!H61,0)</f>
        <v>69775.91</v>
      </c>
      <c r="K52" s="67">
        <f>IFERROR('Data Sheet'!I61,0)</f>
        <v>80711.899999999994</v>
      </c>
      <c r="L52" s="67">
        <f>IFERROR('Data Sheet'!J61,0)</f>
        <v>85307.82</v>
      </c>
      <c r="M52" s="67">
        <f>IFERROR('Data Sheet'!K61,0)</f>
        <v>92100.58</v>
      </c>
    </row>
    <row r="53" spans="2:13" x14ac:dyDescent="0.3">
      <c r="B53" s="1"/>
    </row>
    <row r="54" spans="2:13" x14ac:dyDescent="0.3">
      <c r="B54" s="6" t="s">
        <v>108</v>
      </c>
      <c r="D54" s="24">
        <f>IFERROR('Data Sheet'!B62,0)</f>
        <v>15872.25</v>
      </c>
      <c r="E54" s="24">
        <f>IFERROR('Data Sheet'!C62,0)</f>
        <v>17675.169999999998</v>
      </c>
      <c r="F54" s="24">
        <f>IFERROR('Data Sheet'!D62,0)</f>
        <v>18852.650000000001</v>
      </c>
      <c r="G54" s="24">
        <f>IFERROR('Data Sheet'!E62,0)</f>
        <v>21836.54</v>
      </c>
      <c r="H54" s="24">
        <f>IFERROR('Data Sheet'!F62,0)</f>
        <v>22846.91</v>
      </c>
      <c r="I54" s="24">
        <f>IFERROR('Data Sheet'!G62,0)</f>
        <v>21552.98</v>
      </c>
      <c r="J54" s="24">
        <f>IFERROR('Data Sheet'!H62,0)</f>
        <v>22665.16</v>
      </c>
      <c r="K54" s="24">
        <f>IFERROR('Data Sheet'!I62,0)</f>
        <v>24065.439999999999</v>
      </c>
      <c r="L54" s="24">
        <f>IFERROR('Data Sheet'!J62,0)</f>
        <v>23211.38</v>
      </c>
      <c r="M54" s="24">
        <f>IFERROR('Data Sheet'!K62,0)</f>
        <v>27995.9</v>
      </c>
    </row>
    <row r="55" spans="2:13" x14ac:dyDescent="0.3">
      <c r="B55" s="6" t="s">
        <v>27</v>
      </c>
      <c r="D55" s="24">
        <f>IFERROR('Data Sheet'!B63,0)</f>
        <v>2175.4499999999998</v>
      </c>
      <c r="E55" s="24">
        <f>IFERROR('Data Sheet'!C63,0)</f>
        <v>2801.38</v>
      </c>
      <c r="F55" s="24">
        <f>IFERROR('Data Sheet'!D63,0)</f>
        <v>2465.16</v>
      </c>
      <c r="G55" s="24">
        <f>IFERROR('Data Sheet'!E63,0)</f>
        <v>1411.15</v>
      </c>
      <c r="H55" s="24">
        <f>IFERROR('Data Sheet'!F63,0)</f>
        <v>1220.3399999999999</v>
      </c>
      <c r="I55" s="24">
        <f>IFERROR('Data Sheet'!G63,0)</f>
        <v>1566.83</v>
      </c>
      <c r="J55" s="24">
        <f>IFERROR('Data Sheet'!H63,0)</f>
        <v>1286.8</v>
      </c>
      <c r="K55" s="24">
        <f>IFERROR('Data Sheet'!I63,0)</f>
        <v>4973.16</v>
      </c>
      <c r="L55" s="24">
        <f>IFERROR('Data Sheet'!J63,0)</f>
        <v>5353.88</v>
      </c>
      <c r="M55" s="24">
        <f>IFERROR('Data Sheet'!K63,0)</f>
        <v>1234.3399999999999</v>
      </c>
    </row>
    <row r="56" spans="2:13" x14ac:dyDescent="0.3">
      <c r="B56" s="6" t="s">
        <v>28</v>
      </c>
      <c r="D56" s="24">
        <f>IFERROR('Data Sheet'!B64,0)</f>
        <v>1829.88</v>
      </c>
      <c r="E56" s="24">
        <f>IFERROR('Data Sheet'!C64,0)</f>
        <v>1191.8800000000001</v>
      </c>
      <c r="F56" s="24">
        <f>IFERROR('Data Sheet'!D64,0)</f>
        <v>7142.87</v>
      </c>
      <c r="G56" s="24">
        <f>IFERROR('Data Sheet'!E64,0)</f>
        <v>7902.53</v>
      </c>
      <c r="H56" s="24">
        <f>IFERROR('Data Sheet'!F64,0)</f>
        <v>10143.11</v>
      </c>
      <c r="I56" s="24">
        <f>IFERROR('Data Sheet'!G64,0)</f>
        <v>9612.4500000000007</v>
      </c>
      <c r="J56" s="24">
        <f>IFERROR('Data Sheet'!H64,0)</f>
        <v>12848.59</v>
      </c>
      <c r="K56" s="24">
        <f>IFERROR('Data Sheet'!I64,0)</f>
        <v>14824.34</v>
      </c>
      <c r="L56" s="24">
        <f>IFERROR('Data Sheet'!J64,0)</f>
        <v>15025.77</v>
      </c>
      <c r="M56" s="24">
        <f>IFERROR('Data Sheet'!K64,0)</f>
        <v>18353.8</v>
      </c>
    </row>
    <row r="57" spans="2:13" x14ac:dyDescent="0.3">
      <c r="B57" s="6" t="s">
        <v>62</v>
      </c>
      <c r="D57" s="24">
        <f>IFERROR('Data Sheet'!B65-SUM('Data Sheet'!B67:B69),0)</f>
        <v>9170.07</v>
      </c>
      <c r="E57" s="24">
        <f>IFERROR('Data Sheet'!C65-SUM('Data Sheet'!C67:C69),0)</f>
        <v>10250.759999999995</v>
      </c>
      <c r="F57" s="24">
        <f>IFERROR('Data Sheet'!D65-SUM('Data Sheet'!D67:D69),0)</f>
        <v>11211.36</v>
      </c>
      <c r="G57" s="24">
        <f>IFERROR('Data Sheet'!E65-SUM('Data Sheet'!E67:E69),0)</f>
        <v>9393.5299999999988</v>
      </c>
      <c r="H57" s="24">
        <f>IFERROR('Data Sheet'!F65-SUM('Data Sheet'!F67:F69),0)</f>
        <v>10200.18</v>
      </c>
      <c r="I57" s="24">
        <f>IFERROR('Data Sheet'!G65-SUM('Data Sheet'!G67:G69),0)</f>
        <v>10386.029999999999</v>
      </c>
      <c r="J57" s="24">
        <f>IFERROR('Data Sheet'!H65-SUM('Data Sheet'!H67:H69),0)</f>
        <v>8532.2900000000009</v>
      </c>
      <c r="K57" s="24">
        <f>IFERROR('Data Sheet'!I65-SUM('Data Sheet'!I67:I69),0)</f>
        <v>9127.11</v>
      </c>
      <c r="L57" s="24">
        <f>IFERROR('Data Sheet'!J65-SUM('Data Sheet'!J67:J69),0)</f>
        <v>10078.449999999997</v>
      </c>
      <c r="M57" s="24">
        <f>IFERROR('Data Sheet'!K65-SUM('Data Sheet'!K67:K69),0)</f>
        <v>9895.4799999999959</v>
      </c>
    </row>
    <row r="58" spans="2:13" x14ac:dyDescent="0.3">
      <c r="B58" s="68" t="s">
        <v>109</v>
      </c>
      <c r="C58" s="69"/>
      <c r="D58" s="64">
        <f>IFERROR(SUM(D54:D57),0)</f>
        <v>29047.65</v>
      </c>
      <c r="E58" s="64">
        <f t="shared" ref="E58:M58" si="19">IFERROR(SUM(E54:E57),0)</f>
        <v>31919.189999999995</v>
      </c>
      <c r="F58" s="64">
        <f t="shared" si="19"/>
        <v>39672.04</v>
      </c>
      <c r="G58" s="64">
        <f t="shared" si="19"/>
        <v>40543.75</v>
      </c>
      <c r="H58" s="64">
        <f t="shared" si="19"/>
        <v>44410.54</v>
      </c>
      <c r="I58" s="64">
        <f t="shared" si="19"/>
        <v>43118.289999999994</v>
      </c>
      <c r="J58" s="64">
        <f t="shared" si="19"/>
        <v>45332.840000000004</v>
      </c>
      <c r="K58" s="64">
        <f t="shared" si="19"/>
        <v>52990.05</v>
      </c>
      <c r="L58" s="64">
        <f t="shared" si="19"/>
        <v>53669.479999999996</v>
      </c>
      <c r="M58" s="64">
        <f t="shared" si="19"/>
        <v>57479.519999999997</v>
      </c>
    </row>
    <row r="59" spans="2:13" x14ac:dyDescent="0.3">
      <c r="B59" s="1"/>
    </row>
    <row r="60" spans="2:13" x14ac:dyDescent="0.3">
      <c r="B60" s="6" t="s">
        <v>67</v>
      </c>
      <c r="D60" s="24">
        <f>IFERROR('Data Sheet'!B67,0)</f>
        <v>6775.66</v>
      </c>
      <c r="E60" s="24">
        <f>IFERROR('Data Sheet'!C67,0)</f>
        <v>7202.61</v>
      </c>
      <c r="F60" s="24">
        <f>IFERROR('Data Sheet'!D67,0)</f>
        <v>7815.28</v>
      </c>
      <c r="G60" s="24">
        <f>IFERROR('Data Sheet'!E67,0)</f>
        <v>8884.2000000000007</v>
      </c>
      <c r="H60" s="24">
        <f>IFERROR('Data Sheet'!F67,0)</f>
        <v>9421.24</v>
      </c>
      <c r="I60" s="24">
        <f>IFERROR('Data Sheet'!G67,0)</f>
        <v>9061.4</v>
      </c>
      <c r="J60" s="24">
        <f>IFERROR('Data Sheet'!H67,0)</f>
        <v>10484.59</v>
      </c>
      <c r="K60" s="24">
        <f>IFERROR('Data Sheet'!I67,0)</f>
        <v>11438.51</v>
      </c>
      <c r="L60" s="24">
        <f>IFERROR('Data Sheet'!J67,0)</f>
        <v>11249.37</v>
      </c>
      <c r="M60" s="24">
        <f>IFERROR('Data Sheet'!K67,0)</f>
        <v>13046.11</v>
      </c>
    </row>
    <row r="61" spans="2:13" x14ac:dyDescent="0.3">
      <c r="B61" s="6" t="s">
        <v>43</v>
      </c>
      <c r="D61" s="24">
        <f>IFERROR('Data Sheet'!B68,0)</f>
        <v>6422.54</v>
      </c>
      <c r="E61" s="24">
        <f>IFERROR('Data Sheet'!C68,0)</f>
        <v>6832.81</v>
      </c>
      <c r="F61" s="24">
        <f>IFERROR('Data Sheet'!D68,0)</f>
        <v>6880.69</v>
      </c>
      <c r="G61" s="24">
        <f>IFERROR('Data Sheet'!E68,0)</f>
        <v>7885.98</v>
      </c>
      <c r="H61" s="24">
        <f>IFERROR('Data Sheet'!F68,0)</f>
        <v>7874.99</v>
      </c>
      <c r="I61" s="24">
        <f>IFERROR('Data Sheet'!G68,0)</f>
        <v>8997.02</v>
      </c>
      <c r="J61" s="24">
        <f>IFERROR('Data Sheet'!H68,0)</f>
        <v>8925.1299999999992</v>
      </c>
      <c r="K61" s="24">
        <f>IFERROR('Data Sheet'!I68,0)</f>
        <v>10513.05</v>
      </c>
      <c r="L61" s="24">
        <f>IFERROR('Data Sheet'!J68,0)</f>
        <v>9868.2900000000009</v>
      </c>
      <c r="M61" s="24">
        <f>IFERROR('Data Sheet'!K68,0)</f>
        <v>10243.33</v>
      </c>
    </row>
    <row r="62" spans="2:13" x14ac:dyDescent="0.3">
      <c r="B62" s="4" t="s">
        <v>76</v>
      </c>
      <c r="D62" s="24">
        <f>IFERROR('Data Sheet'!B69,0)</f>
        <v>13181.65</v>
      </c>
      <c r="E62" s="24">
        <f>IFERROR('Data Sheet'!C69,0)</f>
        <v>15140.84</v>
      </c>
      <c r="F62" s="24">
        <f>IFERROR('Data Sheet'!D69,0)</f>
        <v>9929.3799999999992</v>
      </c>
      <c r="G62" s="24">
        <f>IFERROR('Data Sheet'!E69,0)</f>
        <v>7275.6</v>
      </c>
      <c r="H62" s="24">
        <f>IFERROR('Data Sheet'!F69,0)</f>
        <v>6487.55</v>
      </c>
      <c r="I62" s="24">
        <f>IFERROR('Data Sheet'!G69,0)</f>
        <v>6445.51</v>
      </c>
      <c r="J62" s="24">
        <f>IFERROR('Data Sheet'!H69,0)</f>
        <v>5033.3500000000004</v>
      </c>
      <c r="K62" s="24">
        <f>IFERROR('Data Sheet'!I69,0)</f>
        <v>5770.29</v>
      </c>
      <c r="L62" s="24">
        <f>IFERROR('Data Sheet'!J69,0)</f>
        <v>10520.68</v>
      </c>
      <c r="M62" s="24">
        <f>IFERROR('Data Sheet'!K69,0)</f>
        <v>11331.62</v>
      </c>
    </row>
    <row r="63" spans="2:13" x14ac:dyDescent="0.3">
      <c r="B63" s="68" t="s">
        <v>110</v>
      </c>
      <c r="C63" s="69"/>
      <c r="D63" s="64">
        <f>IFERROR(SUM(D60:D62),0)</f>
        <v>26379.85</v>
      </c>
      <c r="E63" s="64">
        <f t="shared" ref="E63:M63" si="20">IFERROR(SUM(E60:E62),0)</f>
        <v>29176.260000000002</v>
      </c>
      <c r="F63" s="64">
        <f t="shared" si="20"/>
        <v>24625.35</v>
      </c>
      <c r="G63" s="64">
        <f t="shared" si="20"/>
        <v>24045.78</v>
      </c>
      <c r="H63" s="64">
        <f t="shared" si="20"/>
        <v>23783.78</v>
      </c>
      <c r="I63" s="64">
        <f t="shared" si="20"/>
        <v>24503.93</v>
      </c>
      <c r="J63" s="64">
        <f t="shared" si="20"/>
        <v>24443.07</v>
      </c>
      <c r="K63" s="64">
        <f t="shared" si="20"/>
        <v>27721.85</v>
      </c>
      <c r="L63" s="64">
        <f t="shared" si="20"/>
        <v>31638.340000000004</v>
      </c>
      <c r="M63" s="64">
        <f t="shared" si="20"/>
        <v>34621.060000000005</v>
      </c>
    </row>
    <row r="65" spans="1:14" ht="15" thickBot="1" x14ac:dyDescent="0.35">
      <c r="B65" s="65" t="s">
        <v>107</v>
      </c>
      <c r="C65" s="66"/>
      <c r="D65" s="67">
        <f>IFERROR(SUM(D63,D58),0)</f>
        <v>55427.5</v>
      </c>
      <c r="E65" s="67">
        <f t="shared" ref="E65:M65" si="21">IFERROR(SUM(E63,E58),0)</f>
        <v>61095.45</v>
      </c>
      <c r="F65" s="67">
        <f t="shared" si="21"/>
        <v>64297.39</v>
      </c>
      <c r="G65" s="67">
        <f t="shared" si="21"/>
        <v>64589.53</v>
      </c>
      <c r="H65" s="67">
        <f t="shared" si="21"/>
        <v>68194.320000000007</v>
      </c>
      <c r="I65" s="67">
        <f t="shared" si="21"/>
        <v>67622.22</v>
      </c>
      <c r="J65" s="67">
        <f t="shared" si="21"/>
        <v>69775.91</v>
      </c>
      <c r="K65" s="67">
        <f t="shared" si="21"/>
        <v>80711.899999999994</v>
      </c>
      <c r="L65" s="67">
        <f t="shared" si="21"/>
        <v>85307.82</v>
      </c>
      <c r="M65" s="67">
        <f t="shared" si="21"/>
        <v>92100.58</v>
      </c>
    </row>
    <row r="67" spans="1:14" x14ac:dyDescent="0.3">
      <c r="B67" s="31" t="s">
        <v>111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83</v>
      </c>
      <c r="B70" s="60" t="s">
        <v>139</v>
      </c>
      <c r="C70" s="60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</row>
    <row r="71" spans="1:14" x14ac:dyDescent="0.3">
      <c r="B71" s="2" t="s">
        <v>140</v>
      </c>
    </row>
    <row r="72" spans="1:14" x14ac:dyDescent="0.3">
      <c r="B72" t="s">
        <v>112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67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43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113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114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115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116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117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62" t="s">
        <v>138</v>
      </c>
      <c r="C80" s="69"/>
      <c r="D80" s="64">
        <f>IFERROR(SUM(D72:D79),0)</f>
        <v>31860</v>
      </c>
      <c r="E80" s="64">
        <f t="shared" ref="E80:M80" si="23">IFERROR(SUM(E72:E79),0)</f>
        <v>39212</v>
      </c>
      <c r="F80" s="64">
        <f t="shared" si="23"/>
        <v>33454</v>
      </c>
      <c r="G80" s="64">
        <f t="shared" si="23"/>
        <v>17423</v>
      </c>
      <c r="H80" s="64">
        <f t="shared" si="23"/>
        <v>11671</v>
      </c>
      <c r="I80" s="64">
        <f t="shared" si="23"/>
        <v>31698</v>
      </c>
      <c r="J80" s="64">
        <f t="shared" si="23"/>
        <v>28907</v>
      </c>
      <c r="K80" s="64">
        <f t="shared" si="23"/>
        <v>3532</v>
      </c>
      <c r="L80" s="64">
        <f t="shared" si="23"/>
        <v>32261</v>
      </c>
      <c r="M80" s="64">
        <f t="shared" si="23"/>
        <v>75241</v>
      </c>
    </row>
    <row r="82" spans="2:13" x14ac:dyDescent="0.3">
      <c r="B82" s="2" t="s">
        <v>141</v>
      </c>
    </row>
    <row r="83" spans="2:13" x14ac:dyDescent="0.3">
      <c r="B83" t="s">
        <v>118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119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120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121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122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123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124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125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126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127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128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62" t="s">
        <v>142</v>
      </c>
      <c r="C94" s="69"/>
      <c r="D94" s="64">
        <f>SUM(D83:D93)</f>
        <v>-36233</v>
      </c>
      <c r="E94" s="64">
        <f t="shared" ref="E94:M94" si="24">SUM(E83:E93)</f>
        <v>-36694</v>
      </c>
      <c r="F94" s="64">
        <f t="shared" si="24"/>
        <v>-39572</v>
      </c>
      <c r="G94" s="64">
        <f t="shared" si="24"/>
        <v>-25140</v>
      </c>
      <c r="H94" s="64">
        <f t="shared" si="24"/>
        <v>-20879</v>
      </c>
      <c r="I94" s="64">
        <f t="shared" si="24"/>
        <v>-33116</v>
      </c>
      <c r="J94" s="64">
        <f t="shared" si="24"/>
        <v>-25671</v>
      </c>
      <c r="K94" s="64">
        <f t="shared" si="24"/>
        <v>-4442</v>
      </c>
      <c r="L94" s="64">
        <f t="shared" si="24"/>
        <v>-15419</v>
      </c>
      <c r="M94" s="64">
        <f t="shared" si="24"/>
        <v>-22780</v>
      </c>
    </row>
    <row r="96" spans="2:13" x14ac:dyDescent="0.3">
      <c r="B96" s="2" t="s">
        <v>143</v>
      </c>
    </row>
    <row r="97" spans="2:13" x14ac:dyDescent="0.3">
      <c r="B97" t="s">
        <v>129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130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131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132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133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134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135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136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62" t="s">
        <v>144</v>
      </c>
      <c r="C105" s="69"/>
      <c r="D105" s="64">
        <f>SUM(D97:D104)</f>
        <v>5203</v>
      </c>
      <c r="E105" s="64">
        <f t="shared" ref="E105:M105" si="25">SUM(E97:E104)</f>
        <v>-3796</v>
      </c>
      <c r="F105" s="64">
        <f t="shared" si="25"/>
        <v>6206</v>
      </c>
      <c r="G105" s="64">
        <f t="shared" si="25"/>
        <v>2011</v>
      </c>
      <c r="H105" s="64">
        <f t="shared" si="25"/>
        <v>8830</v>
      </c>
      <c r="I105" s="64">
        <f t="shared" si="25"/>
        <v>3389</v>
      </c>
      <c r="J105" s="64">
        <f t="shared" si="25"/>
        <v>9905</v>
      </c>
      <c r="K105" s="64">
        <f t="shared" si="25"/>
        <v>-3379</v>
      </c>
      <c r="L105" s="64">
        <f t="shared" si="25"/>
        <v>-26242</v>
      </c>
      <c r="M105" s="64">
        <f t="shared" si="25"/>
        <v>-37006</v>
      </c>
    </row>
    <row r="107" spans="2:13" ht="15" thickBot="1" x14ac:dyDescent="0.35">
      <c r="B107" s="70" t="s">
        <v>34</v>
      </c>
      <c r="C107" s="66"/>
      <c r="D107" s="67">
        <f>IFERROR(D105+D94+D80,0)</f>
        <v>830</v>
      </c>
      <c r="E107" s="67">
        <f t="shared" ref="E107:M107" si="26">IFERROR(E105+E94+E80,0)</f>
        <v>-1278</v>
      </c>
      <c r="F107" s="67">
        <f t="shared" si="26"/>
        <v>88</v>
      </c>
      <c r="G107" s="67">
        <f t="shared" si="26"/>
        <v>-5706</v>
      </c>
      <c r="H107" s="67">
        <f t="shared" si="26"/>
        <v>-378</v>
      </c>
      <c r="I107" s="67">
        <f t="shared" si="26"/>
        <v>1971</v>
      </c>
      <c r="J107" s="67">
        <f t="shared" si="26"/>
        <v>13141</v>
      </c>
      <c r="K107" s="67">
        <f t="shared" si="26"/>
        <v>-4289</v>
      </c>
      <c r="L107" s="67">
        <f t="shared" si="26"/>
        <v>-9400</v>
      </c>
      <c r="M107" s="67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C3" sqref="C3:N33"/>
    </sheetView>
  </sheetViews>
  <sheetFormatPr defaultRowHeight="14.4" x14ac:dyDescent="0.3"/>
  <cols>
    <col min="2" max="2" width="27" customWidth="1"/>
  </cols>
  <sheetData>
    <row r="2" spans="2:14" x14ac:dyDescent="0.3">
      <c r="B2" t="s">
        <v>96</v>
      </c>
      <c r="C2" s="57">
        <v>41334</v>
      </c>
      <c r="D2" s="57">
        <v>41699</v>
      </c>
      <c r="E2" s="57">
        <v>42064</v>
      </c>
      <c r="F2" s="57">
        <v>42430</v>
      </c>
      <c r="G2" s="57">
        <v>42795</v>
      </c>
      <c r="H2" s="57">
        <v>43160</v>
      </c>
      <c r="I2" s="57">
        <v>43525</v>
      </c>
      <c r="J2" s="57">
        <v>43891</v>
      </c>
      <c r="K2" s="57">
        <v>44256</v>
      </c>
      <c r="L2" s="57">
        <v>44621</v>
      </c>
      <c r="M2" s="57">
        <v>44986</v>
      </c>
      <c r="N2" s="57">
        <v>45352</v>
      </c>
    </row>
    <row r="3" spans="2:14" x14ac:dyDescent="0.3">
      <c r="B3" t="s">
        <v>31</v>
      </c>
      <c r="C3" s="58">
        <v>22163</v>
      </c>
      <c r="D3" s="58">
        <v>36151</v>
      </c>
      <c r="E3" s="58">
        <v>35531</v>
      </c>
      <c r="F3" s="58">
        <v>37900</v>
      </c>
      <c r="G3" s="58">
        <v>30199</v>
      </c>
      <c r="H3" s="58">
        <v>23857</v>
      </c>
      <c r="I3" s="58">
        <v>18891</v>
      </c>
      <c r="J3" s="58">
        <v>26633</v>
      </c>
      <c r="K3" s="58">
        <v>29001</v>
      </c>
      <c r="L3" s="58">
        <v>14283</v>
      </c>
      <c r="M3" s="58">
        <v>35388</v>
      </c>
      <c r="N3" s="58">
        <v>67915</v>
      </c>
    </row>
    <row r="4" spans="2:14" x14ac:dyDescent="0.3">
      <c r="B4" t="s">
        <v>112</v>
      </c>
      <c r="C4" s="58">
        <v>24406</v>
      </c>
      <c r="D4" s="58">
        <v>36303</v>
      </c>
      <c r="E4" s="58">
        <v>43397</v>
      </c>
      <c r="F4" s="58">
        <v>38626</v>
      </c>
      <c r="G4" s="58">
        <v>28840</v>
      </c>
      <c r="H4" s="58">
        <v>33312</v>
      </c>
      <c r="I4" s="58">
        <v>28771</v>
      </c>
      <c r="J4" s="58">
        <v>23352</v>
      </c>
      <c r="K4" s="58">
        <v>31198</v>
      </c>
      <c r="L4" s="58">
        <v>26943</v>
      </c>
      <c r="M4" s="58">
        <v>41694</v>
      </c>
      <c r="N4" s="58">
        <v>65106</v>
      </c>
    </row>
    <row r="5" spans="2:14" x14ac:dyDescent="0.3">
      <c r="B5" t="s">
        <v>67</v>
      </c>
      <c r="C5" s="58">
        <v>-5177</v>
      </c>
      <c r="D5" s="59">
        <v>445</v>
      </c>
      <c r="E5" s="58">
        <v>-3179</v>
      </c>
      <c r="F5" s="58">
        <v>-2223</v>
      </c>
      <c r="G5" s="58">
        <v>-4152</v>
      </c>
      <c r="H5" s="58">
        <v>-10688</v>
      </c>
      <c r="I5" s="58">
        <v>-9109</v>
      </c>
      <c r="J5" s="58">
        <v>9950</v>
      </c>
      <c r="K5" s="58">
        <v>-5505</v>
      </c>
      <c r="L5" s="59">
        <v>185</v>
      </c>
      <c r="M5" s="58">
        <v>-2213</v>
      </c>
      <c r="N5" s="58">
        <v>-1875</v>
      </c>
    </row>
    <row r="6" spans="2:14" x14ac:dyDescent="0.3">
      <c r="B6" t="s">
        <v>43</v>
      </c>
      <c r="C6" s="58">
        <v>-2656</v>
      </c>
      <c r="D6" s="58">
        <v>-2853</v>
      </c>
      <c r="E6" s="58">
        <v>-3692</v>
      </c>
      <c r="F6" s="58">
        <v>-5743</v>
      </c>
      <c r="G6" s="58">
        <v>-6621</v>
      </c>
      <c r="H6" s="58">
        <v>-3560</v>
      </c>
      <c r="I6" s="58">
        <v>2069</v>
      </c>
      <c r="J6" s="58">
        <v>2326</v>
      </c>
      <c r="K6" s="58">
        <v>3814</v>
      </c>
      <c r="L6" s="59">
        <v>472</v>
      </c>
      <c r="M6" s="58">
        <v>-5665</v>
      </c>
      <c r="N6" s="58">
        <v>-7265</v>
      </c>
    </row>
    <row r="7" spans="2:14" x14ac:dyDescent="0.3">
      <c r="B7" t="s">
        <v>113</v>
      </c>
      <c r="C7" s="58">
        <v>8132</v>
      </c>
      <c r="D7" s="58">
        <v>4694</v>
      </c>
      <c r="E7" s="58">
        <v>3598</v>
      </c>
      <c r="F7" s="58">
        <v>3947</v>
      </c>
      <c r="G7" s="58">
        <v>9301</v>
      </c>
      <c r="H7" s="58">
        <v>7320</v>
      </c>
      <c r="I7" s="58">
        <v>-4692</v>
      </c>
      <c r="J7" s="58">
        <v>-8085</v>
      </c>
      <c r="K7" s="58">
        <v>5748</v>
      </c>
      <c r="L7" s="58">
        <v>-7012</v>
      </c>
      <c r="M7" s="58">
        <v>6945</v>
      </c>
      <c r="N7" s="58">
        <v>13706</v>
      </c>
    </row>
    <row r="8" spans="2:14" x14ac:dyDescent="0.3">
      <c r="B8" t="s">
        <v>114</v>
      </c>
      <c r="C8" s="59">
        <v>0</v>
      </c>
      <c r="D8" s="59">
        <v>0</v>
      </c>
      <c r="E8" s="59">
        <v>0</v>
      </c>
      <c r="F8" s="59">
        <v>-520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</row>
    <row r="9" spans="2:14" x14ac:dyDescent="0.3">
      <c r="B9" t="s">
        <v>115</v>
      </c>
      <c r="C9" s="59">
        <v>-303</v>
      </c>
      <c r="D9" s="58">
        <v>1870</v>
      </c>
      <c r="E9" s="59">
        <v>-398</v>
      </c>
      <c r="F9" s="58">
        <v>5852</v>
      </c>
      <c r="G9" s="58">
        <v>4727</v>
      </c>
      <c r="H9" s="59">
        <v>494</v>
      </c>
      <c r="I9" s="58">
        <v>4512</v>
      </c>
      <c r="J9" s="59">
        <v>875</v>
      </c>
      <c r="K9" s="58">
        <v>-4150</v>
      </c>
      <c r="L9" s="58">
        <v>-4396</v>
      </c>
      <c r="M9" s="58">
        <v>-2194</v>
      </c>
      <c r="N9" s="58">
        <v>2760</v>
      </c>
    </row>
    <row r="10" spans="2:14" x14ac:dyDescent="0.3">
      <c r="B10" t="s">
        <v>116</v>
      </c>
      <c r="C10" s="59">
        <v>-3</v>
      </c>
      <c r="D10" s="58">
        <v>4157</v>
      </c>
      <c r="E10" s="58">
        <v>-3672</v>
      </c>
      <c r="F10" s="58">
        <v>1313</v>
      </c>
      <c r="G10" s="58">
        <v>3254</v>
      </c>
      <c r="H10" s="58">
        <v>-6434</v>
      </c>
      <c r="I10" s="58">
        <v>-7221</v>
      </c>
      <c r="J10" s="58">
        <v>5065</v>
      </c>
      <c r="K10" s="59">
        <v>-93</v>
      </c>
      <c r="L10" s="58">
        <v>-10750</v>
      </c>
      <c r="M10" s="58">
        <v>-3127</v>
      </c>
      <c r="N10" s="58">
        <v>7325</v>
      </c>
    </row>
    <row r="11" spans="2:14" x14ac:dyDescent="0.3">
      <c r="B11" t="s">
        <v>117</v>
      </c>
      <c r="C11" s="58">
        <v>-2240</v>
      </c>
      <c r="D11" s="58">
        <v>-4308</v>
      </c>
      <c r="E11" s="58">
        <v>-4194</v>
      </c>
      <c r="F11" s="58">
        <v>-2040</v>
      </c>
      <c r="G11" s="58">
        <v>-1895</v>
      </c>
      <c r="H11" s="58">
        <v>-3021</v>
      </c>
      <c r="I11" s="58">
        <v>-2659</v>
      </c>
      <c r="J11" s="58">
        <v>-1785</v>
      </c>
      <c r="K11" s="58">
        <v>-2105</v>
      </c>
      <c r="L11" s="58">
        <v>-1910</v>
      </c>
      <c r="M11" s="58">
        <v>-3179</v>
      </c>
      <c r="N11" s="58">
        <v>-4516</v>
      </c>
    </row>
    <row r="12" spans="2:14" x14ac:dyDescent="0.3">
      <c r="B12" t="s">
        <v>32</v>
      </c>
      <c r="C12" s="58">
        <v>-22969</v>
      </c>
      <c r="D12" s="58">
        <v>-27991</v>
      </c>
      <c r="E12" s="58">
        <v>-36232</v>
      </c>
      <c r="F12" s="58">
        <v>-36694</v>
      </c>
      <c r="G12" s="58">
        <v>-39571</v>
      </c>
      <c r="H12" s="58">
        <v>-25139</v>
      </c>
      <c r="I12" s="58">
        <v>-20878</v>
      </c>
      <c r="J12" s="58">
        <v>-33115</v>
      </c>
      <c r="K12" s="58">
        <v>-25672</v>
      </c>
      <c r="L12" s="58">
        <v>-4444</v>
      </c>
      <c r="M12" s="58">
        <v>-15417</v>
      </c>
      <c r="N12" s="58">
        <v>-22782</v>
      </c>
    </row>
    <row r="13" spans="2:14" x14ac:dyDescent="0.3">
      <c r="B13" t="s">
        <v>118</v>
      </c>
      <c r="C13" s="58">
        <v>-18863</v>
      </c>
      <c r="D13" s="58">
        <v>-26975</v>
      </c>
      <c r="E13" s="58">
        <v>-31962</v>
      </c>
      <c r="F13" s="58">
        <v>-31503</v>
      </c>
      <c r="G13" s="58">
        <v>-16072</v>
      </c>
      <c r="H13" s="58">
        <v>-35079</v>
      </c>
      <c r="I13" s="58">
        <v>-35304</v>
      </c>
      <c r="J13" s="58">
        <v>-29702</v>
      </c>
      <c r="K13" s="58">
        <v>-20205</v>
      </c>
      <c r="L13" s="58">
        <v>-15168</v>
      </c>
      <c r="M13" s="58">
        <v>-19230</v>
      </c>
      <c r="N13" s="58">
        <v>-31414</v>
      </c>
    </row>
    <row r="14" spans="2:14" x14ac:dyDescent="0.3">
      <c r="B14" t="s">
        <v>119</v>
      </c>
      <c r="C14" s="59">
        <v>37</v>
      </c>
      <c r="D14" s="59">
        <v>50</v>
      </c>
      <c r="E14" s="59">
        <v>74</v>
      </c>
      <c r="F14" s="59">
        <v>59</v>
      </c>
      <c r="G14" s="59">
        <v>53</v>
      </c>
      <c r="H14" s="59">
        <v>30</v>
      </c>
      <c r="I14" s="59">
        <v>67</v>
      </c>
      <c r="J14" s="59">
        <v>171</v>
      </c>
      <c r="K14" s="59">
        <v>351</v>
      </c>
      <c r="L14" s="59">
        <v>230</v>
      </c>
      <c r="M14" s="59">
        <v>285</v>
      </c>
      <c r="N14" s="59">
        <v>231</v>
      </c>
    </row>
    <row r="15" spans="2:14" x14ac:dyDescent="0.3">
      <c r="B15" t="s">
        <v>120</v>
      </c>
      <c r="C15" s="59">
        <v>73</v>
      </c>
      <c r="D15" s="59">
        <v>-429</v>
      </c>
      <c r="E15" s="58">
        <v>-5461</v>
      </c>
      <c r="F15" s="58">
        <v>-4728</v>
      </c>
      <c r="G15" s="59">
        <v>-6</v>
      </c>
      <c r="H15" s="59">
        <v>-329</v>
      </c>
      <c r="I15" s="59">
        <v>-130</v>
      </c>
      <c r="J15" s="58">
        <v>-1439</v>
      </c>
      <c r="K15" s="58">
        <v>-7530</v>
      </c>
      <c r="L15" s="58">
        <v>-3008</v>
      </c>
      <c r="M15" s="59">
        <v>-50</v>
      </c>
      <c r="N15" s="59">
        <v>-74</v>
      </c>
    </row>
    <row r="16" spans="2:14" x14ac:dyDescent="0.3">
      <c r="B16" t="s">
        <v>121</v>
      </c>
      <c r="C16" s="59">
        <v>34</v>
      </c>
      <c r="D16" s="59">
        <v>4</v>
      </c>
      <c r="E16" s="59">
        <v>42</v>
      </c>
      <c r="F16" s="59">
        <v>89</v>
      </c>
      <c r="G16" s="58">
        <v>1965</v>
      </c>
      <c r="H16" s="58">
        <v>2381</v>
      </c>
      <c r="I16" s="58">
        <v>5644</v>
      </c>
      <c r="J16" s="59">
        <v>21</v>
      </c>
      <c r="K16" s="59">
        <v>226</v>
      </c>
      <c r="L16" s="59">
        <v>104</v>
      </c>
      <c r="M16" s="58">
        <v>6895</v>
      </c>
      <c r="N16" s="58">
        <v>10820</v>
      </c>
    </row>
    <row r="17" spans="2:14" x14ac:dyDescent="0.3">
      <c r="B17" t="s">
        <v>122</v>
      </c>
      <c r="C17" s="59">
        <v>713</v>
      </c>
      <c r="D17" s="59">
        <v>653</v>
      </c>
      <c r="E17" s="59">
        <v>698</v>
      </c>
      <c r="F17" s="59">
        <v>731</v>
      </c>
      <c r="G17" s="59">
        <v>638</v>
      </c>
      <c r="H17" s="59">
        <v>690</v>
      </c>
      <c r="I17" s="59">
        <v>761</v>
      </c>
      <c r="J17" s="58">
        <v>1104</v>
      </c>
      <c r="K17" s="59">
        <v>428</v>
      </c>
      <c r="L17" s="59">
        <v>653</v>
      </c>
      <c r="M17" s="59">
        <v>973</v>
      </c>
      <c r="N17" s="58">
        <v>2493</v>
      </c>
    </row>
    <row r="18" spans="2:14" x14ac:dyDescent="0.3">
      <c r="B18" t="s">
        <v>123</v>
      </c>
      <c r="C18" s="59">
        <v>95</v>
      </c>
      <c r="D18" s="59">
        <v>40</v>
      </c>
      <c r="E18" s="59">
        <v>80</v>
      </c>
      <c r="F18" s="59">
        <v>58</v>
      </c>
      <c r="G18" s="59">
        <v>620</v>
      </c>
      <c r="H18" s="58">
        <v>1797</v>
      </c>
      <c r="I18" s="59">
        <v>232</v>
      </c>
      <c r="J18" s="59">
        <v>21</v>
      </c>
      <c r="K18" s="59">
        <v>18</v>
      </c>
      <c r="L18" s="59">
        <v>32</v>
      </c>
      <c r="M18" s="59">
        <v>46</v>
      </c>
      <c r="N18" s="59">
        <v>47</v>
      </c>
    </row>
    <row r="19" spans="2:14" x14ac:dyDescent="0.3">
      <c r="B19" t="s">
        <v>124</v>
      </c>
      <c r="C19" s="59">
        <v>0</v>
      </c>
      <c r="D19" s="59">
        <v>0</v>
      </c>
      <c r="E19" s="59">
        <v>-160</v>
      </c>
      <c r="F19" s="59">
        <v>0</v>
      </c>
      <c r="G19" s="59">
        <v>-107</v>
      </c>
      <c r="H19" s="59">
        <v>-4</v>
      </c>
      <c r="I19" s="59">
        <v>-9</v>
      </c>
      <c r="J19" s="59">
        <v>-606</v>
      </c>
      <c r="K19" s="59">
        <v>-10</v>
      </c>
      <c r="L19" s="59">
        <v>0</v>
      </c>
      <c r="M19" s="59">
        <v>0</v>
      </c>
      <c r="N19" s="59">
        <v>-150</v>
      </c>
    </row>
    <row r="20" spans="2:14" x14ac:dyDescent="0.3">
      <c r="B20" t="s">
        <v>125</v>
      </c>
      <c r="C20" s="59">
        <v>0</v>
      </c>
      <c r="D20" s="59">
        <v>0</v>
      </c>
      <c r="E20" s="59">
        <v>0</v>
      </c>
      <c r="F20" s="59">
        <v>0</v>
      </c>
      <c r="G20" s="59">
        <v>0</v>
      </c>
      <c r="H20" s="59">
        <v>14</v>
      </c>
      <c r="I20" s="59">
        <v>533</v>
      </c>
      <c r="J20" s="59">
        <v>0</v>
      </c>
      <c r="K20" s="59">
        <v>0</v>
      </c>
      <c r="L20" s="59">
        <v>0</v>
      </c>
      <c r="M20" s="59">
        <v>19</v>
      </c>
      <c r="N20" s="59">
        <v>108</v>
      </c>
    </row>
    <row r="21" spans="2:14" x14ac:dyDescent="0.3">
      <c r="B21" t="s">
        <v>126</v>
      </c>
      <c r="C21" s="59">
        <v>0</v>
      </c>
      <c r="D21" s="59">
        <v>-185</v>
      </c>
      <c r="E21" s="59">
        <v>0</v>
      </c>
      <c r="F21" s="59">
        <v>-111</v>
      </c>
      <c r="G21" s="59">
        <v>0</v>
      </c>
      <c r="H21" s="59">
        <v>0</v>
      </c>
      <c r="I21" s="59">
        <v>-8</v>
      </c>
      <c r="J21" s="59">
        <v>-27</v>
      </c>
      <c r="K21" s="59">
        <v>0</v>
      </c>
      <c r="L21" s="59">
        <v>-98</v>
      </c>
      <c r="M21" s="59">
        <v>0</v>
      </c>
      <c r="N21" s="59">
        <v>0</v>
      </c>
    </row>
    <row r="22" spans="2:14" x14ac:dyDescent="0.3">
      <c r="B22" t="s">
        <v>127</v>
      </c>
      <c r="C22" s="59">
        <v>45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-24</v>
      </c>
    </row>
    <row r="23" spans="2:14" x14ac:dyDescent="0.3">
      <c r="B23" t="s">
        <v>128</v>
      </c>
      <c r="C23" s="58">
        <v>-5103</v>
      </c>
      <c r="D23" s="58">
        <v>-1149</v>
      </c>
      <c r="E23" s="59">
        <v>456</v>
      </c>
      <c r="F23" s="58">
        <v>-1289</v>
      </c>
      <c r="G23" s="58">
        <v>-26663</v>
      </c>
      <c r="H23" s="58">
        <v>5360</v>
      </c>
      <c r="I23" s="58">
        <v>7335</v>
      </c>
      <c r="J23" s="58">
        <v>-2659</v>
      </c>
      <c r="K23" s="58">
        <v>1051</v>
      </c>
      <c r="L23" s="58">
        <v>12813</v>
      </c>
      <c r="M23" s="58">
        <v>-4357</v>
      </c>
      <c r="N23" s="58">
        <v>-4817</v>
      </c>
    </row>
    <row r="24" spans="2:14" x14ac:dyDescent="0.3">
      <c r="B24" t="s">
        <v>33</v>
      </c>
      <c r="C24" s="58">
        <v>-1692</v>
      </c>
      <c r="D24" s="58">
        <v>-3883</v>
      </c>
      <c r="E24" s="58">
        <v>5201</v>
      </c>
      <c r="F24" s="58">
        <v>-3795</v>
      </c>
      <c r="G24" s="58">
        <v>6205</v>
      </c>
      <c r="H24" s="58">
        <v>2012</v>
      </c>
      <c r="I24" s="58">
        <v>8830</v>
      </c>
      <c r="J24" s="58">
        <v>3390</v>
      </c>
      <c r="K24" s="58">
        <v>9904</v>
      </c>
      <c r="L24" s="58">
        <v>-3380</v>
      </c>
      <c r="M24" s="58">
        <v>-26243</v>
      </c>
      <c r="N24" s="58">
        <v>-37006</v>
      </c>
    </row>
    <row r="25" spans="2:14" x14ac:dyDescent="0.3">
      <c r="B25" t="s">
        <v>129</v>
      </c>
      <c r="C25" s="59">
        <v>1</v>
      </c>
      <c r="D25" s="59">
        <v>0</v>
      </c>
      <c r="E25" s="59">
        <v>0</v>
      </c>
      <c r="F25" s="58">
        <v>7433</v>
      </c>
      <c r="G25" s="59">
        <v>5</v>
      </c>
      <c r="H25" s="59">
        <v>0</v>
      </c>
      <c r="I25" s="59">
        <v>0</v>
      </c>
      <c r="J25" s="58">
        <v>3889</v>
      </c>
      <c r="K25" s="58">
        <v>2603</v>
      </c>
      <c r="L25" s="59">
        <v>19</v>
      </c>
      <c r="M25" s="59">
        <v>20</v>
      </c>
      <c r="N25" s="59">
        <v>82</v>
      </c>
    </row>
    <row r="26" spans="2:14" x14ac:dyDescent="0.3">
      <c r="B26" t="s">
        <v>130</v>
      </c>
      <c r="C26" s="59">
        <v>-97</v>
      </c>
      <c r="D26" s="59">
        <v>-658</v>
      </c>
      <c r="E26" s="59">
        <v>-744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</row>
    <row r="27" spans="2:14" x14ac:dyDescent="0.3">
      <c r="B27" t="s">
        <v>131</v>
      </c>
      <c r="C27" s="58">
        <v>27863</v>
      </c>
      <c r="D27" s="58">
        <v>33258</v>
      </c>
      <c r="E27" s="58">
        <v>36363</v>
      </c>
      <c r="F27" s="58">
        <v>19519</v>
      </c>
      <c r="G27" s="58">
        <v>33390</v>
      </c>
      <c r="H27" s="58">
        <v>37482</v>
      </c>
      <c r="I27" s="58">
        <v>51128</v>
      </c>
      <c r="J27" s="58">
        <v>38297</v>
      </c>
      <c r="K27" s="58">
        <v>46641</v>
      </c>
      <c r="L27" s="58">
        <v>46578</v>
      </c>
      <c r="M27" s="58">
        <v>43934</v>
      </c>
      <c r="N27" s="58">
        <v>18747</v>
      </c>
    </row>
    <row r="28" spans="2:14" x14ac:dyDescent="0.3">
      <c r="B28" t="s">
        <v>132</v>
      </c>
      <c r="C28" s="58">
        <v>-20395</v>
      </c>
      <c r="D28" s="58">
        <v>-29141</v>
      </c>
      <c r="E28" s="58">
        <v>-23332</v>
      </c>
      <c r="F28" s="58">
        <v>-24924</v>
      </c>
      <c r="G28" s="58">
        <v>-21732</v>
      </c>
      <c r="H28" s="58">
        <v>-29964</v>
      </c>
      <c r="I28" s="58">
        <v>-35198</v>
      </c>
      <c r="J28" s="58">
        <v>-29847</v>
      </c>
      <c r="K28" s="58">
        <v>-29709</v>
      </c>
      <c r="L28" s="58">
        <v>-42816</v>
      </c>
      <c r="M28" s="58">
        <v>-62557</v>
      </c>
      <c r="N28" s="58">
        <v>-47332</v>
      </c>
    </row>
    <row r="29" spans="2:14" x14ac:dyDescent="0.3">
      <c r="B29" t="s">
        <v>133</v>
      </c>
      <c r="C29" s="58">
        <v>-4666</v>
      </c>
      <c r="D29" s="58">
        <v>-6171</v>
      </c>
      <c r="E29" s="58">
        <v>-6307</v>
      </c>
      <c r="F29" s="58">
        <v>-5716</v>
      </c>
      <c r="G29" s="58">
        <v>-5336</v>
      </c>
      <c r="H29" s="58">
        <v>-5411</v>
      </c>
      <c r="I29" s="58">
        <v>-7005</v>
      </c>
      <c r="J29" s="58">
        <v>-7518</v>
      </c>
      <c r="K29" s="58">
        <v>-8123</v>
      </c>
      <c r="L29" s="58">
        <v>-9251</v>
      </c>
      <c r="M29" s="58">
        <v>-9336</v>
      </c>
      <c r="N29" s="58">
        <v>-9332</v>
      </c>
    </row>
    <row r="30" spans="2:14" x14ac:dyDescent="0.3">
      <c r="B30" t="s">
        <v>134</v>
      </c>
      <c r="C30" s="58">
        <v>-1551</v>
      </c>
      <c r="D30" s="59">
        <v>-722</v>
      </c>
      <c r="E30" s="59">
        <v>-720</v>
      </c>
      <c r="F30" s="59">
        <v>-108</v>
      </c>
      <c r="G30" s="59">
        <v>-121</v>
      </c>
      <c r="H30" s="59">
        <v>-96</v>
      </c>
      <c r="I30" s="59">
        <v>-95</v>
      </c>
      <c r="J30" s="59">
        <v>-57</v>
      </c>
      <c r="K30" s="59">
        <v>-30</v>
      </c>
      <c r="L30" s="59">
        <v>-100</v>
      </c>
      <c r="M30" s="59">
        <v>-141</v>
      </c>
      <c r="N30" s="58">
        <v>-1059</v>
      </c>
    </row>
    <row r="31" spans="2:14" x14ac:dyDescent="0.3">
      <c r="B31" t="s">
        <v>135</v>
      </c>
      <c r="C31" s="59">
        <v>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>
        <v>0</v>
      </c>
      <c r="J31" s="58">
        <v>-1346</v>
      </c>
      <c r="K31" s="58">
        <v>-1477</v>
      </c>
      <c r="L31" s="58">
        <v>-1559</v>
      </c>
      <c r="M31" s="58">
        <v>-1517</v>
      </c>
      <c r="N31" s="58">
        <v>-1924</v>
      </c>
    </row>
    <row r="32" spans="2:14" x14ac:dyDescent="0.3">
      <c r="B32" t="s">
        <v>136</v>
      </c>
      <c r="C32" s="58">
        <v>-2849</v>
      </c>
      <c r="D32" s="59">
        <v>-450</v>
      </c>
      <c r="E32" s="59">
        <v>-57</v>
      </c>
      <c r="F32" s="59">
        <v>0</v>
      </c>
      <c r="G32" s="59">
        <v>0</v>
      </c>
      <c r="H32" s="59">
        <v>0</v>
      </c>
      <c r="I32" s="59">
        <v>0</v>
      </c>
      <c r="J32" s="59">
        <v>-29</v>
      </c>
      <c r="K32" s="59">
        <v>0</v>
      </c>
      <c r="L32" s="58">
        <v>3750</v>
      </c>
      <c r="M32" s="58">
        <v>3355</v>
      </c>
      <c r="N32" s="58">
        <v>3812</v>
      </c>
    </row>
    <row r="33" spans="2:14" x14ac:dyDescent="0.3">
      <c r="B33" t="s">
        <v>137</v>
      </c>
      <c r="C33" s="58">
        <v>-2499</v>
      </c>
      <c r="D33" s="58">
        <v>4277</v>
      </c>
      <c r="E33" s="58">
        <v>4500</v>
      </c>
      <c r="F33" s="58">
        <v>-2589</v>
      </c>
      <c r="G33" s="58">
        <v>-3167</v>
      </c>
      <c r="H33" s="59">
        <v>730</v>
      </c>
      <c r="I33" s="58">
        <v>6843</v>
      </c>
      <c r="J33" s="58">
        <v>-3092</v>
      </c>
      <c r="K33" s="58">
        <v>13232</v>
      </c>
      <c r="L33" s="58">
        <v>6459</v>
      </c>
      <c r="M33" s="58">
        <v>-6272</v>
      </c>
      <c r="N33" s="58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workbookViewId="0">
      <pane ySplit="3" topLeftCell="A4" activePane="bottomLeft" state="frozen"/>
      <selection pane="bottomLeft" activeCell="B38" sqref="B38:M40"/>
    </sheetView>
  </sheetViews>
  <sheetFormatPr defaultRowHeight="14.4" x14ac:dyDescent="0.3"/>
  <cols>
    <col min="1" max="1" width="1.88671875" customWidth="1"/>
    <col min="2" max="2" width="16.77734375" customWidth="1"/>
    <col min="4" max="9" width="9" bestFit="1" customWidth="1"/>
    <col min="10" max="10" width="9.6640625" bestFit="1" customWidth="1"/>
    <col min="11" max="11" width="9.77734375" customWidth="1"/>
    <col min="12" max="13" width="9" bestFit="1" customWidth="1"/>
    <col min="14" max="14" width="14.109375" customWidth="1"/>
  </cols>
  <sheetData>
    <row r="2" spans="2:16" x14ac:dyDescent="0.3">
      <c r="B2" s="74" t="str">
        <f>"Ratio Analysis of - "&amp;'Data Sheet'!B1</f>
        <v>Ratio Analysis of - SUN PHARMACEUTICAL INDUSTRIES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2:16" x14ac:dyDescent="0.3">
      <c r="B3" s="21" t="s">
        <v>80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175</v>
      </c>
      <c r="O3" s="38" t="s">
        <v>173</v>
      </c>
      <c r="P3" s="38" t="s">
        <v>174</v>
      </c>
    </row>
    <row r="5" spans="2:16" x14ac:dyDescent="0.3">
      <c r="B5" s="47" t="s">
        <v>21</v>
      </c>
      <c r="C5" s="47"/>
      <c r="D5" s="47"/>
      <c r="E5" s="48">
        <f>IFERROR('Historical FS'!E6,0)</f>
        <v>0.10851991239521985</v>
      </c>
      <c r="F5" s="48">
        <f>IFERROR('Historical FS'!F6,0)</f>
        <v>-0.16115362253486876</v>
      </c>
      <c r="G5" s="48">
        <f>IFERROR('Historical FS'!G6,0)</f>
        <v>9.7263213368637969E-2</v>
      </c>
      <c r="H5" s="48">
        <f>IFERROR('Historical FS'!H6,0)</f>
        <v>0.12975991462163061</v>
      </c>
      <c r="I5" s="48">
        <f>IFERROR('Historical FS'!I6,0)</f>
        <v>2.0118462124095959E-2</v>
      </c>
      <c r="J5" s="48">
        <f>IFERROR('Historical FS'!J6,0)</f>
        <v>0.15392944205260339</v>
      </c>
      <c r="K5" s="48">
        <f>IFERROR('Historical FS'!K6,0)</f>
        <v>0.1353320144697292</v>
      </c>
      <c r="L5" s="48">
        <f>IFERROR('Historical FS'!L6,0)</f>
        <v>0.10507231516066295</v>
      </c>
      <c r="M5" s="48">
        <f>IFERROR('Historical FS'!M6,0)</f>
        <v>8.4161961034582733E-2</v>
      </c>
      <c r="N5" s="32"/>
      <c r="O5" s="32">
        <f>IFERROR(AVERAGE(E5:M5),0)</f>
        <v>7.4778179188032659E-2</v>
      </c>
      <c r="P5" s="5">
        <f>IFERROR(MEDIAN(E5:M5),0)</f>
        <v>0.10507231516066295</v>
      </c>
    </row>
    <row r="6" spans="2:16" x14ac:dyDescent="0.3">
      <c r="B6" t="s">
        <v>146</v>
      </c>
      <c r="E6" s="33">
        <f>IFERROR('Historical FS'!E17/'Historical FS'!D17-1,0)</f>
        <v>0.23588739769265565</v>
      </c>
      <c r="F6" s="33">
        <f>IFERROR('Historical FS'!F17/'Historical FS'!E17-1,0)</f>
        <v>-0.44254515433546937</v>
      </c>
      <c r="G6" s="33">
        <f>IFERROR('Historical FS'!G17/'Historical FS'!F17-1,0)</f>
        <v>0.13239289557518386</v>
      </c>
      <c r="H6" s="33">
        <f>IFERROR('Historical FS'!H17/'Historical FS'!G17-1,0)</f>
        <v>9.5007354578499514E-2</v>
      </c>
      <c r="I6" s="33">
        <f>IFERROR('Historical FS'!I17/'Historical FS'!H17-1,0)</f>
        <v>0.21296778960995777</v>
      </c>
      <c r="J6" s="33">
        <f>IFERROR('Historical FS'!J17/'Historical FS'!I17-1,0)</f>
        <v>0.21105294476006931</v>
      </c>
      <c r="K6" s="33">
        <f>IFERROR('Historical FS'!K17/'Historical FS'!J17-1,0)</f>
        <v>0.13578947060561197</v>
      </c>
      <c r="L6" s="33">
        <f>IFERROR('Historical FS'!L17/'Historical FS'!K17-1,0)</f>
        <v>0.11736294938216862</v>
      </c>
      <c r="M6" s="33">
        <f>IFERROR('Historical FS'!M17/'Historical FS'!L17-1,0)</f>
        <v>0.17314179003009023</v>
      </c>
      <c r="N6" s="32"/>
      <c r="O6" s="32">
        <f t="shared" ref="O6:O9" si="0">IFERROR(AVERAGE(E6:M6),0)</f>
        <v>9.6784159766529723E-2</v>
      </c>
      <c r="P6" s="5">
        <f t="shared" ref="P6:P9" si="1">IFERROR(MEDIAN(E6:M6),0)</f>
        <v>0.13578947060561197</v>
      </c>
    </row>
    <row r="7" spans="2:16" x14ac:dyDescent="0.3">
      <c r="B7" t="s">
        <v>171</v>
      </c>
      <c r="E7" s="33">
        <f>IFERROR('Historical FS'!E27/'Historical FS'!D27-1,0)</f>
        <v>0.27586634468096016</v>
      </c>
      <c r="F7" s="33">
        <f>IFERROR('Historical FS'!F27/'Historical FS'!E27-1,0)</f>
        <v>-0.57167136594263424</v>
      </c>
      <c r="G7" s="33">
        <f>IFERROR('Historical FS'!G27/'Historical FS'!F27-1,0)</f>
        <v>0.12575228070757993</v>
      </c>
      <c r="H7" s="33">
        <f>IFERROR('Historical FS'!H27/'Historical FS'!G27-1,0)</f>
        <v>0.13736088170520677</v>
      </c>
      <c r="I7" s="33">
        <f>IFERROR('Historical FS'!I27/'Historical FS'!H27-1,0)</f>
        <v>0.35036403282238338</v>
      </c>
      <c r="J7" s="33">
        <f>IFERROR('Historical FS'!J27/'Historical FS'!I27-1,0)</f>
        <v>0.27812719049768053</v>
      </c>
      <c r="K7" s="33">
        <f>IFERROR('Historical FS'!K27/'Historical FS'!J27-1,0)</f>
        <v>0.12051992867946915</v>
      </c>
      <c r="L7" s="33">
        <f>IFERROR('Historical FS'!L27/'Historical FS'!K27-1,0)</f>
        <v>0.14232300556150834</v>
      </c>
      <c r="M7" s="33">
        <f>IFERROR('Historical FS'!M27/'Historical FS'!L27-1,0)</f>
        <v>0.21934408461202914</v>
      </c>
      <c r="N7" s="32"/>
      <c r="O7" s="32">
        <f t="shared" si="0"/>
        <v>0.11977626481379813</v>
      </c>
      <c r="P7" s="5">
        <f t="shared" si="1"/>
        <v>0.14232300556150834</v>
      </c>
    </row>
    <row r="8" spans="2:16" x14ac:dyDescent="0.3">
      <c r="B8" t="s">
        <v>147</v>
      </c>
      <c r="E8" s="33">
        <f>IFERROR('Historical FS'!E33/'Historical FS'!D33-1,0)</f>
        <v>0.26784410881221743</v>
      </c>
      <c r="F8" s="33">
        <f>IFERROR('Historical FS'!F33/'Historical FS'!E33-1,0)</f>
        <v>-0.62593310175895023</v>
      </c>
      <c r="G8" s="33">
        <f>IFERROR('Historical FS'!G33/'Historical FS'!F33-1,0)</f>
        <v>0.28288512266136911</v>
      </c>
      <c r="H8" s="33">
        <f>IFERROR('Historical FS'!H33/'Historical FS'!G33-1,0)</f>
        <v>9.7165186295997019E-2</v>
      </c>
      <c r="I8" s="33">
        <f>IFERROR('Historical FS'!I33/'Historical FS'!H33-1,0)</f>
        <v>0.50712177325451457</v>
      </c>
      <c r="J8" s="33">
        <f>IFERROR('Historical FS'!J33/'Historical FS'!I33-1,0)</f>
        <v>0.2052864634654652</v>
      </c>
      <c r="K8" s="33">
        <f>IFERROR('Historical FS'!K33/'Historical FS'!J33-1,0)</f>
        <v>0.17225342860202275</v>
      </c>
      <c r="L8" s="33">
        <f>IFERROR('Historical FS'!L33/'Historical FS'!K33-1,0)</f>
        <v>8.4156851514918696E-2</v>
      </c>
      <c r="M8" s="33">
        <f>IFERROR('Historical FS'!M33/'Historical FS'!L33-1,0)</f>
        <v>0.1035726118355369</v>
      </c>
      <c r="N8" s="32"/>
      <c r="O8" s="32">
        <f t="shared" si="0"/>
        <v>0.12159471607589906</v>
      </c>
      <c r="P8" s="5">
        <f t="shared" si="1"/>
        <v>0.17225342860202275</v>
      </c>
    </row>
    <row r="9" spans="2:16" x14ac:dyDescent="0.3">
      <c r="B9" s="49" t="s">
        <v>148</v>
      </c>
      <c r="C9" s="49"/>
      <c r="D9" s="49"/>
      <c r="E9" s="50">
        <f>IFERROR('Historical FS'!E41/'Historical FS'!D41-1,0)</f>
        <v>2.5001662736689285</v>
      </c>
      <c r="F9" s="50">
        <f>IFERROR('Historical FS'!F41/'Historical FS'!E41-1,0)</f>
        <v>-0.42857483090406778</v>
      </c>
      <c r="G9" s="50">
        <f>IFERROR('Historical FS'!G41/'Historical FS'!F41-1,0)</f>
        <v>0.37500520985287356</v>
      </c>
      <c r="H9" s="50">
        <f>IFERROR('Historical FS'!H41/'Historical FS'!G41-1,0)</f>
        <v>0.45453994331701564</v>
      </c>
      <c r="I9" s="50">
        <f>IFERROR('Historical FS'!I41/'Historical FS'!H41-1,0)</f>
        <v>0.87500520985287378</v>
      </c>
      <c r="J9" s="50">
        <f>IFERROR('Historical FS'!J41/'Historical FS'!I41-1,0)</f>
        <v>0.33332962855936166</v>
      </c>
      <c r="K9" s="50">
        <f>IFERROR('Historical FS'!K41/'Historical FS'!J41-1,0)</f>
        <v>0.15000208394114933</v>
      </c>
      <c r="L9" s="50">
        <f>IFERROR('Historical FS'!L41/'Historical FS'!K41-1,0)</f>
        <v>0.1739127283270514</v>
      </c>
      <c r="M9" s="50">
        <f>IFERROR('Historical FS'!M41/'Historical FS'!L41-1,0)</f>
        <v>0.18518335566491517</v>
      </c>
      <c r="N9" s="32"/>
      <c r="O9" s="32">
        <f t="shared" si="0"/>
        <v>0.51317440025334471</v>
      </c>
      <c r="P9" s="5">
        <f t="shared" si="1"/>
        <v>0.33332962855936166</v>
      </c>
    </row>
    <row r="11" spans="2:16" x14ac:dyDescent="0.3">
      <c r="B11" s="47" t="s">
        <v>145</v>
      </c>
      <c r="C11" s="47"/>
      <c r="D11" s="48">
        <f>IFERROR('Historical FS'!D12,0)</f>
        <v>0.52762081550796969</v>
      </c>
      <c r="E11" s="48">
        <f>IFERROR('Historical FS'!E12,0)</f>
        <v>0.50815841441185816</v>
      </c>
      <c r="F11" s="48">
        <f>IFERROR('Historical FS'!F12,0)</f>
        <v>0.42693999802185473</v>
      </c>
      <c r="G11" s="48">
        <f>IFERROR('Historical FS'!G12,0)</f>
        <v>0.4380230999132661</v>
      </c>
      <c r="H11" s="48">
        <f>IFERROR('Historical FS'!H12,0)</f>
        <v>0.45474868671488394</v>
      </c>
      <c r="I11" s="48">
        <f>IFERROR('Historical FS'!I12,0)</f>
        <v>0.46554704231339411</v>
      </c>
      <c r="J11" s="48">
        <f>IFERROR('Historical FS'!J12,0)</f>
        <v>0.4764939338224356</v>
      </c>
      <c r="K11" s="48">
        <f>IFERROR('Historical FS'!K12,0)</f>
        <v>0.50496357809654546</v>
      </c>
      <c r="L11" s="48">
        <f>IFERROR('Historical FS'!L12,0)</f>
        <v>0.52493677424410035</v>
      </c>
      <c r="M11" s="48">
        <f>IFERROR('Historical FS'!M12,0)</f>
        <v>0.60591299399525744</v>
      </c>
      <c r="O11" s="32">
        <f>IFERROR(AVERAGE(D11:M11),0)</f>
        <v>0.49333453370415653</v>
      </c>
      <c r="P11" s="5">
        <f>IFERROR(MEDIAN(D11:M11),0)</f>
        <v>0.4907287559594905</v>
      </c>
    </row>
    <row r="12" spans="2:16" x14ac:dyDescent="0.3">
      <c r="B12" t="s">
        <v>149</v>
      </c>
      <c r="D12" s="33">
        <f>IFERROR('Historical FS'!D18,0)</f>
        <v>0.28693408895205991</v>
      </c>
      <c r="E12" s="33">
        <f>IFERROR('Historical FS'!E18,0)</f>
        <v>0.31990243976586547</v>
      </c>
      <c r="F12" s="33">
        <f>IFERROR('Historical FS'!F18,0)</f>
        <v>0.21259097014435177</v>
      </c>
      <c r="G12" s="33">
        <f>IFERROR('Historical FS'!G18,0)</f>
        <v>0.21939722513418644</v>
      </c>
      <c r="H12" s="33">
        <f>IFERROR('Historical FS'!H18,0)</f>
        <v>0.21264834411876668</v>
      </c>
      <c r="I12" s="33">
        <f>IFERROR('Historical FS'!I18,0)</f>
        <v>0.25284866562740499</v>
      </c>
      <c r="J12" s="33">
        <f>IFERROR('Historical FS'!J18,0)</f>
        <v>0.26536555003053969</v>
      </c>
      <c r="K12" s="33">
        <f>IFERROR('Historical FS'!K18,0)</f>
        <v>0.26547247302536958</v>
      </c>
      <c r="L12" s="33">
        <f>IFERROR('Historical FS'!L18,0)</f>
        <v>0.26842506265870869</v>
      </c>
      <c r="M12" s="33">
        <f>IFERROR('Historical FS'!M18,0)</f>
        <v>0.29045536535507716</v>
      </c>
      <c r="O12" s="32">
        <f t="shared" ref="O12:O15" si="2">IFERROR(AVERAGE(D12:M12),0)</f>
        <v>0.25940401848123301</v>
      </c>
      <c r="P12" s="5">
        <f t="shared" ref="P12:P15" si="3">IFERROR(MEDIAN(D12:M12),0)</f>
        <v>0.26541901152795466</v>
      </c>
    </row>
    <row r="13" spans="2:16" x14ac:dyDescent="0.3">
      <c r="B13" t="s">
        <v>150</v>
      </c>
      <c r="D13" s="33">
        <f>IFERROR(('Historical FS'!D17-'Historical FS'!D24)/'Historical FS'!D5,0)</f>
        <v>0.25051295273673668</v>
      </c>
      <c r="E13" s="33">
        <f>IFERROR(('Historical FS'!E17-'Historical FS'!E24)/'Historical FS'!E5,0)</f>
        <v>0.27985137961216566</v>
      </c>
      <c r="F13" s="33">
        <f>IFERROR(('Historical FS'!F17-'Historical FS'!F24)/'Historical FS'!F5,0)</f>
        <v>0.15597071438979881</v>
      </c>
      <c r="G13" s="33">
        <f>IFERROR(('Historical FS'!G17-'Historical FS'!G24)/'Historical FS'!G5,0)</f>
        <v>0.15907742093744875</v>
      </c>
      <c r="H13" s="33">
        <f>IFERROR(('Historical FS'!H17-'Historical FS'!H24)/'Historical FS'!H5,0)</f>
        <v>0.15013505900266469</v>
      </c>
      <c r="I13" s="33">
        <f>IFERROR(('Historical FS'!I17-'Historical FS'!I24)/'Historical FS'!I5,0)</f>
        <v>0.1907571584571561</v>
      </c>
      <c r="J13" s="33">
        <f>IFERROR(('Historical FS'!J17-'Historical FS'!J24)/'Historical FS'!J5,0)</f>
        <v>0.20990653349714344</v>
      </c>
      <c r="K13" s="33">
        <f>IFERROR(('Historical FS'!K17-'Historical FS'!K24)/'Historical FS'!K5,0)</f>
        <v>0.20783567669453912</v>
      </c>
      <c r="L13" s="33">
        <f>IFERROR(('Historical FS'!L17-'Historical FS'!L24)/'Historical FS'!L5,0)</f>
        <v>0.21570741192469192</v>
      </c>
      <c r="M13" s="33">
        <f>IFERROR(('Historical FS'!M17-'Historical FS'!M24)/'Historical FS'!M5,0)</f>
        <v>0.24147350130585848</v>
      </c>
      <c r="O13" s="32">
        <f t="shared" si="2"/>
        <v>0.20612278085582036</v>
      </c>
      <c r="P13" s="5">
        <f t="shared" si="3"/>
        <v>0.20887110509584128</v>
      </c>
    </row>
    <row r="14" spans="2:16" x14ac:dyDescent="0.3">
      <c r="B14" t="s">
        <v>151</v>
      </c>
      <c r="D14" s="33">
        <f>IFERROR('Historical FS'!D28,0)</f>
        <v>0.23214529559592556</v>
      </c>
      <c r="E14" s="33">
        <f>IFERROR('Historical FS'!E28,0)</f>
        <v>0.26719084286620864</v>
      </c>
      <c r="F14" s="33">
        <f>IFERROR('Historical FS'!F28,0)</f>
        <v>0.1364319997463142</v>
      </c>
      <c r="G14" s="33">
        <f>IFERROR('Historical FS'!G28,0)</f>
        <v>0.1399742860278588</v>
      </c>
      <c r="H14" s="33">
        <f>IFERROR('Historical FS'!H28,0)</f>
        <v>0.14091602588503999</v>
      </c>
      <c r="I14" s="33">
        <f>IFERROR('Historical FS'!I28,0)</f>
        <v>0.18653513299544391</v>
      </c>
      <c r="J14" s="33">
        <f>IFERROR('Historical FS'!J28,0)</f>
        <v>0.20661196150822314</v>
      </c>
      <c r="K14" s="33">
        <f>IFERROR('Historical FS'!K28,0)</f>
        <v>0.20391640279927306</v>
      </c>
      <c r="L14" s="33">
        <f>IFERROR('Historical FS'!L28,0)</f>
        <v>0.2107901853419345</v>
      </c>
      <c r="M14" s="33">
        <f>IFERROR('Historical FS'!M28,0)</f>
        <v>0.23707321860443181</v>
      </c>
      <c r="O14" s="32">
        <f t="shared" si="2"/>
        <v>0.19615853513706533</v>
      </c>
      <c r="P14" s="5">
        <f t="shared" si="3"/>
        <v>0.20526418215374809</v>
      </c>
    </row>
    <row r="15" spans="2:16" x14ac:dyDescent="0.3">
      <c r="B15" s="49" t="s">
        <v>152</v>
      </c>
      <c r="C15" s="49"/>
      <c r="D15" s="50">
        <f>IFERROR('Historical FS'!D34,0)</f>
        <v>0.20006859261916735</v>
      </c>
      <c r="E15" s="50">
        <f>IFERROR('Historical FS'!E34,0)</f>
        <v>0.22882384310307913</v>
      </c>
      <c r="F15" s="50">
        <f>IFERROR('Historical FS'!F34,0)</f>
        <v>0.10203945267287443</v>
      </c>
      <c r="G15" s="50">
        <f>IFERROR('Historical FS'!G34,0)</f>
        <v>0.11930127080143031</v>
      </c>
      <c r="H15" s="50">
        <f>IFERROR('Historical FS'!H34,0)</f>
        <v>0.11585930719451848</v>
      </c>
      <c r="I15" s="50">
        <f>IFERROR('Historical FS'!I34,0)</f>
        <v>0.17117039931172295</v>
      </c>
      <c r="J15" s="50">
        <f>IFERROR('Historical FS'!J34,0)</f>
        <v>0.17878854435797747</v>
      </c>
      <c r="K15" s="50">
        <f>IFERROR('Historical FS'!K34,0)</f>
        <v>0.18460281349178143</v>
      </c>
      <c r="L15" s="50">
        <f>IFERROR('Historical FS'!L34,0)</f>
        <v>0.18110887614350202</v>
      </c>
      <c r="M15" s="50">
        <f>IFERROR('Historical FS'!M34,0)</f>
        <v>0.18435141856624124</v>
      </c>
      <c r="O15" s="32">
        <f t="shared" si="2"/>
        <v>0.16661145182622944</v>
      </c>
      <c r="P15" s="5">
        <f t="shared" si="3"/>
        <v>0.17994871025073975</v>
      </c>
    </row>
    <row r="17" spans="2:16" x14ac:dyDescent="0.3">
      <c r="B17" s="47" t="s">
        <v>153</v>
      </c>
      <c r="C17" s="47"/>
      <c r="D17" s="48">
        <f>IFERROR('Historical FS'!D15,0)</f>
        <v>0.24068672655590984</v>
      </c>
      <c r="E17" s="48">
        <f>IFERROR('Historical FS'!E15,0)</f>
        <v>0.18825597464599264</v>
      </c>
      <c r="F17" s="48">
        <f>IFERROR('Historical FS'!F15,0)</f>
        <v>0.21434902787750298</v>
      </c>
      <c r="G17" s="48">
        <f>IFERROR('Historical FS'!G15,0)</f>
        <v>0.21862587477907966</v>
      </c>
      <c r="H17" s="48">
        <f>IFERROR('Historical FS'!H15,0)</f>
        <v>0.24210034259611726</v>
      </c>
      <c r="I17" s="48">
        <f>IFERROR('Historical FS'!I15,0)</f>
        <v>0.21269837668598915</v>
      </c>
      <c r="J17" s="48">
        <f>IFERROR('Historical FS'!J15,0)</f>
        <v>0.21112838379189586</v>
      </c>
      <c r="K17" s="48">
        <f>IFERROR('Historical FS'!K15,0)</f>
        <v>0.23949110507117582</v>
      </c>
      <c r="L17" s="48">
        <f>IFERROR('Historical FS'!L15,0)</f>
        <v>0.25651171158539166</v>
      </c>
      <c r="M17" s="48">
        <f>IFERROR('Historical FS'!M15,0)</f>
        <v>0.31545762864018029</v>
      </c>
      <c r="O17" s="32">
        <f>IFERROR(AVERAGE(D17:M17),0)</f>
        <v>0.23393051522292349</v>
      </c>
      <c r="P17" s="5">
        <f t="shared" ref="P17:P18" si="4">IFERROR(MEDIAN(D17:M17),0)</f>
        <v>0.22905848992512773</v>
      </c>
    </row>
    <row r="18" spans="2:16" x14ac:dyDescent="0.3">
      <c r="B18" t="s">
        <v>154</v>
      </c>
      <c r="D18" s="33">
        <f>IFERROR('Historical FS'!D25,0)</f>
        <v>3.6421136215323252E-2</v>
      </c>
      <c r="E18" s="33">
        <f>IFERROR('Historical FS'!E25,0)</f>
        <v>4.0051060153699802E-2</v>
      </c>
      <c r="F18" s="33">
        <f>IFERROR('Historical FS'!F25,0)</f>
        <v>5.6620255754552942E-2</v>
      </c>
      <c r="G18" s="33">
        <f>IFERROR('Historical FS'!G25,0)</f>
        <v>6.0319804196737693E-2</v>
      </c>
      <c r="H18" s="33">
        <f>IFERROR('Historical FS'!H25,0)</f>
        <v>6.2513285116102019E-2</v>
      </c>
      <c r="I18" s="33">
        <f>IFERROR('Historical FS'!I25,0)</f>
        <v>6.2091507170248854E-2</v>
      </c>
      <c r="J18" s="33">
        <f>IFERROR('Historical FS'!J25,0)</f>
        <v>5.5459016533396244E-2</v>
      </c>
      <c r="K18" s="33">
        <f>IFERROR('Historical FS'!K25,0)</f>
        <v>5.7636796330830464E-2</v>
      </c>
      <c r="L18" s="33">
        <f>IFERROR('Historical FS'!L25,0)</f>
        <v>5.2717650734016741E-2</v>
      </c>
      <c r="M18" s="33">
        <f>IFERROR('Historical FS'!M25,0)</f>
        <v>4.898186404921865E-2</v>
      </c>
      <c r="O18" s="32">
        <f t="shared" ref="O18:O19" si="5">IFERROR(AVERAGE(D18:M18),0)</f>
        <v>5.3281237625412668E-2</v>
      </c>
      <c r="P18" s="5">
        <f t="shared" si="4"/>
        <v>5.6039636143974593E-2</v>
      </c>
    </row>
    <row r="19" spans="2:16" x14ac:dyDescent="0.3">
      <c r="B19" s="49" t="s">
        <v>155</v>
      </c>
      <c r="C19" s="49"/>
      <c r="D19" s="50">
        <f>D13</f>
        <v>0.25051295273673668</v>
      </c>
      <c r="E19" s="50">
        <f t="shared" ref="E19:M19" si="6">E13</f>
        <v>0.27985137961216566</v>
      </c>
      <c r="F19" s="50">
        <f t="shared" si="6"/>
        <v>0.15597071438979881</v>
      </c>
      <c r="G19" s="50">
        <f t="shared" si="6"/>
        <v>0.15907742093744875</v>
      </c>
      <c r="H19" s="50">
        <f t="shared" si="6"/>
        <v>0.15013505900266469</v>
      </c>
      <c r="I19" s="50">
        <f t="shared" si="6"/>
        <v>0.1907571584571561</v>
      </c>
      <c r="J19" s="50">
        <f t="shared" si="6"/>
        <v>0.20990653349714344</v>
      </c>
      <c r="K19" s="50">
        <f t="shared" si="6"/>
        <v>0.20783567669453912</v>
      </c>
      <c r="L19" s="50">
        <f t="shared" si="6"/>
        <v>0.21570741192469192</v>
      </c>
      <c r="M19" s="50">
        <f t="shared" si="6"/>
        <v>0.24147350130585848</v>
      </c>
      <c r="O19" s="32">
        <f t="shared" si="5"/>
        <v>0.20612278085582036</v>
      </c>
      <c r="P19" s="5">
        <f>IFERROR(MEDIAN(D19:M19),0)</f>
        <v>0.20887110509584128</v>
      </c>
    </row>
    <row r="21" spans="2:16" x14ac:dyDescent="0.3">
      <c r="B21" s="47" t="s">
        <v>156</v>
      </c>
      <c r="C21" s="47"/>
      <c r="D21" s="48">
        <f>IFERROR(('Historical FS'!D17-'Historical FS'!D24)/SUM('Historical FS'!D48:D50),0)</f>
        <v>0.17204678774249477</v>
      </c>
      <c r="E21" s="48">
        <f>IFERROR(('Historical FS'!E17-'Historical FS'!E24)/SUM('Historical FS'!E48:E50),0)</f>
        <v>0.19016561569858814</v>
      </c>
      <c r="F21" s="48">
        <f>IFERROR(('Historical FS'!F17-'Historical FS'!F24)/SUM('Historical FS'!F48:F50),0)</f>
        <v>8.4838451742096088E-2</v>
      </c>
      <c r="G21" s="48">
        <f>IFERROR(('Historical FS'!G17-'Historical FS'!G24)/SUM('Historical FS'!G48:G50),0)</f>
        <v>8.9049026431617981E-2</v>
      </c>
      <c r="H21" s="48">
        <f>IFERROR(('Historical FS'!H17-'Historical FS'!H24)/SUM('Historical FS'!H48:H50),0)</f>
        <v>9.2014215183355258E-2</v>
      </c>
      <c r="I21" s="48">
        <f>IFERROR(('Historical FS'!I17-'Historical FS'!I24)/SUM('Historical FS'!I48:I50),0)</f>
        <v>0.12695881851791804</v>
      </c>
      <c r="J21" s="48">
        <f>IFERROR(('Historical FS'!J17-'Historical FS'!J24)/SUM('Historical FS'!J48:J50),0)</f>
        <v>0.16457565608524841</v>
      </c>
      <c r="K21" s="48">
        <f>IFERROR(('Historical FS'!K17-'Historical FS'!K24)/SUM('Historical FS'!K48:K50),0)</f>
        <v>0.1450513467846139</v>
      </c>
      <c r="L21" s="48">
        <f>IFERROR(('Historical FS'!L17-'Historical FS'!L24)/SUM('Historical FS'!L48:L50),0)</f>
        <v>0.15627523699433013</v>
      </c>
      <c r="M21" s="48">
        <f>IFERROR(('Historical FS'!M17-'Historical FS'!M24)/SUM('Historical FS'!M48:M50),0)</f>
        <v>0.17023684969511355</v>
      </c>
      <c r="O21" s="32">
        <f>IFERROR(AVERAGE(D21:M21),0)</f>
        <v>0.13912120048753759</v>
      </c>
      <c r="P21" s="5">
        <f>IFERROR(MEDIAN(D21:M21),0)</f>
        <v>0.15066329188947203</v>
      </c>
    </row>
    <row r="22" spans="2:16" x14ac:dyDescent="0.3">
      <c r="B22" t="s">
        <v>157</v>
      </c>
      <c r="D22" s="33">
        <f>IFERROR('Historical FS'!D44,0)</f>
        <v>0.95777420622666409</v>
      </c>
      <c r="E22" s="33">
        <f>IFERROR('Historical FS'!E44,0)</f>
        <v>0.88378471885855048</v>
      </c>
      <c r="F22" s="33">
        <f>IFERROR('Historical FS'!F44,0)</f>
        <v>0.82246935778051555</v>
      </c>
      <c r="G22" s="33">
        <f>IFERROR('Historical FS'!G44,0)</f>
        <v>0.80972142115584278</v>
      </c>
      <c r="H22" s="33">
        <f>IFERROR('Historical FS'!H44,0)</f>
        <v>0.74774282237227729</v>
      </c>
      <c r="I22" s="33">
        <f>IFERROR('Historical FS'!I44,0)</f>
        <v>0.68616768023104724</v>
      </c>
      <c r="J22" s="33">
        <f>IFERROR('Historical FS'!J44,0)</f>
        <v>0.65282781892003716</v>
      </c>
      <c r="K22" s="33">
        <f>IFERROR('Historical FS'!K44,0)</f>
        <v>0.65941773170629348</v>
      </c>
      <c r="L22" s="33">
        <f>IFERROR('Historical FS'!L44,0)</f>
        <v>0.63122138716938325</v>
      </c>
      <c r="M22" s="33">
        <f>IFERROR('Historical FS'!M44,0)</f>
        <v>0.60394969106284901</v>
      </c>
      <c r="O22" s="32">
        <f t="shared" ref="O22:O24" si="7">IFERROR(AVERAGE(D22:M22),0)</f>
        <v>0.74550768354834596</v>
      </c>
      <c r="P22" s="5">
        <f t="shared" ref="P22:P24" si="8">IFERROR(MEDIAN(D22:M22),0)</f>
        <v>0.71695525130166227</v>
      </c>
    </row>
    <row r="23" spans="2:16" x14ac:dyDescent="0.3">
      <c r="B23" t="s">
        <v>158</v>
      </c>
      <c r="D23" s="33">
        <f>IFERROR('Historical FS'!D33/SUM('Historical FS'!D48:D49),0)</f>
        <v>0.17279961967687082</v>
      </c>
      <c r="E23" s="33">
        <f>IFERROR('Historical FS'!E33/SUM('Historical FS'!E48:E49),0)</f>
        <v>0.19721520417623845</v>
      </c>
      <c r="F23" s="33">
        <f>IFERROR('Historical FS'!F33/SUM('Historical FS'!F48:F49),0)</f>
        <v>7.0547638976867791E-2</v>
      </c>
      <c r="G23" s="33">
        <f>IFERROR('Historical FS'!G33/SUM('Historical FS'!G48:G49),0)</f>
        <v>8.3740128368043162E-2</v>
      </c>
      <c r="H23" s="33">
        <f>IFERROR('Historical FS'!H33/SUM('Historical FS'!H48:H49),0)</f>
        <v>8.4051170399728731E-2</v>
      </c>
      <c r="I23" s="33">
        <f>IFERROR('Historical FS'!I33/SUM('Historical FS'!I48:I49),0)</f>
        <v>0.12340824203803559</v>
      </c>
      <c r="J23" s="33">
        <f>IFERROR('Historical FS'!J33/SUM('Historical FS'!J48:J49),0)</f>
        <v>0.14394510283221287</v>
      </c>
      <c r="K23" s="33">
        <f>IFERROR('Historical FS'!K33/SUM('Historical FS'!K48:K49),0)</f>
        <v>0.14468015039812218</v>
      </c>
      <c r="L23" s="33">
        <f>IFERROR('Historical FS'!L33/SUM('Historical FS'!L48:L49),0)</f>
        <v>0.13795599743979386</v>
      </c>
      <c r="M23" s="33">
        <f>IFERROR('Historical FS'!M33/SUM('Historical FS'!M48:M49),0)</f>
        <v>0.13421733246079029</v>
      </c>
      <c r="O23" s="32">
        <f t="shared" si="7"/>
        <v>0.12925605867667037</v>
      </c>
      <c r="P23" s="5">
        <f t="shared" si="8"/>
        <v>0.13608666495029209</v>
      </c>
    </row>
    <row r="24" spans="2:16" x14ac:dyDescent="0.3">
      <c r="B24" t="s">
        <v>159</v>
      </c>
      <c r="D24" s="33">
        <f>IFERROR(D22*D23,0)</f>
        <v>0.16550301857228439</v>
      </c>
      <c r="E24" s="33">
        <f t="shared" ref="E24:M24" si="9">IFERROR(E22*E23,0)</f>
        <v>0.17429578377752852</v>
      </c>
      <c r="F24" s="33">
        <f t="shared" si="9"/>
        <v>5.8023271322236121E-2</v>
      </c>
      <c r="G24" s="33">
        <f t="shared" si="9"/>
        <v>6.7806175749944617E-2</v>
      </c>
      <c r="H24" s="33">
        <f t="shared" si="9"/>
        <v>6.2848659378386365E-2</v>
      </c>
      <c r="I24" s="33">
        <f t="shared" si="9"/>
        <v>8.467874716063048E-2</v>
      </c>
      <c r="J24" s="33">
        <f t="shared" si="9"/>
        <v>9.3971367526173993E-2</v>
      </c>
      <c r="K24" s="33">
        <f t="shared" si="9"/>
        <v>9.5404656598455123E-2</v>
      </c>
      <c r="L24" s="33">
        <f t="shared" si="9"/>
        <v>8.7080776072282567E-2</v>
      </c>
      <c r="M24" s="33">
        <f t="shared" si="9"/>
        <v>8.106051647497399E-2</v>
      </c>
      <c r="O24" s="32">
        <f t="shared" si="7"/>
        <v>9.7067297263289623E-2</v>
      </c>
      <c r="P24" s="5">
        <f t="shared" si="8"/>
        <v>8.5879761616456524E-2</v>
      </c>
    </row>
    <row r="25" spans="2:16" x14ac:dyDescent="0.3">
      <c r="B25" s="49" t="s">
        <v>172</v>
      </c>
      <c r="C25" s="49"/>
      <c r="D25" s="51">
        <f>IFERROR(('Historical FS'!D17-'Historical FS'!D24)/'Historical FS'!D21,0)</f>
        <v>13.638808195092116</v>
      </c>
      <c r="E25" s="51">
        <f>IFERROR(('Historical FS'!E17-'Historical FS'!E24)/'Historical FS'!E21,0)</f>
        <v>22.104227113556771</v>
      </c>
      <c r="F25" s="51">
        <f>IFERROR(('Historical FS'!F17-'Historical FS'!F24)/'Historical FS'!F21,0)</f>
        <v>7.9826496898970181</v>
      </c>
      <c r="G25" s="51">
        <f>IFERROR(('Historical FS'!G17-'Historical FS'!G24)/'Historical FS'!G21,0)</f>
        <v>8.3272940117064405</v>
      </c>
      <c r="H25" s="51">
        <f>IFERROR(('Historical FS'!H17-'Historical FS'!H24)/'Historical FS'!H21,0)</f>
        <v>16.285336768737821</v>
      </c>
      <c r="I25" s="51">
        <f>IFERROR(('Historical FS'!I17-'Historical FS'!I24)/'Historical FS'!I21,0)</f>
        <v>45.181432510782713</v>
      </c>
      <c r="J25" s="51">
        <f>IFERROR(('Historical FS'!J17-'Historical FS'!J24)/'Historical FS'!J21,0)</f>
        <v>63.712838633686665</v>
      </c>
      <c r="K25" s="51">
        <f>IFERROR(('Historical FS'!K17-'Historical FS'!K24)/'Historical FS'!K21,0)</f>
        <v>53.029127906976754</v>
      </c>
      <c r="L25" s="51">
        <f>IFERROR(('Historical FS'!L17-'Historical FS'!L24)/'Historical FS'!L21,0)</f>
        <v>43.867698242965552</v>
      </c>
      <c r="M25" s="51">
        <f>IFERROR(('Historical FS'!M17-'Historical FS'!M24)/'Historical FS'!M21,0)</f>
        <v>54.876815352697108</v>
      </c>
      <c r="O25" s="35">
        <f>IFERROR(AVERAGE(D25:M25),0)</f>
        <v>32.900622842609899</v>
      </c>
      <c r="P25" s="5">
        <f>IFERROR(MEDIAN(D25:M25),0)</f>
        <v>32.98596267826116</v>
      </c>
    </row>
    <row r="27" spans="2:16" x14ac:dyDescent="0.3">
      <c r="B27" s="47" t="s">
        <v>160</v>
      </c>
      <c r="C27" s="47"/>
      <c r="D27" s="52">
        <f>IFERROR('Historical FS'!D5/'Historical FS'!D60,0)</f>
        <v>4.2043181033286796</v>
      </c>
      <c r="E27" s="52">
        <f>IFERROR('Historical FS'!E5/'Historical FS'!E60,0)</f>
        <v>4.38430513383343</v>
      </c>
      <c r="F27" s="52">
        <f>IFERROR('Historical FS'!F5/'Historical FS'!F60,0)</f>
        <v>3.3894447799694958</v>
      </c>
      <c r="G27" s="52">
        <f>IFERROR('Historical FS'!G5/'Historical FS'!G60,0)</f>
        <v>3.2716406654510251</v>
      </c>
      <c r="H27" s="52">
        <f>IFERROR('Historical FS'!H5/'Historical FS'!H60,0)</f>
        <v>3.4854753726685659</v>
      </c>
      <c r="I27" s="52">
        <f>IFERROR('Historical FS'!I5/'Historical FS'!I60,0)</f>
        <v>3.696795197210144</v>
      </c>
      <c r="J27" s="52">
        <f>IFERROR('Historical FS'!J5/'Historical FS'!J60,0)</f>
        <v>3.6867908044091373</v>
      </c>
      <c r="K27" s="52">
        <f>IFERROR('Historical FS'!K5/'Historical FS'!K60,0)</f>
        <v>3.8366605440743591</v>
      </c>
      <c r="L27" s="52">
        <f>IFERROR('Historical FS'!L5/'Historical FS'!L60,0)</f>
        <v>4.3110725311728562</v>
      </c>
      <c r="M27" s="52">
        <f>IFERROR('Historical FS'!M5/'Historical FS'!M60,0)</f>
        <v>4.0302005731976811</v>
      </c>
      <c r="O27" s="35">
        <f>IFERROR(AVERAGE(D27:M27),0)</f>
        <v>3.829670370531538</v>
      </c>
      <c r="P27" s="36">
        <f>IFERROR(MEDIAN(D27:M27),0)</f>
        <v>3.7667278706422516</v>
      </c>
    </row>
    <row r="28" spans="2:16" x14ac:dyDescent="0.3">
      <c r="B28" t="s">
        <v>161</v>
      </c>
      <c r="D28" s="53">
        <f>IFERROR('Historical FS'!D5/'Historical FS'!D51,0)</f>
        <v>2.0423357465375607</v>
      </c>
      <c r="E28" s="53">
        <f>IFERROR('Historical FS'!E5/'Historical FS'!E51,0)</f>
        <v>2.1593557444230411</v>
      </c>
      <c r="F28" s="53">
        <f>IFERROR('Historical FS'!F5/'Historical FS'!F51,0)</f>
        <v>1.6982589445704932</v>
      </c>
      <c r="G28" s="53">
        <f>IFERROR('Historical FS'!G5/'Historical FS'!G51,0)</f>
        <v>2.2947779547153782</v>
      </c>
      <c r="H28" s="53">
        <f>IFERROR('Historical FS'!H5/'Historical FS'!H51,0)</f>
        <v>2.2468369803879442</v>
      </c>
      <c r="I28" s="53">
        <f>IFERROR('Historical FS'!I5/'Historical FS'!I51,0)</f>
        <v>1.9373322090399203</v>
      </c>
      <c r="J28" s="53">
        <f>IFERROR('Historical FS'!J5/'Historical FS'!J51,0)</f>
        <v>1.8879434259091479</v>
      </c>
      <c r="K28" s="53">
        <f>IFERROR('Historical FS'!K5/'Historical FS'!K51,0)</f>
        <v>2.4612495898915627</v>
      </c>
      <c r="L28" s="53">
        <f>IFERROR('Historical FS'!L5/'Historical FS'!L51,0)</f>
        <v>2.6403764278014306</v>
      </c>
      <c r="M28" s="53">
        <f>IFERROR('Historical FS'!M5/'Historical FS'!M51,0)</f>
        <v>3.0009891343618889</v>
      </c>
      <c r="O28" s="35">
        <f t="shared" ref="O28:O31" si="10">IFERROR(AVERAGE(D28:M28),0)</f>
        <v>2.2369456157638368</v>
      </c>
      <c r="P28" s="36">
        <f t="shared" ref="P28:P31" si="11">IFERROR(MEDIAN(D28:M28),0)</f>
        <v>2.2030963624054927</v>
      </c>
    </row>
    <row r="29" spans="2:16" x14ac:dyDescent="0.3">
      <c r="B29" t="s">
        <v>162</v>
      </c>
      <c r="D29" s="53">
        <f>IFERROR('Historical FS'!D5/'Historical FS'!D61,0)</f>
        <v>4.4354772410915304</v>
      </c>
      <c r="E29" s="53">
        <f>IFERROR('Historical FS'!E5/'Historical FS'!E61,0)</f>
        <v>4.6215890680408203</v>
      </c>
      <c r="F29" s="53">
        <f>IFERROR('Historical FS'!F5/'Historical FS'!F61,0)</f>
        <v>3.8498261075560736</v>
      </c>
      <c r="G29" s="53">
        <f>IFERROR('Historical FS'!G5/'Historical FS'!G61,0)</f>
        <v>3.6857701896276684</v>
      </c>
      <c r="H29" s="53">
        <f>IFERROR('Historical FS'!H5/'Historical FS'!H61,0)</f>
        <v>4.1698465648845273</v>
      </c>
      <c r="I29" s="53">
        <f>IFERROR('Historical FS'!I5/'Historical FS'!I61,0)</f>
        <v>3.723248364458454</v>
      </c>
      <c r="J29" s="53">
        <f>IFERROR('Historical FS'!J5/'Historical FS'!J61,0)</f>
        <v>4.3309722099285954</v>
      </c>
      <c r="K29" s="53">
        <f>IFERROR('Historical FS'!K5/'Historical FS'!K61,0)</f>
        <v>4.1744003880890892</v>
      </c>
      <c r="L29" s="53">
        <f>IFERROR('Historical FS'!L5/'Historical FS'!L61,0)</f>
        <v>4.9144127300677214</v>
      </c>
      <c r="M29" s="53">
        <f>IFERROR('Historical FS'!M5/'Historical FS'!M61,0)</f>
        <v>5.1329440718984944</v>
      </c>
      <c r="O29" s="35">
        <f t="shared" si="10"/>
        <v>4.303848693564297</v>
      </c>
      <c r="P29" s="36">
        <f t="shared" si="11"/>
        <v>4.2526862990088423</v>
      </c>
    </row>
    <row r="30" spans="2:16" x14ac:dyDescent="0.3">
      <c r="B30" t="s">
        <v>163</v>
      </c>
      <c r="D30" s="53">
        <f>IFERROR('Historical FS'!D5/'Historical FS'!D54,0)</f>
        <v>1.794769487627778</v>
      </c>
      <c r="E30" s="53">
        <f>IFERROR('Historical FS'!E5/'Historical FS'!E54,0)</f>
        <v>1.7865989407739784</v>
      </c>
      <c r="F30" s="53">
        <f>IFERROR('Historical FS'!F5/'Historical FS'!F54,0)</f>
        <v>1.4050788615924019</v>
      </c>
      <c r="G30" s="53">
        <f>IFERROR('Historical FS'!G5/'Historical FS'!G54,0)</f>
        <v>1.3310675592378645</v>
      </c>
      <c r="H30" s="53">
        <f>IFERROR('Historical FS'!H5/'Historical FS'!H54,0)</f>
        <v>1.4372840791161694</v>
      </c>
      <c r="I30" s="53">
        <f>IFERROR('Historical FS'!I5/'Historical FS'!I54,0)</f>
        <v>1.5542231283098671</v>
      </c>
      <c r="J30" s="53">
        <f>IFERROR('Historical FS'!J5/'Historical FS'!J54,0)</f>
        <v>1.7054585098891866</v>
      </c>
      <c r="K30" s="53">
        <f>IFERROR('Historical FS'!K5/'Historical FS'!K54,0)</f>
        <v>1.8235976570550965</v>
      </c>
      <c r="L30" s="53">
        <f>IFERROR('Historical FS'!L5/'Historical FS'!L54,0)</f>
        <v>2.0893566000815116</v>
      </c>
      <c r="M30" s="53">
        <f>IFERROR('Historical FS'!M5/'Historical FS'!M54,0)</f>
        <v>1.8780764326204908</v>
      </c>
      <c r="O30" s="35">
        <f t="shared" si="10"/>
        <v>1.6805511256304346</v>
      </c>
      <c r="P30" s="36">
        <f t="shared" si="11"/>
        <v>1.7460287253315825</v>
      </c>
    </row>
    <row r="31" spans="2:16" x14ac:dyDescent="0.3">
      <c r="B31" s="49" t="s">
        <v>164</v>
      </c>
      <c r="C31" s="49"/>
      <c r="D31" s="51">
        <f>IFERROR('Historical FS'!D5/SUM('Historical FS'!D48:D49),0)</f>
        <v>0.86370188051353314</v>
      </c>
      <c r="E31" s="51">
        <f>IFERROR('Historical FS'!E5/SUM('Historical FS'!E48:E49),0)</f>
        <v>0.86186474932770951</v>
      </c>
      <c r="F31" s="51">
        <f>IFERROR('Historical FS'!F5/SUM('Historical FS'!F48:F49),0)</f>
        <v>0.6913761013892793</v>
      </c>
      <c r="G31" s="51">
        <f>IFERROR('Historical FS'!G5/SUM('Historical FS'!G48:G49),0)</f>
        <v>0.70192151186237994</v>
      </c>
      <c r="H31" s="51">
        <f>IFERROR('Historical FS'!H5/SUM('Historical FS'!H48:H49),0)</f>
        <v>0.72545894184067194</v>
      </c>
      <c r="I31" s="51">
        <f>IFERROR('Historical FS'!I5/SUM('Historical FS'!I48:I49),0)</f>
        <v>0.72096719137339604</v>
      </c>
      <c r="J31" s="51">
        <f>IFERROR('Historical FS'!J5/SUM('Historical FS'!J48:J49),0)</f>
        <v>0.80511367967737535</v>
      </c>
      <c r="K31" s="51">
        <f>IFERROR('Historical FS'!K5/SUM('Historical FS'!K48:K49),0)</f>
        <v>0.78373751548788495</v>
      </c>
      <c r="L31" s="51">
        <f>IFERROR('Historical FS'!L5/SUM('Historical FS'!L48:L49),0)</f>
        <v>0.76172963124393811</v>
      </c>
      <c r="M31" s="51">
        <f>IFERROR('Historical FS'!M5/SUM('Historical FS'!M48:M49),0)</f>
        <v>0.72805153062905925</v>
      </c>
      <c r="O31" s="35">
        <f t="shared" si="10"/>
        <v>0.76439227333452275</v>
      </c>
      <c r="P31" s="36">
        <f t="shared" si="11"/>
        <v>0.74489058093649874</v>
      </c>
    </row>
    <row r="33" spans="2:16" x14ac:dyDescent="0.3">
      <c r="B33" s="47" t="s">
        <v>44</v>
      </c>
      <c r="C33" s="47"/>
      <c r="D33" s="54">
        <f>IFERROR(365/D27,0)</f>
        <v>86.815505161471719</v>
      </c>
      <c r="E33" s="54">
        <f t="shared" ref="E33:M33" si="12">IFERROR(365/E27,0)</f>
        <v>83.251504824177502</v>
      </c>
      <c r="F33" s="54">
        <f t="shared" si="12"/>
        <v>107.68725372280144</v>
      </c>
      <c r="G33" s="54">
        <f t="shared" si="12"/>
        <v>111.56481940527581</v>
      </c>
      <c r="H33" s="54">
        <f t="shared" si="12"/>
        <v>104.72029234868671</v>
      </c>
      <c r="I33" s="54">
        <f t="shared" si="12"/>
        <v>98.734168523983726</v>
      </c>
      <c r="J33" s="54">
        <f t="shared" si="12"/>
        <v>99.002091348249593</v>
      </c>
      <c r="K33" s="54">
        <f t="shared" si="12"/>
        <v>95.134817325378123</v>
      </c>
      <c r="L33" s="54">
        <f t="shared" si="12"/>
        <v>84.665706123181209</v>
      </c>
      <c r="M33" s="54">
        <f t="shared" si="12"/>
        <v>90.566212120405254</v>
      </c>
      <c r="O33" s="34">
        <f>IFERROR(AVERAGE(D33:M33),0)</f>
        <v>96.214237090361095</v>
      </c>
      <c r="P33" s="37">
        <f>IFERROR(MEDIAN(D33:M33),0)</f>
        <v>96.934492924680924</v>
      </c>
    </row>
    <row r="34" spans="2:16" x14ac:dyDescent="0.3">
      <c r="B34" t="s">
        <v>165</v>
      </c>
      <c r="D34" s="55">
        <f>IFERROR(365/D28,0)</f>
        <v>178.71694241203807</v>
      </c>
      <c r="E34" s="55">
        <f t="shared" ref="E34:M34" si="13">IFERROR(365/E28,0)</f>
        <v>169.03189802916168</v>
      </c>
      <c r="F34" s="55">
        <f t="shared" si="13"/>
        <v>214.92599886898412</v>
      </c>
      <c r="G34" s="55">
        <f t="shared" si="13"/>
        <v>159.0567833589246</v>
      </c>
      <c r="H34" s="55">
        <f t="shared" si="13"/>
        <v>162.45059307194518</v>
      </c>
      <c r="I34" s="55">
        <f t="shared" si="13"/>
        <v>188.40341284620581</v>
      </c>
      <c r="J34" s="55">
        <f t="shared" si="13"/>
        <v>193.33206439924572</v>
      </c>
      <c r="K34" s="55">
        <f t="shared" si="13"/>
        <v>148.29865345597929</v>
      </c>
      <c r="L34" s="55">
        <f t="shared" si="13"/>
        <v>138.2378649334957</v>
      </c>
      <c r="M34" s="55">
        <f t="shared" si="13"/>
        <v>121.62656499508162</v>
      </c>
      <c r="O34" s="34">
        <f t="shared" ref="O34:O36" si="14">IFERROR(AVERAGE(D34:M34),0)</f>
        <v>167.4080776371062</v>
      </c>
      <c r="P34" s="37">
        <f t="shared" ref="P34:P36" si="15">IFERROR(MEDIAN(D34:M34),0)</f>
        <v>165.74124555055343</v>
      </c>
    </row>
    <row r="35" spans="2:16" x14ac:dyDescent="0.3">
      <c r="B35" t="s">
        <v>166</v>
      </c>
      <c r="D35" s="55">
        <f>IFERROR(365/D29,0)</f>
        <v>82.291032094254831</v>
      </c>
      <c r="E35" s="55">
        <f t="shared" ref="E35:M35" si="16">IFERROR(365/E29,0)</f>
        <v>78.977164483109362</v>
      </c>
      <c r="F35" s="55">
        <f t="shared" si="16"/>
        <v>94.809477052382348</v>
      </c>
      <c r="G35" s="55">
        <f t="shared" si="16"/>
        <v>99.029505699288265</v>
      </c>
      <c r="H35" s="55">
        <f t="shared" si="16"/>
        <v>87.533196802436223</v>
      </c>
      <c r="I35" s="55">
        <f t="shared" si="16"/>
        <v>98.032675844091642</v>
      </c>
      <c r="J35" s="55">
        <f t="shared" si="16"/>
        <v>84.276689460913843</v>
      </c>
      <c r="K35" s="55">
        <f t="shared" si="16"/>
        <v>87.43770747086522</v>
      </c>
      <c r="L35" s="55">
        <f t="shared" si="16"/>
        <v>74.271336179566305</v>
      </c>
      <c r="M35" s="55">
        <f t="shared" si="16"/>
        <v>71.109288331871383</v>
      </c>
      <c r="O35" s="34">
        <f t="shared" si="14"/>
        <v>85.776807341877955</v>
      </c>
      <c r="P35" s="37">
        <f t="shared" si="15"/>
        <v>85.857198465889525</v>
      </c>
    </row>
    <row r="36" spans="2:16" x14ac:dyDescent="0.3">
      <c r="B36" s="49" t="s">
        <v>167</v>
      </c>
      <c r="C36" s="49"/>
      <c r="D36" s="56">
        <f>IFERROR(SUM(D33,D35)-D34,0)</f>
        <v>-9.6104051563115149</v>
      </c>
      <c r="E36" s="56">
        <f t="shared" ref="E36:M36" si="17">IFERROR(SUM(E33,E35)-E34,0)</f>
        <v>-6.8032287218748309</v>
      </c>
      <c r="F36" s="56">
        <f t="shared" si="17"/>
        <v>-12.429268093800346</v>
      </c>
      <c r="G36" s="56">
        <f t="shared" si="17"/>
        <v>51.537541745639459</v>
      </c>
      <c r="H36" s="56">
        <f t="shared" si="17"/>
        <v>29.802896079177771</v>
      </c>
      <c r="I36" s="56">
        <f t="shared" si="17"/>
        <v>8.3634315218695576</v>
      </c>
      <c r="J36" s="56">
        <f t="shared" si="17"/>
        <v>-10.053283590082287</v>
      </c>
      <c r="K36" s="56">
        <f t="shared" si="17"/>
        <v>34.273871340264037</v>
      </c>
      <c r="L36" s="56">
        <f t="shared" si="17"/>
        <v>20.6991773692518</v>
      </c>
      <c r="M36" s="56">
        <f t="shared" si="17"/>
        <v>40.048935457195029</v>
      </c>
      <c r="O36" s="34">
        <f t="shared" si="14"/>
        <v>14.582966795132867</v>
      </c>
      <c r="P36" s="37">
        <f t="shared" si="15"/>
        <v>14.531304445560679</v>
      </c>
    </row>
    <row r="38" spans="2:16" x14ac:dyDescent="0.3">
      <c r="B38" s="47" t="s">
        <v>168</v>
      </c>
      <c r="C38" s="47"/>
      <c r="D38" s="48">
        <f>IFERROR('Historical FS'!D80/'Historical FS'!D5,0)</f>
        <v>1.1184037086351228</v>
      </c>
      <c r="E38" s="48">
        <f>IFERROR('Historical FS'!E80/'Historical FS'!E5,0)</f>
        <v>1.2417332838480939</v>
      </c>
      <c r="F38" s="48">
        <f>IFERROR('Historical FS'!F80/'Historical FS'!F5,0)</f>
        <v>1.2629174018647418</v>
      </c>
      <c r="G38" s="48">
        <f>IFERROR('Historical FS'!G80/'Historical FS'!G5,0)</f>
        <v>0.59943074206174862</v>
      </c>
      <c r="H38" s="48">
        <f>IFERROR('Historical FS'!H80/'Historical FS'!H5,0)</f>
        <v>0.35541682527598023</v>
      </c>
      <c r="I38" s="48">
        <f>IFERROR('Historical FS'!I80/'Historical FS'!I5,0)</f>
        <v>0.94626149392175207</v>
      </c>
      <c r="J38" s="48">
        <f>IFERROR('Historical FS'!J80/'Historical FS'!J5,0)</f>
        <v>0.74783032967192176</v>
      </c>
      <c r="K38" s="48">
        <f>IFERROR('Historical FS'!K80/'Historical FS'!K5,0)</f>
        <v>8.0481833709765915E-2</v>
      </c>
      <c r="L38" s="48">
        <f>IFERROR('Historical FS'!L80/'Historical FS'!L5,0)</f>
        <v>0.66521846264241902</v>
      </c>
      <c r="M38" s="48">
        <f>IFERROR('Historical FS'!M80/'Historical FS'!M5,0)</f>
        <v>1.4310238188885025</v>
      </c>
      <c r="O38" s="32">
        <f>IFERROR(AVERAGE(D38:M38),0)</f>
        <v>0.84487179005200486</v>
      </c>
      <c r="P38" s="5">
        <f>IFERROR(MEDIAN(D38:M38),0)</f>
        <v>0.84704591179683697</v>
      </c>
    </row>
    <row r="39" spans="2:16" x14ac:dyDescent="0.3">
      <c r="B39" t="s">
        <v>169</v>
      </c>
      <c r="D39" s="33">
        <f>IFERROR('Historical FS'!D80/'Historical FS'!D65,0)</f>
        <v>0.57480492535293848</v>
      </c>
      <c r="E39" s="33">
        <f>IFERROR('Historical FS'!E80/'Historical FS'!E65,0)</f>
        <v>0.64181538887102074</v>
      </c>
      <c r="F39" s="33">
        <f>IFERROR('Historical FS'!F80/'Historical FS'!F65,0)</f>
        <v>0.52030105732130028</v>
      </c>
      <c r="G39" s="33">
        <f>IFERROR('Historical FS'!G80/'Historical FS'!G65,0)</f>
        <v>0.26974960183175201</v>
      </c>
      <c r="H39" s="33">
        <f>IFERROR('Historical FS'!H80/'Historical FS'!H65,0)</f>
        <v>0.17114328583377617</v>
      </c>
      <c r="I39" s="33">
        <f>IFERROR('Historical FS'!I80/'Historical FS'!I65,0)</f>
        <v>0.46875124774075738</v>
      </c>
      <c r="J39" s="33">
        <f>IFERROR('Historical FS'!J80/'Historical FS'!J65,0)</f>
        <v>0.41428338233066397</v>
      </c>
      <c r="K39" s="33">
        <f>IFERROR('Historical FS'!K80/'Historical FS'!K65,0)</f>
        <v>4.3760585489872002E-2</v>
      </c>
      <c r="L39" s="33">
        <f>IFERROR('Historical FS'!L80/'Historical FS'!L65,0)</f>
        <v>0.37817166116775691</v>
      </c>
      <c r="M39" s="33">
        <f>IFERROR('Historical FS'!M80/'Historical FS'!M65,0)</f>
        <v>0.81694382380653841</v>
      </c>
      <c r="O39" s="32">
        <f t="shared" ref="O39:O40" si="18">IFERROR(AVERAGE(D39:M39),0)</f>
        <v>0.4299724959746376</v>
      </c>
      <c r="P39" s="5">
        <f t="shared" ref="P39:P40" si="19">IFERROR(MEDIAN(D39:M39),0)</f>
        <v>0.44151731503571068</v>
      </c>
    </row>
    <row r="40" spans="2:16" x14ac:dyDescent="0.3">
      <c r="B40" s="49" t="s">
        <v>170</v>
      </c>
      <c r="C40" s="49"/>
      <c r="D40" s="50">
        <f>IFERROR('Historical FS'!D80/'Historical FS'!D50,0)</f>
        <v>3.7496645780273892</v>
      </c>
      <c r="E40" s="50">
        <f>IFERROR('Historical FS'!E80/'Historical FS'!E50,0)</f>
        <v>3.9882950882699655</v>
      </c>
      <c r="F40" s="50">
        <f>IFERROR('Historical FS'!F80/'Historical FS'!F50,0)</f>
        <v>3.2212932355153017</v>
      </c>
      <c r="G40" s="50">
        <f>IFERROR('Historical FS'!G80/'Historical FS'!G50,0)</f>
        <v>1.657067096808555</v>
      </c>
      <c r="H40" s="50">
        <f>IFERROR('Historical FS'!H80/'Historical FS'!H50,0)</f>
        <v>1.4036281942733992</v>
      </c>
      <c r="I40" s="50">
        <f>IFERROR('Historical FS'!I80/'Historical FS'!I50,0)</f>
        <v>8.1937041498430947</v>
      </c>
      <c r="J40" s="50">
        <f>IFERROR('Historical FS'!J80/'Historical FS'!J50,0)</f>
        <v>22.403317058048518</v>
      </c>
      <c r="K40" s="50">
        <f>IFERROR('Historical FS'!K80/'Historical FS'!K50,0)</f>
        <v>0.51293445853610364</v>
      </c>
      <c r="L40" s="50">
        <f>IFERROR('Historical FS'!L80/'Historical FS'!L50,0)</f>
        <v>9.8546890798400568</v>
      </c>
      <c r="M40" s="50">
        <f>IFERROR('Historical FS'!M80/'Historical FS'!M50,0)</f>
        <v>31.852221878849711</v>
      </c>
      <c r="O40" s="32">
        <f t="shared" si="18"/>
        <v>8.6836814818012105</v>
      </c>
      <c r="P40" s="5">
        <f t="shared" si="19"/>
        <v>3.8689798331486775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tabSelected="1" workbookViewId="0">
      <selection activeCell="G24" sqref="G24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1" max="11" width="8.88671875" customWidth="1"/>
    <col min="12" max="12" width="13" customWidth="1"/>
    <col min="14" max="14" width="8.6640625" customWidth="1"/>
    <col min="15" max="15" width="25.6640625" customWidth="1"/>
  </cols>
  <sheetData>
    <row r="2" spans="2:15" x14ac:dyDescent="0.3">
      <c r="B2" s="75" t="str">
        <f>'Data Sheet'!$B$1&amp;" -" &amp;'Data Sheet'!A17</f>
        <v>SUN PHARMACEUTICAL INDUSTRIES LTD -Sales</v>
      </c>
      <c r="C2" s="75"/>
      <c r="D2" s="75"/>
      <c r="E2" s="75"/>
      <c r="G2" s="76" t="str">
        <f>'Data Sheet'!$B$1&amp;" - "&amp;'Historical FS'!B17</f>
        <v>SUN PHARMACEUTICAL INDUSTRIES LTD - EBITDA</v>
      </c>
      <c r="H2" s="76"/>
      <c r="I2" s="76"/>
      <c r="J2" s="76"/>
      <c r="L2" s="76" t="str">
        <f>'Data Sheet'!B1&amp; " - " &amp;'Historical FS'!B38</f>
        <v>SUN PHARMACEUTICAL INDUSTRIES LTD - EPS(Earning per share)</v>
      </c>
      <c r="M2" s="76"/>
      <c r="N2" s="76"/>
      <c r="O2" s="76"/>
    </row>
    <row r="3" spans="2:15" x14ac:dyDescent="0.3">
      <c r="B3" s="41" t="s">
        <v>176</v>
      </c>
      <c r="C3" s="41" t="s">
        <v>177</v>
      </c>
      <c r="D3" s="42" t="s">
        <v>5</v>
      </c>
      <c r="E3" s="42" t="s">
        <v>21</v>
      </c>
      <c r="G3" s="41" t="s">
        <v>176</v>
      </c>
      <c r="H3" s="41" t="s">
        <v>177</v>
      </c>
      <c r="I3" s="42" t="s">
        <v>5</v>
      </c>
      <c r="J3" s="42" t="s">
        <v>21</v>
      </c>
      <c r="L3" s="41" t="s">
        <v>176</v>
      </c>
      <c r="M3" s="41" t="s">
        <v>177</v>
      </c>
      <c r="N3" s="42" t="s">
        <v>5</v>
      </c>
      <c r="O3" s="42" t="s">
        <v>21</v>
      </c>
    </row>
    <row r="4" spans="2:15" x14ac:dyDescent="0.3">
      <c r="B4">
        <v>1</v>
      </c>
      <c r="C4" s="39">
        <v>2015</v>
      </c>
      <c r="D4" s="40">
        <f t="array" ref="D4:D13">TRANSPOSE('Data Sheet'!B17:K17)</f>
        <v>28487.03</v>
      </c>
      <c r="G4">
        <v>1</v>
      </c>
      <c r="H4" s="39">
        <v>2015</v>
      </c>
      <c r="I4" s="40">
        <f t="array" ref="I4:I13">TRANSPOSE('Historical FS'!D17:M17)</f>
        <v>8173.8999999999987</v>
      </c>
      <c r="L4">
        <v>1</v>
      </c>
      <c r="M4" s="39">
        <v>2015</v>
      </c>
      <c r="N4" s="40">
        <f t="array" ref="N4:N13">TRANSPOSE('Historical FS'!D38:M38)</f>
        <v>23.681223251755512</v>
      </c>
    </row>
    <row r="5" spans="2:15" x14ac:dyDescent="0.3">
      <c r="B5">
        <f>B4+1</f>
        <v>2</v>
      </c>
      <c r="C5" s="39">
        <f>C4+1</f>
        <v>2016</v>
      </c>
      <c r="D5" s="40">
        <v>31578.44</v>
      </c>
      <c r="E5" s="29">
        <f>D5/D4-1</f>
        <v>0.10851991239521985</v>
      </c>
      <c r="G5">
        <f>G4+1</f>
        <v>2</v>
      </c>
      <c r="H5" s="39">
        <f>H4+1</f>
        <v>2016</v>
      </c>
      <c r="I5" s="40">
        <v>10102.019999999997</v>
      </c>
      <c r="J5" s="29">
        <f>I5/I4-1</f>
        <v>0.23588739769265565</v>
      </c>
      <c r="L5">
        <f>L4+1</f>
        <v>2</v>
      </c>
      <c r="M5" s="39">
        <f>M4+1</f>
        <v>2016</v>
      </c>
      <c r="N5" s="40">
        <v>30.1167007043721</v>
      </c>
      <c r="O5" s="29">
        <f>N5/N4-1</f>
        <v>0.2717544353262884</v>
      </c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 s="40">
        <v>26489.46</v>
      </c>
      <c r="E6" s="29">
        <f t="shared" ref="E6:E18" si="2">D6/D5-1</f>
        <v>-0.16115362253486876</v>
      </c>
      <c r="G6">
        <f t="shared" ref="G6:H18" si="3">G5+1</f>
        <v>3</v>
      </c>
      <c r="H6" s="39">
        <f t="shared" si="3"/>
        <v>2017</v>
      </c>
      <c r="I6" s="40">
        <v>5631.42</v>
      </c>
      <c r="J6" s="29">
        <f t="shared" ref="J6:J18" si="4">I6/I5-1</f>
        <v>-0.44254515433546937</v>
      </c>
      <c r="L6">
        <f t="shared" ref="L6:M6" si="5">L5+1</f>
        <v>3</v>
      </c>
      <c r="M6" s="39">
        <f t="shared" si="5"/>
        <v>2017</v>
      </c>
      <c r="N6" s="40">
        <v>11.265660817738508</v>
      </c>
      <c r="O6" s="29">
        <f t="shared" ref="O6:O18" si="6">N6/N5-1</f>
        <v>-0.62593310175895023</v>
      </c>
    </row>
    <row r="7" spans="2:15" x14ac:dyDescent="0.3">
      <c r="B7">
        <f t="shared" si="0"/>
        <v>4</v>
      </c>
      <c r="C7" s="39">
        <f t="shared" si="1"/>
        <v>2018</v>
      </c>
      <c r="D7" s="40">
        <v>29065.91</v>
      </c>
      <c r="E7" s="29">
        <f t="shared" si="2"/>
        <v>9.7263213368637969E-2</v>
      </c>
      <c r="G7">
        <f t="shared" si="3"/>
        <v>4</v>
      </c>
      <c r="H7" s="39">
        <f t="shared" si="3"/>
        <v>2018</v>
      </c>
      <c r="I7" s="40">
        <v>6376.9800000000014</v>
      </c>
      <c r="J7" s="29">
        <f t="shared" si="4"/>
        <v>0.13239289557518386</v>
      </c>
      <c r="L7">
        <f t="shared" ref="L7:M7" si="7">L6+1</f>
        <v>4</v>
      </c>
      <c r="M7" s="39">
        <f t="shared" si="7"/>
        <v>2018</v>
      </c>
      <c r="N7" s="40">
        <v>14.452548660025846</v>
      </c>
      <c r="O7" s="29">
        <f t="shared" si="6"/>
        <v>0.28288512266136911</v>
      </c>
    </row>
    <row r="8" spans="2:15" x14ac:dyDescent="0.3">
      <c r="B8">
        <f t="shared" si="0"/>
        <v>5</v>
      </c>
      <c r="C8" s="39">
        <f t="shared" si="1"/>
        <v>2019</v>
      </c>
      <c r="D8" s="40">
        <v>32837.5</v>
      </c>
      <c r="E8" s="29">
        <f t="shared" si="2"/>
        <v>0.12975991462163061</v>
      </c>
      <c r="G8">
        <f t="shared" si="3"/>
        <v>5</v>
      </c>
      <c r="H8" s="39">
        <f t="shared" si="3"/>
        <v>2019</v>
      </c>
      <c r="I8" s="40">
        <v>6982.8400000000011</v>
      </c>
      <c r="J8" s="29">
        <f t="shared" si="4"/>
        <v>9.5007354578499514E-2</v>
      </c>
      <c r="L8">
        <f t="shared" ref="L8:M8" si="8">L7+1</f>
        <v>5</v>
      </c>
      <c r="M8" s="39">
        <f t="shared" si="8"/>
        <v>2019</v>
      </c>
      <c r="N8" s="40">
        <v>15.85683324302922</v>
      </c>
      <c r="O8" s="29">
        <f t="shared" si="6"/>
        <v>9.7165186295997019E-2</v>
      </c>
    </row>
    <row r="9" spans="2:15" x14ac:dyDescent="0.3">
      <c r="B9">
        <f t="shared" si="0"/>
        <v>6</v>
      </c>
      <c r="C9" s="39">
        <f t="shared" si="1"/>
        <v>2020</v>
      </c>
      <c r="D9" s="40">
        <v>33498.14</v>
      </c>
      <c r="E9" s="29">
        <f t="shared" si="2"/>
        <v>2.0118462124095959E-2</v>
      </c>
      <c r="G9">
        <f t="shared" si="3"/>
        <v>6</v>
      </c>
      <c r="H9" s="39">
        <f t="shared" si="3"/>
        <v>2020</v>
      </c>
      <c r="I9" s="40">
        <v>8469.9599999999991</v>
      </c>
      <c r="J9" s="29">
        <f t="shared" si="4"/>
        <v>0.21296778960995777</v>
      </c>
      <c r="L9">
        <f t="shared" ref="L9:M9" si="9">L8+1</f>
        <v>6</v>
      </c>
      <c r="M9" s="39">
        <f t="shared" si="9"/>
        <v>2020</v>
      </c>
      <c r="N9" s="40">
        <v>23.898178635435332</v>
      </c>
      <c r="O9" s="29">
        <f t="shared" si="6"/>
        <v>0.50712177325451457</v>
      </c>
    </row>
    <row r="10" spans="2:15" x14ac:dyDescent="0.3">
      <c r="B10">
        <f t="shared" si="0"/>
        <v>7</v>
      </c>
      <c r="C10" s="39">
        <f t="shared" si="1"/>
        <v>2021</v>
      </c>
      <c r="D10" s="40">
        <v>38654.49</v>
      </c>
      <c r="E10" s="29">
        <f t="shared" si="2"/>
        <v>0.15392944205260339</v>
      </c>
      <c r="G10">
        <f t="shared" si="3"/>
        <v>7</v>
      </c>
      <c r="H10" s="39">
        <f t="shared" si="3"/>
        <v>2021</v>
      </c>
      <c r="I10" s="40">
        <v>10257.569999999996</v>
      </c>
      <c r="J10" s="29">
        <f t="shared" si="4"/>
        <v>0.21105294476006931</v>
      </c>
      <c r="L10">
        <f t="shared" ref="L10:M10" si="10">L9+1</f>
        <v>7</v>
      </c>
      <c r="M10" s="39">
        <f t="shared" si="10"/>
        <v>2021</v>
      </c>
      <c r="N10" s="40">
        <v>28.804151210769788</v>
      </c>
      <c r="O10" s="29">
        <f t="shared" si="6"/>
        <v>0.2052864634654652</v>
      </c>
    </row>
    <row r="11" spans="2:15" x14ac:dyDescent="0.3">
      <c r="B11">
        <f t="shared" si="0"/>
        <v>8</v>
      </c>
      <c r="C11" s="39">
        <f t="shared" si="1"/>
        <v>2022</v>
      </c>
      <c r="D11" s="40">
        <v>43885.68</v>
      </c>
      <c r="E11" s="29">
        <f t="shared" si="2"/>
        <v>0.1353320144697292</v>
      </c>
      <c r="G11">
        <f t="shared" si="3"/>
        <v>8</v>
      </c>
      <c r="H11" s="39">
        <f t="shared" si="3"/>
        <v>2022</v>
      </c>
      <c r="I11" s="40">
        <v>11650.440000000002</v>
      </c>
      <c r="J11" s="29">
        <f t="shared" si="4"/>
        <v>0.13578947060561197</v>
      </c>
      <c r="L11">
        <f t="shared" ref="L11:M11" si="11">L10+1</f>
        <v>8</v>
      </c>
      <c r="M11" s="39">
        <f t="shared" si="11"/>
        <v>2022</v>
      </c>
      <c r="N11" s="40">
        <v>33.765765014795988</v>
      </c>
      <c r="O11" s="29">
        <f t="shared" si="6"/>
        <v>0.17225342860202275</v>
      </c>
    </row>
    <row r="12" spans="2:15" x14ac:dyDescent="0.3">
      <c r="B12">
        <f t="shared" si="0"/>
        <v>9</v>
      </c>
      <c r="C12" s="39">
        <f t="shared" si="1"/>
        <v>2023</v>
      </c>
      <c r="D12" s="40">
        <v>48496.85</v>
      </c>
      <c r="E12" s="29">
        <f t="shared" si="2"/>
        <v>0.10507231516066295</v>
      </c>
      <c r="G12">
        <f t="shared" si="3"/>
        <v>9</v>
      </c>
      <c r="H12" s="39">
        <f t="shared" si="3"/>
        <v>2023</v>
      </c>
      <c r="I12" s="40">
        <v>13017.769999999995</v>
      </c>
      <c r="J12" s="29">
        <f t="shared" si="4"/>
        <v>0.11736294938216862</v>
      </c>
      <c r="L12">
        <f t="shared" ref="L12:M12" si="12">L11+1</f>
        <v>9</v>
      </c>
      <c r="M12" s="39">
        <f t="shared" si="12"/>
        <v>2023</v>
      </c>
      <c r="N12" s="40">
        <v>36.607385487433817</v>
      </c>
      <c r="O12" s="29">
        <f t="shared" si="6"/>
        <v>8.4156851514918918E-2</v>
      </c>
    </row>
    <row r="13" spans="2:15" x14ac:dyDescent="0.3">
      <c r="B13">
        <f t="shared" si="0"/>
        <v>10</v>
      </c>
      <c r="C13" s="39">
        <f t="shared" si="1"/>
        <v>2024</v>
      </c>
      <c r="D13" s="40">
        <v>52578.44</v>
      </c>
      <c r="E13" s="29">
        <f t="shared" si="2"/>
        <v>8.4161961034582733E-2</v>
      </c>
      <c r="G13">
        <f t="shared" si="3"/>
        <v>10</v>
      </c>
      <c r="H13" s="39">
        <f t="shared" si="3"/>
        <v>2024</v>
      </c>
      <c r="I13" s="40">
        <v>15271.690000000002</v>
      </c>
      <c r="J13" s="29">
        <f t="shared" si="4"/>
        <v>0.17314179003009023</v>
      </c>
      <c r="L13">
        <f t="shared" ref="L13:M13" si="13">L12+1</f>
        <v>10</v>
      </c>
      <c r="M13" s="39">
        <f t="shared" si="13"/>
        <v>2024</v>
      </c>
      <c r="N13" s="40">
        <v>40.398908014837666</v>
      </c>
      <c r="O13" s="29">
        <f t="shared" si="6"/>
        <v>0.1035726118355369</v>
      </c>
    </row>
    <row r="14" spans="2:15" x14ac:dyDescent="0.3">
      <c r="B14" s="43">
        <f t="shared" si="0"/>
        <v>11</v>
      </c>
      <c r="C14" s="44">
        <f t="shared" si="1"/>
        <v>2025</v>
      </c>
      <c r="D14" s="46">
        <f>FORECAST(B14,$D$4:$D$13,$B$4:$B$13)</f>
        <v>51612.495333333325</v>
      </c>
      <c r="E14" s="45">
        <f t="shared" si="2"/>
        <v>-1.8371497265165626E-2</v>
      </c>
      <c r="G14" s="43">
        <f t="shared" si="3"/>
        <v>11</v>
      </c>
      <c r="H14" s="44">
        <f t="shared" si="3"/>
        <v>2025</v>
      </c>
      <c r="I14" s="46">
        <f>FORECAST(G14,$I$4:$I$13,$G$4:$G$13)</f>
        <v>13843.937333333331</v>
      </c>
      <c r="J14" s="45">
        <f t="shared" si="4"/>
        <v>-9.3490155095256045E-2</v>
      </c>
      <c r="L14" s="43">
        <f t="shared" ref="L14:M14" si="14">L13+1</f>
        <v>11</v>
      </c>
      <c r="M14" s="44">
        <f t="shared" si="14"/>
        <v>2025</v>
      </c>
      <c r="N14" s="46">
        <f>FORECAST(L14,$N$4:$N$13,$L$4:$L$13)</f>
        <v>37.86775651665593</v>
      </c>
      <c r="O14" s="45">
        <f t="shared" si="6"/>
        <v>-6.2653958301350565E-2</v>
      </c>
    </row>
    <row r="15" spans="2:15" x14ac:dyDescent="0.3">
      <c r="B15" s="43">
        <f t="shared" si="0"/>
        <v>12</v>
      </c>
      <c r="C15" s="44">
        <f t="shared" si="1"/>
        <v>2026</v>
      </c>
      <c r="D15" s="46">
        <f t="shared" ref="D15:D18" si="15">FORECAST(B15,$D$4:$D$13,$B$4:$B$13)</f>
        <v>54349.822848484844</v>
      </c>
      <c r="E15" s="45">
        <f t="shared" si="2"/>
        <v>5.3036139746253319E-2</v>
      </c>
      <c r="G15" s="43">
        <f t="shared" si="3"/>
        <v>12</v>
      </c>
      <c r="H15" s="44">
        <f t="shared" si="3"/>
        <v>2026</v>
      </c>
      <c r="I15" s="46">
        <f t="shared" ref="I15:I18" si="16">FORECAST(G15,$I$4:$I$13,$G$4:$G$13)</f>
        <v>14616.751575757575</v>
      </c>
      <c r="J15" s="45">
        <f t="shared" si="4"/>
        <v>5.5823298229143781E-2</v>
      </c>
      <c r="L15" s="43">
        <f t="shared" ref="L15:M15" si="17">L14+1</f>
        <v>12</v>
      </c>
      <c r="M15" s="44">
        <f t="shared" si="17"/>
        <v>2026</v>
      </c>
      <c r="N15" s="46">
        <f t="shared" ref="N15:N18" si="18">FORECAST(L15,$N$4:$N$13,$L$4:$L$13)</f>
        <v>40.046487609862581</v>
      </c>
      <c r="O15" s="45">
        <f t="shared" si="6"/>
        <v>5.7535256736119145E-2</v>
      </c>
    </row>
    <row r="16" spans="2:15" x14ac:dyDescent="0.3">
      <c r="B16" s="43">
        <f t="shared" si="0"/>
        <v>13</v>
      </c>
      <c r="C16" s="44">
        <f t="shared" si="1"/>
        <v>2027</v>
      </c>
      <c r="D16" s="46">
        <f t="shared" si="15"/>
        <v>57087.150363636356</v>
      </c>
      <c r="E16" s="45">
        <f t="shared" si="2"/>
        <v>5.0364975848818716E-2</v>
      </c>
      <c r="G16" s="43">
        <f t="shared" si="3"/>
        <v>13</v>
      </c>
      <c r="H16" s="44">
        <f t="shared" si="3"/>
        <v>2027</v>
      </c>
      <c r="I16" s="46">
        <f t="shared" si="16"/>
        <v>15389.565818181818</v>
      </c>
      <c r="J16" s="45">
        <f t="shared" si="4"/>
        <v>5.2871818913990731E-2</v>
      </c>
      <c r="L16" s="43">
        <f t="shared" ref="L16:M16" si="19">L15+1</f>
        <v>13</v>
      </c>
      <c r="M16" s="44">
        <f t="shared" si="19"/>
        <v>2027</v>
      </c>
      <c r="N16" s="46">
        <f t="shared" si="18"/>
        <v>42.225218703069224</v>
      </c>
      <c r="O16" s="45">
        <f t="shared" si="6"/>
        <v>5.4405048313652005E-2</v>
      </c>
    </row>
    <row r="17" spans="2:15" x14ac:dyDescent="0.3">
      <c r="B17" s="43">
        <f t="shared" si="0"/>
        <v>14</v>
      </c>
      <c r="C17" s="44">
        <f t="shared" si="1"/>
        <v>2028</v>
      </c>
      <c r="D17" s="46">
        <f t="shared" si="15"/>
        <v>59824.477878787875</v>
      </c>
      <c r="E17" s="45">
        <f t="shared" si="2"/>
        <v>4.7949976443300457E-2</v>
      </c>
      <c r="G17" s="43">
        <f t="shared" si="3"/>
        <v>14</v>
      </c>
      <c r="H17" s="44">
        <f t="shared" si="3"/>
        <v>2028</v>
      </c>
      <c r="I17" s="46">
        <f t="shared" si="16"/>
        <v>16162.380060606061</v>
      </c>
      <c r="J17" s="45">
        <f t="shared" si="4"/>
        <v>5.0216767097562398E-2</v>
      </c>
      <c r="L17" s="43">
        <f t="shared" ref="L17:M17" si="20">L16+1</f>
        <v>14</v>
      </c>
      <c r="M17" s="44">
        <f t="shared" si="20"/>
        <v>2028</v>
      </c>
      <c r="N17" s="46">
        <f t="shared" si="18"/>
        <v>44.403949796275874</v>
      </c>
      <c r="O17" s="45">
        <f t="shared" si="6"/>
        <v>5.1597864028310791E-2</v>
      </c>
    </row>
    <row r="18" spans="2:15" x14ac:dyDescent="0.3">
      <c r="B18" s="43">
        <f t="shared" si="0"/>
        <v>15</v>
      </c>
      <c r="C18" s="44">
        <f t="shared" si="1"/>
        <v>2029</v>
      </c>
      <c r="D18" s="46">
        <f t="shared" si="15"/>
        <v>62561.805393939394</v>
      </c>
      <c r="E18" s="45">
        <f t="shared" si="2"/>
        <v>4.5755978358853255E-2</v>
      </c>
      <c r="G18" s="43">
        <f t="shared" si="3"/>
        <v>15</v>
      </c>
      <c r="H18" s="44">
        <f t="shared" si="3"/>
        <v>2029</v>
      </c>
      <c r="I18" s="46">
        <f t="shared" si="16"/>
        <v>16935.194303030301</v>
      </c>
      <c r="J18" s="45">
        <f t="shared" si="4"/>
        <v>4.7815621184895019E-2</v>
      </c>
      <c r="L18" s="43">
        <f t="shared" ref="L18:M18" si="21">L17+1</f>
        <v>15</v>
      </c>
      <c r="M18" s="44">
        <f t="shared" si="21"/>
        <v>2029</v>
      </c>
      <c r="N18" s="46">
        <f t="shared" si="18"/>
        <v>46.582680889482518</v>
      </c>
      <c r="O18" s="45">
        <f t="shared" si="6"/>
        <v>4.906615522273583E-2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2025-07-07T10:56:11Z</dcterms:modified>
</cp:coreProperties>
</file>