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CE9E9DB-70F6-4C6D-B94D-64BAE951ED40}" xr6:coauthVersionLast="47" xr6:coauthVersionMax="47" xr10:uidLastSave="{00000000-0000-0000-0000-000000000000}"/>
  <bookViews>
    <workbookView xWindow="11424" yWindow="0" windowWidth="11712" windowHeight="12336" firstSheet="2" activeTab="3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Data&gt;" sheetId="9" r:id="rId5"/>
    <sheet name="Data Sheet" sheetId="6" r:id="rId6"/>
    <sheet name="Financials&gt;" sheetId="7" r:id="rId7"/>
    <sheet name="Historical FS" sheetId="8" r:id="rId8"/>
    <sheet name="Cash Flow Data" sheetId="10" r:id="rId9"/>
    <sheet name="Ratio Analysis" sheetId="11" r:id="rId10"/>
    <sheet name="Forecasting" sheetId="12" r:id="rId11"/>
  </sheets>
  <definedNames>
    <definedName name="UPDATE">'Data Sheet'!$E$1</definedName>
  </definedNames>
  <calcPr calcId="191029" iterate="1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5" i="12" l="1"/>
  <c r="M6" i="12" s="1"/>
  <c r="M7" i="12" s="1"/>
  <c r="M8" i="12" s="1"/>
  <c r="M9" i="12" s="1"/>
  <c r="M10" i="12" s="1"/>
  <c r="M11" i="12" s="1"/>
  <c r="M12" i="12" s="1"/>
  <c r="M13" i="12" s="1"/>
  <c r="M14" i="12" s="1"/>
  <c r="M15" i="12" s="1"/>
  <c r="M16" i="12" s="1"/>
  <c r="M17" i="12" s="1"/>
  <c r="M18" i="12" s="1"/>
  <c r="L5" i="12"/>
  <c r="L6" i="12" s="1"/>
  <c r="L7" i="12" s="1"/>
  <c r="L8" i="12" s="1"/>
  <c r="L9" i="12" s="1"/>
  <c r="L10" i="12" s="1"/>
  <c r="L11" i="12" s="1"/>
  <c r="L12" i="12" s="1"/>
  <c r="L13" i="12" s="1"/>
  <c r="L14" i="12" s="1"/>
  <c r="L15" i="12" s="1"/>
  <c r="L16" i="12" s="1"/>
  <c r="L17" i="12" s="1"/>
  <c r="L18" i="12" s="1"/>
  <c r="L2" i="12"/>
  <c r="G2" i="12"/>
  <c r="H5" i="12"/>
  <c r="H6" i="12" s="1"/>
  <c r="H7" i="12" s="1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G5" i="12"/>
  <c r="G6" i="12" s="1"/>
  <c r="G7" i="12" s="1"/>
  <c r="G8" i="12" s="1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B2" i="12"/>
  <c r="D4" i="12" a="1"/>
  <c r="D4" i="12" s="1"/>
  <c r="C5" i="12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B5" i="12"/>
  <c r="B6" i="12" s="1"/>
  <c r="B7" i="12" s="1"/>
  <c r="B8" i="12" s="1"/>
  <c r="B9" i="12" s="1"/>
  <c r="B10" i="12" s="1"/>
  <c r="B11" i="12" s="1"/>
  <c r="B12" i="12" s="1"/>
  <c r="B13" i="12" s="1"/>
  <c r="B14" i="12" s="1"/>
  <c r="M35" i="11"/>
  <c r="J31" i="11"/>
  <c r="I31" i="11"/>
  <c r="H31" i="11"/>
  <c r="J30" i="11"/>
  <c r="E30" i="11"/>
  <c r="M29" i="11"/>
  <c r="E29" i="11"/>
  <c r="E35" i="11" s="1"/>
  <c r="M28" i="11"/>
  <c r="M34" i="11" s="1"/>
  <c r="M36" i="11" s="1"/>
  <c r="L28" i="11"/>
  <c r="L34" i="11" s="1"/>
  <c r="L36" i="11" s="1"/>
  <c r="K28" i="11"/>
  <c r="K34" i="11" s="1"/>
  <c r="L27" i="11"/>
  <c r="L33" i="11" s="1"/>
  <c r="D28" i="11"/>
  <c r="H17" i="11"/>
  <c r="N21" i="8"/>
  <c r="M21" i="8"/>
  <c r="L21" i="8"/>
  <c r="K21" i="8"/>
  <c r="J21" i="8"/>
  <c r="I21" i="8"/>
  <c r="H21" i="8"/>
  <c r="G21" i="8"/>
  <c r="F21" i="8"/>
  <c r="E21" i="8"/>
  <c r="D21" i="8"/>
  <c r="L12" i="8"/>
  <c r="L11" i="11" s="1"/>
  <c r="K12" i="8"/>
  <c r="K11" i="11" s="1"/>
  <c r="J12" i="8"/>
  <c r="J11" i="11" s="1"/>
  <c r="I12" i="8"/>
  <c r="I11" i="11" s="1"/>
  <c r="H12" i="8"/>
  <c r="H11" i="11" s="1"/>
  <c r="G12" i="8"/>
  <c r="G11" i="11" s="1"/>
  <c r="B2" i="11"/>
  <c r="M3" i="11"/>
  <c r="L3" i="11"/>
  <c r="K3" i="11"/>
  <c r="J3" i="11"/>
  <c r="I3" i="11"/>
  <c r="H3" i="11"/>
  <c r="G3" i="11"/>
  <c r="F3" i="11"/>
  <c r="E3" i="11"/>
  <c r="D3" i="11"/>
  <c r="M104" i="8"/>
  <c r="L104" i="8"/>
  <c r="K104" i="8"/>
  <c r="J104" i="8"/>
  <c r="I104" i="8"/>
  <c r="H104" i="8"/>
  <c r="G104" i="8"/>
  <c r="F104" i="8"/>
  <c r="E104" i="8"/>
  <c r="D104" i="8"/>
  <c r="M103" i="8"/>
  <c r="L103" i="8"/>
  <c r="K103" i="8"/>
  <c r="J103" i="8"/>
  <c r="I103" i="8"/>
  <c r="H103" i="8"/>
  <c r="G103" i="8"/>
  <c r="F103" i="8"/>
  <c r="E103" i="8"/>
  <c r="D103" i="8"/>
  <c r="M102" i="8"/>
  <c r="L102" i="8"/>
  <c r="K102" i="8"/>
  <c r="J102" i="8"/>
  <c r="I102" i="8"/>
  <c r="H102" i="8"/>
  <c r="G102" i="8"/>
  <c r="F102" i="8"/>
  <c r="E102" i="8"/>
  <c r="D102" i="8"/>
  <c r="M101" i="8"/>
  <c r="L101" i="8"/>
  <c r="K101" i="8"/>
  <c r="J101" i="8"/>
  <c r="I101" i="8"/>
  <c r="H101" i="8"/>
  <c r="G101" i="8"/>
  <c r="F101" i="8"/>
  <c r="E101" i="8"/>
  <c r="D101" i="8"/>
  <c r="M100" i="8"/>
  <c r="L100" i="8"/>
  <c r="K100" i="8"/>
  <c r="J100" i="8"/>
  <c r="I100" i="8"/>
  <c r="H100" i="8"/>
  <c r="G100" i="8"/>
  <c r="F100" i="8"/>
  <c r="E100" i="8"/>
  <c r="D100" i="8"/>
  <c r="M99" i="8"/>
  <c r="L99" i="8"/>
  <c r="K99" i="8"/>
  <c r="J99" i="8"/>
  <c r="I99" i="8"/>
  <c r="H99" i="8"/>
  <c r="G99" i="8"/>
  <c r="F99" i="8"/>
  <c r="E99" i="8"/>
  <c r="D99" i="8"/>
  <c r="M98" i="8"/>
  <c r="L98" i="8"/>
  <c r="K98" i="8"/>
  <c r="J98" i="8"/>
  <c r="I98" i="8"/>
  <c r="H98" i="8"/>
  <c r="G98" i="8"/>
  <c r="F98" i="8"/>
  <c r="E98" i="8"/>
  <c r="D98" i="8"/>
  <c r="M97" i="8"/>
  <c r="L97" i="8"/>
  <c r="K97" i="8"/>
  <c r="J97" i="8"/>
  <c r="I97" i="8"/>
  <c r="H97" i="8"/>
  <c r="G97" i="8"/>
  <c r="F97" i="8"/>
  <c r="E97" i="8"/>
  <c r="D97" i="8"/>
  <c r="M93" i="8"/>
  <c r="L93" i="8"/>
  <c r="K93" i="8"/>
  <c r="J93" i="8"/>
  <c r="I93" i="8"/>
  <c r="H93" i="8"/>
  <c r="G93" i="8"/>
  <c r="F93" i="8"/>
  <c r="E93" i="8"/>
  <c r="D93" i="8"/>
  <c r="M92" i="8"/>
  <c r="L92" i="8"/>
  <c r="K92" i="8"/>
  <c r="J92" i="8"/>
  <c r="I92" i="8"/>
  <c r="H92" i="8"/>
  <c r="G92" i="8"/>
  <c r="F92" i="8"/>
  <c r="E92" i="8"/>
  <c r="D92" i="8"/>
  <c r="M91" i="8"/>
  <c r="L91" i="8"/>
  <c r="K91" i="8"/>
  <c r="J91" i="8"/>
  <c r="I91" i="8"/>
  <c r="H91" i="8"/>
  <c r="G91" i="8"/>
  <c r="F91" i="8"/>
  <c r="E91" i="8"/>
  <c r="D91" i="8"/>
  <c r="M90" i="8"/>
  <c r="L90" i="8"/>
  <c r="K90" i="8"/>
  <c r="J90" i="8"/>
  <c r="I90" i="8"/>
  <c r="H90" i="8"/>
  <c r="G90" i="8"/>
  <c r="F90" i="8"/>
  <c r="E90" i="8"/>
  <c r="D90" i="8"/>
  <c r="M89" i="8"/>
  <c r="L89" i="8"/>
  <c r="K89" i="8"/>
  <c r="J89" i="8"/>
  <c r="I89" i="8"/>
  <c r="H89" i="8"/>
  <c r="G89" i="8"/>
  <c r="F89" i="8"/>
  <c r="E89" i="8"/>
  <c r="D89" i="8"/>
  <c r="M88" i="8"/>
  <c r="L88" i="8"/>
  <c r="K88" i="8"/>
  <c r="J88" i="8"/>
  <c r="I88" i="8"/>
  <c r="H88" i="8"/>
  <c r="G88" i="8"/>
  <c r="F88" i="8"/>
  <c r="E88" i="8"/>
  <c r="D88" i="8"/>
  <c r="M87" i="8"/>
  <c r="L87" i="8"/>
  <c r="K87" i="8"/>
  <c r="J87" i="8"/>
  <c r="I87" i="8"/>
  <c r="H87" i="8"/>
  <c r="G87" i="8"/>
  <c r="F87" i="8"/>
  <c r="E87" i="8"/>
  <c r="D87" i="8"/>
  <c r="M86" i="8"/>
  <c r="L86" i="8"/>
  <c r="K86" i="8"/>
  <c r="J86" i="8"/>
  <c r="I86" i="8"/>
  <c r="H86" i="8"/>
  <c r="G86" i="8"/>
  <c r="F86" i="8"/>
  <c r="E86" i="8"/>
  <c r="D86" i="8"/>
  <c r="M85" i="8"/>
  <c r="L85" i="8"/>
  <c r="K85" i="8"/>
  <c r="J85" i="8"/>
  <c r="I85" i="8"/>
  <c r="H85" i="8"/>
  <c r="G85" i="8"/>
  <c r="F85" i="8"/>
  <c r="E85" i="8"/>
  <c r="D85" i="8"/>
  <c r="M84" i="8"/>
  <c r="L84" i="8"/>
  <c r="K84" i="8"/>
  <c r="J84" i="8"/>
  <c r="I84" i="8"/>
  <c r="H84" i="8"/>
  <c r="G84" i="8"/>
  <c r="F84" i="8"/>
  <c r="E84" i="8"/>
  <c r="D84" i="8"/>
  <c r="M83" i="8"/>
  <c r="L83" i="8"/>
  <c r="K83" i="8"/>
  <c r="J83" i="8"/>
  <c r="I83" i="8"/>
  <c r="H83" i="8"/>
  <c r="G83" i="8"/>
  <c r="F83" i="8"/>
  <c r="E83" i="8"/>
  <c r="D83" i="8"/>
  <c r="M79" i="8"/>
  <c r="L79" i="8"/>
  <c r="K79" i="8"/>
  <c r="J79" i="8"/>
  <c r="I79" i="8"/>
  <c r="H79" i="8"/>
  <c r="G79" i="8"/>
  <c r="F79" i="8"/>
  <c r="E79" i="8"/>
  <c r="M78" i="8"/>
  <c r="L78" i="8"/>
  <c r="K78" i="8"/>
  <c r="J78" i="8"/>
  <c r="I78" i="8"/>
  <c r="H78" i="8"/>
  <c r="G78" i="8"/>
  <c r="F78" i="8"/>
  <c r="E78" i="8"/>
  <c r="M77" i="8"/>
  <c r="L77" i="8"/>
  <c r="K77" i="8"/>
  <c r="J77" i="8"/>
  <c r="I77" i="8"/>
  <c r="H77" i="8"/>
  <c r="G77" i="8"/>
  <c r="F77" i="8"/>
  <c r="E77" i="8"/>
  <c r="M76" i="8"/>
  <c r="L76" i="8"/>
  <c r="K76" i="8"/>
  <c r="J76" i="8"/>
  <c r="I76" i="8"/>
  <c r="H76" i="8"/>
  <c r="G76" i="8"/>
  <c r="F76" i="8"/>
  <c r="E76" i="8"/>
  <c r="M75" i="8"/>
  <c r="L75" i="8"/>
  <c r="K75" i="8"/>
  <c r="J75" i="8"/>
  <c r="I75" i="8"/>
  <c r="H75" i="8"/>
  <c r="G75" i="8"/>
  <c r="F75" i="8"/>
  <c r="E75" i="8"/>
  <c r="M74" i="8"/>
  <c r="L74" i="8"/>
  <c r="K74" i="8"/>
  <c r="J74" i="8"/>
  <c r="I74" i="8"/>
  <c r="H74" i="8"/>
  <c r="G74" i="8"/>
  <c r="F74" i="8"/>
  <c r="E74" i="8"/>
  <c r="M73" i="8"/>
  <c r="L73" i="8"/>
  <c r="K73" i="8"/>
  <c r="J73" i="8"/>
  <c r="I73" i="8"/>
  <c r="H73" i="8"/>
  <c r="G73" i="8"/>
  <c r="F73" i="8"/>
  <c r="E73" i="8"/>
  <c r="M72" i="8"/>
  <c r="L72" i="8"/>
  <c r="K72" i="8"/>
  <c r="J72" i="8"/>
  <c r="I72" i="8"/>
  <c r="H72" i="8"/>
  <c r="G72" i="8"/>
  <c r="F72" i="8"/>
  <c r="E72" i="8"/>
  <c r="D74" i="8"/>
  <c r="D79" i="8"/>
  <c r="D78" i="8"/>
  <c r="D77" i="8"/>
  <c r="D76" i="8"/>
  <c r="D75" i="8"/>
  <c r="D73" i="8"/>
  <c r="D72" i="8"/>
  <c r="M57" i="8"/>
  <c r="L57" i="8"/>
  <c r="K57" i="8"/>
  <c r="J57" i="8"/>
  <c r="I57" i="8"/>
  <c r="H57" i="8"/>
  <c r="G57" i="8"/>
  <c r="F57" i="8"/>
  <c r="E57" i="8"/>
  <c r="D57" i="8"/>
  <c r="M62" i="8"/>
  <c r="L62" i="8"/>
  <c r="K62" i="8"/>
  <c r="J62" i="8"/>
  <c r="I62" i="8"/>
  <c r="H62" i="8"/>
  <c r="G62" i="8"/>
  <c r="F62" i="8"/>
  <c r="E62" i="8"/>
  <c r="D62" i="8"/>
  <c r="M61" i="8"/>
  <c r="L61" i="8"/>
  <c r="K61" i="8"/>
  <c r="J61" i="8"/>
  <c r="I61" i="8"/>
  <c r="H61" i="8"/>
  <c r="G61" i="8"/>
  <c r="F61" i="8"/>
  <c r="E61" i="8"/>
  <c r="D61" i="8"/>
  <c r="M60" i="8"/>
  <c r="M27" i="11" s="1"/>
  <c r="M33" i="11" s="1"/>
  <c r="L60" i="8"/>
  <c r="K60" i="8"/>
  <c r="J60" i="8"/>
  <c r="I60" i="8"/>
  <c r="H60" i="8"/>
  <c r="G60" i="8"/>
  <c r="F60" i="8"/>
  <c r="E60" i="8"/>
  <c r="E27" i="11" s="1"/>
  <c r="E33" i="11" s="1"/>
  <c r="D60" i="8"/>
  <c r="D27" i="11" s="1"/>
  <c r="M56" i="8"/>
  <c r="L56" i="8"/>
  <c r="K56" i="8"/>
  <c r="J56" i="8"/>
  <c r="I56" i="8"/>
  <c r="H56" i="8"/>
  <c r="G56" i="8"/>
  <c r="F56" i="8"/>
  <c r="E56" i="8"/>
  <c r="D56" i="8"/>
  <c r="M55" i="8"/>
  <c r="L55" i="8"/>
  <c r="K55" i="8"/>
  <c r="J55" i="8"/>
  <c r="I55" i="8"/>
  <c r="H55" i="8"/>
  <c r="G55" i="8"/>
  <c r="F55" i="8"/>
  <c r="E55" i="8"/>
  <c r="D55" i="8"/>
  <c r="M54" i="8"/>
  <c r="M30" i="11" s="1"/>
  <c r="L54" i="8"/>
  <c r="K54" i="8"/>
  <c r="J54" i="8"/>
  <c r="I54" i="8"/>
  <c r="H54" i="8"/>
  <c r="G54" i="8"/>
  <c r="F54" i="8"/>
  <c r="E54" i="8"/>
  <c r="D54" i="8"/>
  <c r="M52" i="8"/>
  <c r="L52" i="8"/>
  <c r="K52" i="8"/>
  <c r="J52" i="8"/>
  <c r="I52" i="8"/>
  <c r="H52" i="8"/>
  <c r="G52" i="8"/>
  <c r="F52" i="8"/>
  <c r="E52" i="8"/>
  <c r="M51" i="8"/>
  <c r="L51" i="8"/>
  <c r="K51" i="8"/>
  <c r="J51" i="8"/>
  <c r="I51" i="8"/>
  <c r="H51" i="8"/>
  <c r="G51" i="8"/>
  <c r="F51" i="8"/>
  <c r="E51" i="8"/>
  <c r="M50" i="8"/>
  <c r="L50" i="8"/>
  <c r="K50" i="8"/>
  <c r="J50" i="8"/>
  <c r="I50" i="8"/>
  <c r="H50" i="8"/>
  <c r="G50" i="8"/>
  <c r="F50" i="8"/>
  <c r="E50" i="8"/>
  <c r="M49" i="8"/>
  <c r="M31" i="11" s="1"/>
  <c r="L49" i="8"/>
  <c r="L31" i="11" s="1"/>
  <c r="K49" i="8"/>
  <c r="K31" i="11" s="1"/>
  <c r="J49" i="8"/>
  <c r="I49" i="8"/>
  <c r="H49" i="8"/>
  <c r="G49" i="8"/>
  <c r="F49" i="8"/>
  <c r="E49" i="8"/>
  <c r="M48" i="8"/>
  <c r="L48" i="8"/>
  <c r="K48" i="8"/>
  <c r="J48" i="8"/>
  <c r="I48" i="8"/>
  <c r="H48" i="8"/>
  <c r="G48" i="8"/>
  <c r="F48" i="8"/>
  <c r="E48" i="8"/>
  <c r="E31" i="11" s="1"/>
  <c r="D52" i="8"/>
  <c r="D51" i="8"/>
  <c r="D50" i="8"/>
  <c r="D49" i="8"/>
  <c r="D48" i="8"/>
  <c r="M36" i="8"/>
  <c r="M41" i="8" s="1"/>
  <c r="L36" i="8"/>
  <c r="L41" i="8" s="1"/>
  <c r="K36" i="8"/>
  <c r="K41" i="8" s="1"/>
  <c r="J36" i="8"/>
  <c r="J41" i="8" s="1"/>
  <c r="I36" i="8"/>
  <c r="I41" i="8" s="1"/>
  <c r="H36" i="8"/>
  <c r="H41" i="8" s="1"/>
  <c r="G36" i="8"/>
  <c r="G41" i="8" s="1"/>
  <c r="G9" i="11" s="1"/>
  <c r="F36" i="8"/>
  <c r="F41" i="8" s="1"/>
  <c r="E36" i="8"/>
  <c r="E41" i="8" s="1"/>
  <c r="D36" i="8"/>
  <c r="D41" i="8" s="1"/>
  <c r="N30" i="8"/>
  <c r="M30" i="8"/>
  <c r="L30" i="8"/>
  <c r="K30" i="8"/>
  <c r="J30" i="8"/>
  <c r="I30" i="8"/>
  <c r="H30" i="8"/>
  <c r="G30" i="8"/>
  <c r="F30" i="8"/>
  <c r="E30" i="8"/>
  <c r="D30" i="8"/>
  <c r="M24" i="8"/>
  <c r="L24" i="8"/>
  <c r="K24" i="8"/>
  <c r="J24" i="8"/>
  <c r="I24" i="8"/>
  <c r="H24" i="8"/>
  <c r="H25" i="8" s="1"/>
  <c r="H18" i="11" s="1"/>
  <c r="G24" i="8"/>
  <c r="F24" i="8"/>
  <c r="E24" i="8"/>
  <c r="D24" i="8"/>
  <c r="N24" i="8"/>
  <c r="N14" i="8"/>
  <c r="M14" i="8"/>
  <c r="L14" i="8"/>
  <c r="K14" i="8"/>
  <c r="J14" i="8"/>
  <c r="I14" i="8"/>
  <c r="H14" i="8"/>
  <c r="H15" i="8" s="1"/>
  <c r="G14" i="8"/>
  <c r="F14" i="8"/>
  <c r="E14" i="8"/>
  <c r="D14" i="8"/>
  <c r="N8" i="8"/>
  <c r="M8" i="8"/>
  <c r="M12" i="8" s="1"/>
  <c r="M11" i="11" s="1"/>
  <c r="L8" i="8"/>
  <c r="K8" i="8"/>
  <c r="J8" i="8"/>
  <c r="I8" i="8"/>
  <c r="H8" i="8"/>
  <c r="G8" i="8"/>
  <c r="F8" i="8"/>
  <c r="E8" i="8"/>
  <c r="D8" i="8"/>
  <c r="D12" i="8" s="1"/>
  <c r="D11" i="11" s="1"/>
  <c r="N5" i="8"/>
  <c r="N12" i="8" s="1"/>
  <c r="M5" i="8"/>
  <c r="L5" i="8"/>
  <c r="L29" i="11" s="1"/>
  <c r="L35" i="11" s="1"/>
  <c r="K5" i="8"/>
  <c r="J5" i="8"/>
  <c r="J27" i="11" s="1"/>
  <c r="J33" i="11" s="1"/>
  <c r="I5" i="8"/>
  <c r="I27" i="11" s="1"/>
  <c r="I33" i="11" s="1"/>
  <c r="H5" i="8"/>
  <c r="H30" i="11" s="1"/>
  <c r="G5" i="8"/>
  <c r="F5" i="8"/>
  <c r="F30" i="11" s="1"/>
  <c r="E5" i="8"/>
  <c r="E12" i="8" s="1"/>
  <c r="E11" i="11" s="1"/>
  <c r="D5" i="8"/>
  <c r="D31" i="11" s="1"/>
  <c r="M3" i="8"/>
  <c r="L3" i="8"/>
  <c r="K3" i="8"/>
  <c r="J3" i="8"/>
  <c r="I3" i="8"/>
  <c r="H3" i="8"/>
  <c r="G3" i="8"/>
  <c r="F3" i="8"/>
  <c r="E3" i="8"/>
  <c r="D3" i="8"/>
  <c r="B2" i="8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1" s="1"/>
  <c r="B19" i="1" s="1"/>
  <c r="G13" i="1"/>
  <c r="B6" i="6"/>
  <c r="C17" i="2"/>
  <c r="D17" i="2"/>
  <c r="E17" i="2"/>
  <c r="F17" i="2"/>
  <c r="G17" i="2"/>
  <c r="H17" i="2"/>
  <c r="I17" i="2"/>
  <c r="J17" i="2"/>
  <c r="K17" i="2"/>
  <c r="C18" i="2"/>
  <c r="D18" i="2"/>
  <c r="D21" i="2" s="1"/>
  <c r="E18" i="2"/>
  <c r="E21" i="2" s="1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J23" i="2" s="1"/>
  <c r="K4" i="2"/>
  <c r="C5" i="2"/>
  <c r="D5" i="2"/>
  <c r="F5" i="2"/>
  <c r="G5" i="2"/>
  <c r="H5" i="2"/>
  <c r="K5" i="2"/>
  <c r="K23" i="2" s="1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F16" i="2" s="1"/>
  <c r="G13" i="2"/>
  <c r="H13" i="2"/>
  <c r="H16" i="2" s="1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D4" i="3"/>
  <c r="E4" i="3"/>
  <c r="E14" i="3" s="1"/>
  <c r="F4" i="3"/>
  <c r="G4" i="3"/>
  <c r="G14" i="3" s="1"/>
  <c r="H4" i="3"/>
  <c r="L4" i="1" s="1"/>
  <c r="L23" i="1" s="1"/>
  <c r="I4" i="3"/>
  <c r="J4" i="3"/>
  <c r="J14" i="3" s="1"/>
  <c r="K4" i="3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G6" i="1" s="1"/>
  <c r="G19" i="1" s="1"/>
  <c r="H4" i="1"/>
  <c r="I4" i="1"/>
  <c r="J4" i="1"/>
  <c r="J21" i="2" s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C14" i="1" s="1"/>
  <c r="D12" i="1"/>
  <c r="E12" i="1"/>
  <c r="F12" i="1"/>
  <c r="F13" i="1" s="1"/>
  <c r="F14" i="1" s="1"/>
  <c r="G12" i="1"/>
  <c r="H12" i="1"/>
  <c r="H13" i="1" s="1"/>
  <c r="I12" i="1"/>
  <c r="I13" i="1" s="1"/>
  <c r="J12" i="1"/>
  <c r="J13" i="1" s="1"/>
  <c r="K12" i="1"/>
  <c r="K13" i="1" s="1"/>
  <c r="C15" i="1"/>
  <c r="D15" i="1"/>
  <c r="E15" i="1"/>
  <c r="F15" i="1"/>
  <c r="G15" i="1"/>
  <c r="H15" i="1"/>
  <c r="I15" i="1"/>
  <c r="J15" i="1"/>
  <c r="K15" i="1"/>
  <c r="B15" i="1"/>
  <c r="B7" i="1"/>
  <c r="B4" i="1"/>
  <c r="A1" i="1"/>
  <c r="A1" i="3" s="1"/>
  <c r="E1" i="6"/>
  <c r="H1" i="1" s="1"/>
  <c r="E1" i="2"/>
  <c r="E1" i="3"/>
  <c r="C23" i="2"/>
  <c r="I6" i="1"/>
  <c r="I19" i="1" s="1"/>
  <c r="J6" i="1"/>
  <c r="J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C21" i="2"/>
  <c r="B18" i="2"/>
  <c r="B21" i="2"/>
  <c r="B13" i="2"/>
  <c r="B12" i="2"/>
  <c r="B11" i="2"/>
  <c r="B10" i="2"/>
  <c r="B8" i="2"/>
  <c r="B7" i="2"/>
  <c r="B6" i="2"/>
  <c r="B3" i="2"/>
  <c r="H14" i="3"/>
  <c r="F14" i="3"/>
  <c r="B12" i="3"/>
  <c r="B11" i="3"/>
  <c r="B10" i="3"/>
  <c r="B9" i="3"/>
  <c r="B8" i="3"/>
  <c r="B7" i="3"/>
  <c r="B4" i="3"/>
  <c r="B3" i="3"/>
  <c r="L15" i="1"/>
  <c r="B12" i="1"/>
  <c r="B13" i="1" s="1"/>
  <c r="B11" i="1"/>
  <c r="B10" i="1"/>
  <c r="B9" i="1"/>
  <c r="B8" i="1"/>
  <c r="B3" i="1"/>
  <c r="I14" i="3"/>
  <c r="D20" i="2"/>
  <c r="A1" i="2"/>
  <c r="A1" i="4" s="1"/>
  <c r="K36" i="11" l="1"/>
  <c r="P11" i="11"/>
  <c r="D33" i="11"/>
  <c r="F23" i="2"/>
  <c r="G31" i="11"/>
  <c r="G27" i="11"/>
  <c r="G33" i="11" s="1"/>
  <c r="G28" i="11"/>
  <c r="G34" i="11" s="1"/>
  <c r="G36" i="11" s="1"/>
  <c r="M9" i="11"/>
  <c r="D34" i="11"/>
  <c r="D23" i="2"/>
  <c r="L12" i="1"/>
  <c r="L13" i="1"/>
  <c r="L14" i="1" s="1"/>
  <c r="L25" i="1" s="1"/>
  <c r="G14" i="1"/>
  <c r="J25" i="1" s="1"/>
  <c r="L9" i="11"/>
  <c r="G29" i="11"/>
  <c r="G35" i="11" s="1"/>
  <c r="H63" i="8"/>
  <c r="J20" i="2"/>
  <c r="L10" i="1"/>
  <c r="L5" i="1"/>
  <c r="L6" i="1"/>
  <c r="L19" i="1" s="1"/>
  <c r="L24" i="1" s="1"/>
  <c r="M24" i="1" s="1"/>
  <c r="K29" i="11"/>
  <c r="K35" i="11" s="1"/>
  <c r="K30" i="11"/>
  <c r="K27" i="11"/>
  <c r="K33" i="11" s="1"/>
  <c r="G30" i="11"/>
  <c r="K6" i="1"/>
  <c r="K19" i="1" s="1"/>
  <c r="K20" i="2"/>
  <c r="H23" i="2"/>
  <c r="F12" i="8"/>
  <c r="F11" i="11" s="1"/>
  <c r="O11" i="11" s="1"/>
  <c r="F31" i="11"/>
  <c r="P31" i="11" s="1"/>
  <c r="F27" i="11"/>
  <c r="F33" i="11" s="1"/>
  <c r="F28" i="11"/>
  <c r="F34" i="11" s="1"/>
  <c r="F36" i="11" s="1"/>
  <c r="E23" i="2"/>
  <c r="H22" i="8"/>
  <c r="H27" i="11"/>
  <c r="H33" i="11" s="1"/>
  <c r="F29" i="11"/>
  <c r="F35" i="11" s="1"/>
  <c r="H28" i="11"/>
  <c r="H34" i="11" s="1"/>
  <c r="H29" i="11"/>
  <c r="H35" i="11" s="1"/>
  <c r="D16" i="2"/>
  <c r="I28" i="11"/>
  <c r="I34" i="11" s="1"/>
  <c r="I29" i="11"/>
  <c r="I35" i="11" s="1"/>
  <c r="H23" i="1"/>
  <c r="C16" i="2"/>
  <c r="J28" i="11"/>
  <c r="J34" i="11" s="1"/>
  <c r="J36" i="11" s="1"/>
  <c r="J29" i="11"/>
  <c r="J35" i="11" s="1"/>
  <c r="I21" i="2"/>
  <c r="I30" i="11"/>
  <c r="K14" i="1"/>
  <c r="E20" i="2"/>
  <c r="L11" i="1"/>
  <c r="K21" i="2"/>
  <c r="D29" i="11"/>
  <c r="E28" i="11"/>
  <c r="E34" i="11" s="1"/>
  <c r="E36" i="11" s="1"/>
  <c r="J14" i="1"/>
  <c r="I23" i="1"/>
  <c r="C14" i="3"/>
  <c r="I16" i="2"/>
  <c r="M15" i="8"/>
  <c r="M17" i="11" s="1"/>
  <c r="D30" i="11"/>
  <c r="L30" i="11"/>
  <c r="C20" i="2"/>
  <c r="K16" i="2"/>
  <c r="G23" i="2"/>
  <c r="H9" i="11"/>
  <c r="G15" i="8"/>
  <c r="G17" i="11" s="1"/>
  <c r="G80" i="8"/>
  <c r="B15" i="12"/>
  <c r="D13" i="12"/>
  <c r="D12" i="12"/>
  <c r="D11" i="12"/>
  <c r="D10" i="12"/>
  <c r="D9" i="12"/>
  <c r="D8" i="12"/>
  <c r="D7" i="12"/>
  <c r="D6" i="12"/>
  <c r="D5" i="12"/>
  <c r="E5" i="12" s="1"/>
  <c r="J9" i="11"/>
  <c r="K9" i="11"/>
  <c r="G63" i="8"/>
  <c r="L58" i="8"/>
  <c r="F80" i="8"/>
  <c r="H80" i="8"/>
  <c r="I63" i="8"/>
  <c r="G94" i="8"/>
  <c r="E105" i="8"/>
  <c r="G105" i="8"/>
  <c r="D58" i="8"/>
  <c r="J63" i="8"/>
  <c r="H94" i="8"/>
  <c r="F94" i="8"/>
  <c r="K80" i="8"/>
  <c r="I105" i="8"/>
  <c r="I107" i="8" s="1"/>
  <c r="M105" i="8"/>
  <c r="D94" i="8"/>
  <c r="E58" i="8"/>
  <c r="G58" i="8"/>
  <c r="K63" i="8"/>
  <c r="E94" i="8"/>
  <c r="N25" i="8"/>
  <c r="F9" i="11"/>
  <c r="F58" i="8"/>
  <c r="L63" i="8"/>
  <c r="D80" i="8"/>
  <c r="I80" i="8"/>
  <c r="L80" i="8"/>
  <c r="M63" i="8"/>
  <c r="J80" i="8"/>
  <c r="D105" i="8"/>
  <c r="H58" i="8"/>
  <c r="H65" i="8" s="1"/>
  <c r="H67" i="8" s="1"/>
  <c r="G107" i="8"/>
  <c r="I9" i="11"/>
  <c r="I58" i="8"/>
  <c r="K58" i="8"/>
  <c r="M58" i="8"/>
  <c r="E63" i="8"/>
  <c r="I94" i="8"/>
  <c r="M94" i="8"/>
  <c r="F105" i="8"/>
  <c r="G22" i="8"/>
  <c r="G25" i="8"/>
  <c r="G18" i="11" s="1"/>
  <c r="J58" i="8"/>
  <c r="D63" i="8"/>
  <c r="F63" i="8"/>
  <c r="M80" i="8"/>
  <c r="J94" i="8"/>
  <c r="L94" i="8"/>
  <c r="K94" i="8"/>
  <c r="H105" i="8"/>
  <c r="H107" i="8" s="1"/>
  <c r="L105" i="8"/>
  <c r="F6" i="8"/>
  <c r="F5" i="11" s="1"/>
  <c r="G11" i="8"/>
  <c r="G17" i="8" s="1"/>
  <c r="I15" i="8"/>
  <c r="I17" i="11" s="1"/>
  <c r="J105" i="8"/>
  <c r="H6" i="8"/>
  <c r="H5" i="11" s="1"/>
  <c r="E80" i="8"/>
  <c r="K105" i="8"/>
  <c r="E9" i="11"/>
  <c r="I25" i="8"/>
  <c r="I18" i="11" s="1"/>
  <c r="N6" i="8"/>
  <c r="J22" i="8"/>
  <c r="J25" i="8"/>
  <c r="J18" i="11" s="1"/>
  <c r="K25" i="8"/>
  <c r="K18" i="11" s="1"/>
  <c r="J15" i="8"/>
  <c r="J17" i="11" s="1"/>
  <c r="D22" i="8"/>
  <c r="G6" i="8"/>
  <c r="G5" i="11" s="1"/>
  <c r="H11" i="8"/>
  <c r="H17" i="8" s="1"/>
  <c r="E25" i="8"/>
  <c r="E18" i="11" s="1"/>
  <c r="M25" i="8"/>
  <c r="M18" i="11" s="1"/>
  <c r="F22" i="8"/>
  <c r="H9" i="8"/>
  <c r="M9" i="8"/>
  <c r="J11" i="8"/>
  <c r="J17" i="8" s="1"/>
  <c r="D25" i="8"/>
  <c r="D18" i="11" s="1"/>
  <c r="M22" i="8"/>
  <c r="L22" i="8"/>
  <c r="I11" i="8"/>
  <c r="I17" i="8" s="1"/>
  <c r="F25" i="8"/>
  <c r="F18" i="11" s="1"/>
  <c r="D15" i="8"/>
  <c r="D17" i="11" s="1"/>
  <c r="E9" i="8"/>
  <c r="F15" i="8"/>
  <c r="F17" i="11" s="1"/>
  <c r="G9" i="8"/>
  <c r="I6" i="8"/>
  <c r="I5" i="11" s="1"/>
  <c r="I9" i="8"/>
  <c r="L25" i="8"/>
  <c r="L18" i="11" s="1"/>
  <c r="D9" i="8"/>
  <c r="J9" i="8"/>
  <c r="K6" i="8"/>
  <c r="K5" i="11" s="1"/>
  <c r="F9" i="8"/>
  <c r="N9" i="8"/>
  <c r="N22" i="8"/>
  <c r="K11" i="8"/>
  <c r="K17" i="8" s="1"/>
  <c r="K15" i="8"/>
  <c r="K17" i="11" s="1"/>
  <c r="L11" i="8"/>
  <c r="L17" i="8" s="1"/>
  <c r="L15" i="8"/>
  <c r="L17" i="11" s="1"/>
  <c r="E6" i="8"/>
  <c r="E5" i="11" s="1"/>
  <c r="E22" i="8"/>
  <c r="L6" i="8"/>
  <c r="L5" i="11" s="1"/>
  <c r="E11" i="8"/>
  <c r="E17" i="8" s="1"/>
  <c r="E15" i="8"/>
  <c r="E17" i="11" s="1"/>
  <c r="I22" i="8"/>
  <c r="M6" i="8"/>
  <c r="M5" i="11" s="1"/>
  <c r="F11" i="8"/>
  <c r="F17" i="8" s="1"/>
  <c r="K9" i="8"/>
  <c r="M11" i="8"/>
  <c r="M17" i="8" s="1"/>
  <c r="L9" i="8"/>
  <c r="N11" i="8"/>
  <c r="N17" i="8" s="1"/>
  <c r="N18" i="8" s="1"/>
  <c r="N15" i="8"/>
  <c r="J6" i="8"/>
  <c r="J5" i="11" s="1"/>
  <c r="D11" i="8"/>
  <c r="D17" i="8" s="1"/>
  <c r="K22" i="8"/>
  <c r="N11" i="1"/>
  <c r="M11" i="1"/>
  <c r="B14" i="1"/>
  <c r="G20" i="2"/>
  <c r="D6" i="1"/>
  <c r="D19" i="1" s="1"/>
  <c r="J16" i="2"/>
  <c r="G16" i="2"/>
  <c r="D13" i="1"/>
  <c r="E13" i="1" s="1"/>
  <c r="E14" i="1" s="1"/>
  <c r="E24" i="2"/>
  <c r="L7" i="1"/>
  <c r="D14" i="3"/>
  <c r="D24" i="2"/>
  <c r="F21" i="2"/>
  <c r="K24" i="2"/>
  <c r="B14" i="3"/>
  <c r="G21" i="2"/>
  <c r="E6" i="1"/>
  <c r="E19" i="1" s="1"/>
  <c r="I14" i="1"/>
  <c r="C24" i="2"/>
  <c r="I23" i="2"/>
  <c r="J23" i="1"/>
  <c r="H21" i="2"/>
  <c r="B23" i="2"/>
  <c r="H14" i="1"/>
  <c r="C6" i="1"/>
  <c r="C19" i="1" s="1"/>
  <c r="H24" i="1" s="1"/>
  <c r="L8" i="1"/>
  <c r="J24" i="2"/>
  <c r="B20" i="2"/>
  <c r="K14" i="3"/>
  <c r="I24" i="2"/>
  <c r="H24" i="2"/>
  <c r="B16" i="2"/>
  <c r="G24" i="2"/>
  <c r="K24" i="1"/>
  <c r="L9" i="1"/>
  <c r="M9" i="1" s="1"/>
  <c r="E16" i="2"/>
  <c r="F24" i="2"/>
  <c r="N8" i="1"/>
  <c r="M8" i="1"/>
  <c r="I20" i="2"/>
  <c r="H20" i="2"/>
  <c r="K23" i="1"/>
  <c r="M23" i="1" s="1"/>
  <c r="M4" i="1" s="1"/>
  <c r="H6" i="1"/>
  <c r="H19" i="1" s="1"/>
  <c r="J24" i="1" s="1"/>
  <c r="F6" i="1"/>
  <c r="F19" i="1" s="1"/>
  <c r="E1" i="4"/>
  <c r="P28" i="11" l="1"/>
  <c r="D13" i="11"/>
  <c r="D25" i="11"/>
  <c r="D18" i="8"/>
  <c r="D12" i="11" s="1"/>
  <c r="D21" i="11"/>
  <c r="I4" i="12" a="1"/>
  <c r="P18" i="11"/>
  <c r="O18" i="11"/>
  <c r="G27" i="8"/>
  <c r="G31" i="8" s="1"/>
  <c r="G25" i="11"/>
  <c r="G21" i="11"/>
  <c r="G13" i="11"/>
  <c r="G19" i="11" s="1"/>
  <c r="G18" i="8"/>
  <c r="G12" i="11" s="1"/>
  <c r="J38" i="11"/>
  <c r="J40" i="11"/>
  <c r="J13" i="11"/>
  <c r="J19" i="11" s="1"/>
  <c r="J18" i="8"/>
  <c r="J12" i="11" s="1"/>
  <c r="J21" i="11"/>
  <c r="J25" i="11"/>
  <c r="H40" i="11"/>
  <c r="H39" i="11"/>
  <c r="H38" i="11"/>
  <c r="D35" i="11"/>
  <c r="D36" i="11" s="1"/>
  <c r="P29" i="11"/>
  <c r="O29" i="11"/>
  <c r="O5" i="11"/>
  <c r="P5" i="11"/>
  <c r="E9" i="12"/>
  <c r="K25" i="1"/>
  <c r="M25" i="1" s="1"/>
  <c r="M14" i="1" s="1"/>
  <c r="K38" i="11"/>
  <c r="K39" i="11"/>
  <c r="K40" i="11"/>
  <c r="H36" i="11"/>
  <c r="N9" i="1"/>
  <c r="I24" i="1"/>
  <c r="N24" i="1" s="1"/>
  <c r="M18" i="8"/>
  <c r="M12" i="11" s="1"/>
  <c r="M25" i="11"/>
  <c r="M21" i="11"/>
  <c r="M13" i="11"/>
  <c r="M19" i="11" s="1"/>
  <c r="L107" i="8"/>
  <c r="L65" i="8"/>
  <c r="L67" i="8" s="1"/>
  <c r="P27" i="11"/>
  <c r="K13" i="11"/>
  <c r="K19" i="11" s="1"/>
  <c r="K18" i="8"/>
  <c r="K12" i="11" s="1"/>
  <c r="K21" i="11"/>
  <c r="K25" i="11"/>
  <c r="O9" i="11"/>
  <c r="P9" i="11"/>
  <c r="P30" i="11"/>
  <c r="O30" i="11"/>
  <c r="O31" i="11"/>
  <c r="P33" i="11"/>
  <c r="O33" i="11"/>
  <c r="E6" i="11"/>
  <c r="E18" i="8"/>
  <c r="E12" i="11" s="1"/>
  <c r="E25" i="11"/>
  <c r="E21" i="11"/>
  <c r="E13" i="11"/>
  <c r="E19" i="11" s="1"/>
  <c r="G40" i="11"/>
  <c r="G38" i="11"/>
  <c r="I36" i="11"/>
  <c r="I25" i="1"/>
  <c r="L38" i="11"/>
  <c r="L40" i="11"/>
  <c r="F40" i="11"/>
  <c r="F38" i="11"/>
  <c r="I40" i="11"/>
  <c r="I38" i="11"/>
  <c r="L18" i="8"/>
  <c r="L12" i="11" s="1"/>
  <c r="L21" i="11"/>
  <c r="L25" i="11"/>
  <c r="L13" i="11"/>
  <c r="L19" i="11" s="1"/>
  <c r="D39" i="11"/>
  <c r="D38" i="11"/>
  <c r="D40" i="11"/>
  <c r="F6" i="11"/>
  <c r="F18" i="8"/>
  <c r="F12" i="11" s="1"/>
  <c r="F25" i="11"/>
  <c r="F21" i="11"/>
  <c r="F13" i="11"/>
  <c r="F19" i="11" s="1"/>
  <c r="P17" i="11"/>
  <c r="O17" i="11"/>
  <c r="H25" i="11"/>
  <c r="H21" i="11"/>
  <c r="H13" i="11"/>
  <c r="H19" i="11" s="1"/>
  <c r="H18" i="8"/>
  <c r="H12" i="11" s="1"/>
  <c r="M107" i="8"/>
  <c r="M38" i="11"/>
  <c r="M39" i="11"/>
  <c r="M40" i="11"/>
  <c r="I65" i="8"/>
  <c r="I67" i="8" s="1"/>
  <c r="O27" i="11"/>
  <c r="E40" i="11"/>
  <c r="E38" i="11"/>
  <c r="P34" i="11"/>
  <c r="O34" i="11"/>
  <c r="I25" i="11"/>
  <c r="I21" i="11"/>
  <c r="I13" i="11"/>
  <c r="I19" i="11" s="1"/>
  <c r="I18" i="8"/>
  <c r="I12" i="11" s="1"/>
  <c r="O28" i="11"/>
  <c r="E12" i="12"/>
  <c r="E13" i="12"/>
  <c r="E10" i="12"/>
  <c r="E6" i="12"/>
  <c r="E7" i="12"/>
  <c r="D14" i="12"/>
  <c r="E14" i="12" s="1"/>
  <c r="E8" i="12"/>
  <c r="E11" i="12"/>
  <c r="B16" i="12"/>
  <c r="D15" i="12"/>
  <c r="E107" i="8"/>
  <c r="K107" i="8"/>
  <c r="F65" i="8"/>
  <c r="F67" i="8" s="1"/>
  <c r="D107" i="8"/>
  <c r="G65" i="8"/>
  <c r="G67" i="8" s="1"/>
  <c r="E65" i="8"/>
  <c r="E67" i="8" s="1"/>
  <c r="F107" i="8"/>
  <c r="J65" i="8"/>
  <c r="J67" i="8" s="1"/>
  <c r="G19" i="8"/>
  <c r="H6" i="11"/>
  <c r="M6" i="11"/>
  <c r="D65" i="8"/>
  <c r="D67" i="8" s="1"/>
  <c r="J107" i="8"/>
  <c r="K65" i="8"/>
  <c r="K67" i="8" s="1"/>
  <c r="J6" i="11"/>
  <c r="M65" i="8"/>
  <c r="M67" i="8" s="1"/>
  <c r="I6" i="11"/>
  <c r="H27" i="8"/>
  <c r="K6" i="11"/>
  <c r="I19" i="8"/>
  <c r="I27" i="8"/>
  <c r="H19" i="8"/>
  <c r="J19" i="8"/>
  <c r="L6" i="11"/>
  <c r="J27" i="8"/>
  <c r="G6" i="11"/>
  <c r="E19" i="8"/>
  <c r="E27" i="8"/>
  <c r="G28" i="8"/>
  <c r="G14" i="11" s="1"/>
  <c r="G33" i="8"/>
  <c r="G23" i="11" s="1"/>
  <c r="M27" i="8"/>
  <c r="M19" i="8"/>
  <c r="D19" i="8"/>
  <c r="D27" i="8"/>
  <c r="N27" i="8"/>
  <c r="N19" i="8"/>
  <c r="L27" i="8"/>
  <c r="L19" i="8"/>
  <c r="K27" i="8"/>
  <c r="K19" i="8"/>
  <c r="F19" i="8"/>
  <c r="F27" i="8"/>
  <c r="G7" i="11" s="1"/>
  <c r="D14" i="1"/>
  <c r="H25" i="1" s="1"/>
  <c r="N23" i="1"/>
  <c r="N4" i="1" s="1"/>
  <c r="M6" i="1"/>
  <c r="M10" i="1" s="1"/>
  <c r="M12" i="1" s="1"/>
  <c r="M13" i="1" s="1"/>
  <c r="O36" i="11" l="1"/>
  <c r="P36" i="11"/>
  <c r="O40" i="11"/>
  <c r="P40" i="11"/>
  <c r="O6" i="11"/>
  <c r="P6" i="11"/>
  <c r="O12" i="11"/>
  <c r="P12" i="11"/>
  <c r="N6" i="1"/>
  <c r="N10" i="1" s="1"/>
  <c r="N12" i="1" s="1"/>
  <c r="N13" i="1" s="1"/>
  <c r="N15" i="1" s="1"/>
  <c r="J39" i="11"/>
  <c r="O25" i="11"/>
  <c r="P25" i="11"/>
  <c r="O38" i="11"/>
  <c r="P38" i="11"/>
  <c r="I4" i="12"/>
  <c r="I6" i="12"/>
  <c r="I7" i="12"/>
  <c r="J7" i="12" s="1"/>
  <c r="I12" i="12"/>
  <c r="I11" i="12"/>
  <c r="I5" i="12"/>
  <c r="J5" i="12" s="1"/>
  <c r="I8" i="12"/>
  <c r="J8" i="12" s="1"/>
  <c r="I9" i="12"/>
  <c r="J9" i="12" s="1"/>
  <c r="I13" i="12"/>
  <c r="J13" i="12" s="1"/>
  <c r="I10" i="12"/>
  <c r="J10" i="12" s="1"/>
  <c r="P21" i="11"/>
  <c r="O21" i="11"/>
  <c r="E39" i="11"/>
  <c r="O13" i="11"/>
  <c r="D19" i="11"/>
  <c r="P13" i="11"/>
  <c r="P35" i="11"/>
  <c r="O35" i="11"/>
  <c r="F39" i="11"/>
  <c r="L39" i="11"/>
  <c r="O39" i="11" s="1"/>
  <c r="M15" i="1"/>
  <c r="N25" i="1"/>
  <c r="N14" i="1" s="1"/>
  <c r="I39" i="11"/>
  <c r="G39" i="11"/>
  <c r="B17" i="12"/>
  <c r="D16" i="12"/>
  <c r="E16" i="12" s="1"/>
  <c r="E15" i="12"/>
  <c r="K7" i="11"/>
  <c r="M7" i="11"/>
  <c r="L7" i="11"/>
  <c r="E7" i="11"/>
  <c r="J28" i="8"/>
  <c r="J14" i="11" s="1"/>
  <c r="J7" i="11"/>
  <c r="I31" i="8"/>
  <c r="I7" i="11"/>
  <c r="I28" i="8"/>
  <c r="I14" i="11" s="1"/>
  <c r="I33" i="8"/>
  <c r="I23" i="11" s="1"/>
  <c r="J31" i="8"/>
  <c r="H7" i="11"/>
  <c r="H28" i="8"/>
  <c r="H14" i="11" s="1"/>
  <c r="H31" i="8"/>
  <c r="H33" i="8"/>
  <c r="H23" i="11" s="1"/>
  <c r="F7" i="11"/>
  <c r="J33" i="8"/>
  <c r="J23" i="11" s="1"/>
  <c r="F28" i="8"/>
  <c r="F14" i="11" s="1"/>
  <c r="F31" i="8"/>
  <c r="F33" i="8"/>
  <c r="F23" i="11" s="1"/>
  <c r="K28" i="8"/>
  <c r="K14" i="11" s="1"/>
  <c r="K31" i="8"/>
  <c r="K33" i="8"/>
  <c r="G38" i="8"/>
  <c r="G34" i="8"/>
  <c r="G15" i="11" s="1"/>
  <c r="L28" i="8"/>
  <c r="L14" i="11" s="1"/>
  <c r="L33" i="8"/>
  <c r="L23" i="11" s="1"/>
  <c r="L31" i="8"/>
  <c r="N33" i="8"/>
  <c r="N28" i="8"/>
  <c r="N31" i="8"/>
  <c r="E28" i="8"/>
  <c r="E14" i="11" s="1"/>
  <c r="E31" i="8"/>
  <c r="E33" i="8"/>
  <c r="E23" i="11" s="1"/>
  <c r="M28" i="8"/>
  <c r="M14" i="11" s="1"/>
  <c r="M33" i="8"/>
  <c r="M23" i="11" s="1"/>
  <c r="M31" i="8"/>
  <c r="D33" i="8"/>
  <c r="D23" i="11" s="1"/>
  <c r="D28" i="8"/>
  <c r="D14" i="11" s="1"/>
  <c r="D31" i="8"/>
  <c r="M5" i="1"/>
  <c r="J11" i="12" l="1"/>
  <c r="O14" i="11"/>
  <c r="P14" i="11"/>
  <c r="P39" i="11"/>
  <c r="K8" i="11"/>
  <c r="K23" i="11"/>
  <c r="O23" i="11" s="1"/>
  <c r="J12" i="12"/>
  <c r="P19" i="11"/>
  <c r="O19" i="11"/>
  <c r="N5" i="1"/>
  <c r="J6" i="12"/>
  <c r="O7" i="11"/>
  <c r="P7" i="11"/>
  <c r="I16" i="12"/>
  <c r="I17" i="12"/>
  <c r="J17" i="12" s="1"/>
  <c r="I15" i="12"/>
  <c r="I14" i="12"/>
  <c r="J14" i="12" s="1"/>
  <c r="I18" i="12"/>
  <c r="J18" i="12" s="1"/>
  <c r="B18" i="12"/>
  <c r="D18" i="12" s="1"/>
  <c r="D17" i="12"/>
  <c r="E17" i="12" s="1"/>
  <c r="M8" i="11"/>
  <c r="E8" i="11"/>
  <c r="F8" i="11"/>
  <c r="G8" i="11"/>
  <c r="L8" i="11"/>
  <c r="H8" i="11"/>
  <c r="H38" i="8"/>
  <c r="H34" i="8"/>
  <c r="H15" i="11" s="1"/>
  <c r="I8" i="11"/>
  <c r="I34" i="8"/>
  <c r="I15" i="11" s="1"/>
  <c r="I38" i="8"/>
  <c r="N34" i="8"/>
  <c r="J8" i="11"/>
  <c r="J38" i="8"/>
  <c r="J34" i="8"/>
  <c r="J15" i="11" s="1"/>
  <c r="G42" i="8"/>
  <c r="G44" i="8"/>
  <c r="G22" i="11" s="1"/>
  <c r="G24" i="11" s="1"/>
  <c r="D34" i="8"/>
  <c r="D15" i="11" s="1"/>
  <c r="D38" i="8"/>
  <c r="L34" i="8"/>
  <c r="L15" i="11" s="1"/>
  <c r="L38" i="8"/>
  <c r="M34" i="8"/>
  <c r="M15" i="11" s="1"/>
  <c r="M38" i="8"/>
  <c r="E34" i="8"/>
  <c r="E15" i="11" s="1"/>
  <c r="E38" i="8"/>
  <c r="K34" i="8"/>
  <c r="K15" i="11" s="1"/>
  <c r="K38" i="8"/>
  <c r="F38" i="8"/>
  <c r="F34" i="8"/>
  <c r="F15" i="11" s="1"/>
  <c r="N4" i="12" l="1" a="1"/>
  <c r="O8" i="11"/>
  <c r="P8" i="11"/>
  <c r="J15" i="12"/>
  <c r="P15" i="11"/>
  <c r="O15" i="11"/>
  <c r="P23" i="11"/>
  <c r="J16" i="12"/>
  <c r="E18" i="12"/>
  <c r="J39" i="8"/>
  <c r="J44" i="8"/>
  <c r="J22" i="11" s="1"/>
  <c r="J24" i="11" s="1"/>
  <c r="J42" i="8"/>
  <c r="I44" i="8"/>
  <c r="I22" i="11" s="1"/>
  <c r="I24" i="11" s="1"/>
  <c r="I42" i="8"/>
  <c r="I39" i="8"/>
  <c r="H39" i="8"/>
  <c r="H42" i="8"/>
  <c r="H44" i="8"/>
  <c r="H22" i="11" s="1"/>
  <c r="H24" i="11" s="1"/>
  <c r="F39" i="8"/>
  <c r="F44" i="8"/>
  <c r="F22" i="11" s="1"/>
  <c r="F24" i="11" s="1"/>
  <c r="F42" i="8"/>
  <c r="K39" i="8"/>
  <c r="K42" i="8"/>
  <c r="K44" i="8"/>
  <c r="K22" i="11" s="1"/>
  <c r="K24" i="11" s="1"/>
  <c r="E39" i="8"/>
  <c r="E44" i="8"/>
  <c r="E22" i="11" s="1"/>
  <c r="E24" i="11" s="1"/>
  <c r="E42" i="8"/>
  <c r="M39" i="8"/>
  <c r="M42" i="8"/>
  <c r="M44" i="8"/>
  <c r="M22" i="11" s="1"/>
  <c r="M24" i="11" s="1"/>
  <c r="L42" i="8"/>
  <c r="L44" i="8"/>
  <c r="L22" i="11" s="1"/>
  <c r="L24" i="11" s="1"/>
  <c r="D42" i="8"/>
  <c r="D44" i="8"/>
  <c r="D22" i="11" s="1"/>
  <c r="L39" i="8"/>
  <c r="G39" i="8"/>
  <c r="O22" i="11" l="1"/>
  <c r="P22" i="11"/>
  <c r="D24" i="11"/>
  <c r="N8" i="12"/>
  <c r="N7" i="12"/>
  <c r="N6" i="12"/>
  <c r="N5" i="12"/>
  <c r="N10" i="12"/>
  <c r="O10" i="12" s="1"/>
  <c r="N13" i="12"/>
  <c r="N11" i="12"/>
  <c r="O11" i="12" s="1"/>
  <c r="N4" i="12"/>
  <c r="N12" i="12"/>
  <c r="O12" i="12" s="1"/>
  <c r="N9" i="12"/>
  <c r="O5" i="12" l="1"/>
  <c r="O8" i="12"/>
  <c r="N14" i="12"/>
  <c r="O14" i="12" s="1"/>
  <c r="N16" i="12"/>
  <c r="N15" i="12"/>
  <c r="O15" i="12" s="1"/>
  <c r="N17" i="12"/>
  <c r="O17" i="12" s="1"/>
  <c r="N18" i="12"/>
  <c r="O18" i="12" s="1"/>
  <c r="O13" i="12"/>
  <c r="O6" i="12"/>
  <c r="O7" i="12"/>
  <c r="O24" i="11"/>
  <c r="P24" i="11"/>
  <c r="O9" i="12"/>
  <c r="O16" i="12" l="1"/>
</calcChain>
</file>

<file path=xl/sharedStrings.xml><?xml version="1.0" encoding="utf-8"?>
<sst xmlns="http://schemas.openxmlformats.org/spreadsheetml/2006/main" count="292" uniqueCount="178">
  <si>
    <t>COMPANY NAME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</si>
  <si>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</si>
  <si>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</si>
  <si>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</si>
  <si>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</si>
  <si>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</si>
  <si>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</si>
  <si>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</si>
  <si>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</si>
  <si>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</si>
  <si>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</si>
  <si>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</si>
  <si>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</si>
  <si>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</si>
  <si>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</si>
  <si>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</si>
  <si>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</si>
  <si>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</si>
  <si>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</si>
  <si>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</si>
  <si>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</si>
  <si>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</si>
  <si>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</si>
  <si>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</si>
  <si>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</si>
  <si>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</si>
  <si>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</si>
  <si>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</si>
  <si>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</si>
  <si>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</si>
  <si>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</si>
  <si>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</si>
  <si>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</si>
  <si>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</si>
  <si>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</si>
  <si>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</si>
  <si>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</si>
  <si>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</si>
  <si>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</si>
  <si>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</si>
  <si>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</si>
  <si>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</si>
  <si>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</si>
  <si>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</si>
  <si>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</si>
  <si>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</si>
  <si>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EPS</t>
  </si>
  <si>
    <t>Price</t>
  </si>
  <si>
    <t>Return on Equity</t>
  </si>
  <si>
    <t>Return on Capital Emp</t>
  </si>
  <si>
    <t>LATEST VERSION</t>
  </si>
  <si>
    <t>CURRENT VERSION</t>
  </si>
  <si>
    <t>DR LAL PATHLABS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</si>
  <si>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</si>
  <si>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</si>
  <si>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</si>
  <si>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</si>
  <si>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</si>
  <si>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</si>
  <si>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</si>
  <si>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</si>
  <si>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</si>
  <si>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</si>
  <si>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</si>
  <si>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</si>
  <si>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</si>
  <si>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</si>
  <si>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</si>
  <si>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</si>
  <si>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</si>
  <si>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</si>
  <si>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</si>
  <si>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</si>
  <si>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</si>
  <si>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</si>
  <si>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</si>
  <si>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</si>
  <si>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</si>
  <si>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</si>
  <si>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</si>
  <si>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LTM</t>
  </si>
  <si>
    <t>Income Statement</t>
  </si>
  <si>
    <t>#</t>
  </si>
  <si>
    <t>-</t>
  </si>
  <si>
    <t>COGS</t>
  </si>
  <si>
    <t>COGS % Sales</t>
  </si>
  <si>
    <t>Gross Profit</t>
  </si>
  <si>
    <t>Selling &amp; General Expenses</t>
  </si>
  <si>
    <t>S&amp;G Exp % Sales</t>
  </si>
  <si>
    <t>EBITDA</t>
  </si>
  <si>
    <t>EBITDA % Sales</t>
  </si>
  <si>
    <t xml:space="preserve"> Interest % Sales</t>
  </si>
  <si>
    <t>Depreciation % Sales</t>
  </si>
  <si>
    <t>Earning before Taxes</t>
  </si>
  <si>
    <t>EBT % Sales</t>
  </si>
  <si>
    <t xml:space="preserve"> </t>
  </si>
  <si>
    <t>Effective Tax Rate</t>
  </si>
  <si>
    <t>Net Profit</t>
  </si>
  <si>
    <t>Net Margins</t>
  </si>
  <si>
    <t>EPS(Earning per share)</t>
  </si>
  <si>
    <t>Dividend per share</t>
  </si>
  <si>
    <t>EPS Growth%)</t>
  </si>
  <si>
    <t>Dividend payout ratio</t>
  </si>
  <si>
    <t>Retained Earnings</t>
  </si>
  <si>
    <t>Balance Sheet</t>
  </si>
  <si>
    <t>Total Liabilities</t>
  </si>
  <si>
    <t>Total Assets</t>
  </si>
  <si>
    <t>Fixed Assets Net Block</t>
  </si>
  <si>
    <t>Total Non Current Assets</t>
  </si>
  <si>
    <t>Total Current Assets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</si>
  <si>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</si>
  <si>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</si>
  <si>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</si>
  <si>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</si>
  <si>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</si>
  <si>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</si>
  <si>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</si>
  <si>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</si>
  <si>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</si>
  <si>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</si>
  <si>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</si>
  <si>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</si>
  <si>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</si>
  <si>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</si>
  <si>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</si>
  <si>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</si>
  <si>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</si>
  <si>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</si>
  <si>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</si>
  <si>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</si>
  <si>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</si>
  <si>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</si>
  <si>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</si>
  <si>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</si>
  <si>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</si>
  <si>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</si>
  <si>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 xml:space="preserve">Net Cash Flow </t>
  </si>
  <si>
    <t>Cash from Operating Activities</t>
  </si>
  <si>
    <t>Cash Flow Statements</t>
  </si>
  <si>
    <t>Operating Activites</t>
  </si>
  <si>
    <t>Investing Activites</t>
  </si>
  <si>
    <t>Cash from Investing Activities</t>
  </si>
  <si>
    <t>Financial Activities</t>
  </si>
  <si>
    <t>Cash from Financing Activites</t>
  </si>
  <si>
    <t>Gross Margin</t>
  </si>
  <si>
    <t>EBITDA Growth</t>
  </si>
  <si>
    <t>Net Profit Growth</t>
  </si>
  <si>
    <t>Dividend Growth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</si>
  <si>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</si>
  <si>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</si>
  <si>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</si>
  <si>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</si>
  <si>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</si>
  <si>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</si>
  <si>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</si>
  <si>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</si>
  <si>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</si>
  <si>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</si>
  <si>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</si>
  <si>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Debtor Turnover Ratio</t>
  </si>
  <si>
    <t>Creditor Turnover Ratio</t>
  </si>
  <si>
    <t xml:space="preserve">Inventory Turnover </t>
  </si>
  <si>
    <t>Fixed Asset Turnover</t>
  </si>
  <si>
    <t>Capital Turnover Ratio</t>
  </si>
  <si>
    <t>Payable Days</t>
  </si>
  <si>
    <t>Inventory Days</t>
  </si>
  <si>
    <t>Cash Conversion Cycle</t>
  </si>
  <si>
    <t>CFO/Sales</t>
  </si>
  <si>
    <t>CFO/Total Assets</t>
  </si>
  <si>
    <t>CFO/Total Debt</t>
  </si>
  <si>
    <t>EBT Growth</t>
  </si>
  <si>
    <t>Interest Coverage Ratio</t>
  </si>
  <si>
    <t>Mean</t>
  </si>
  <si>
    <t>Median</t>
  </si>
  <si>
    <t>Trend</t>
  </si>
  <si>
    <t>Year Weight</t>
  </si>
  <si>
    <t>Year</t>
  </si>
  <si>
    <t>Operating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</si>
</sst>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0;\(&quot;₹&quot;\ #,##0.00\)"/>
    <numFmt numFmtId="167" formatCode="0.0%"/>
    <numFmt numFmtId="168" formatCode="&quot;₹&quot;\ #,##0.00"/>
    <numFmt numFmtId="169" formatCode="0.00\x"/>
    <numFmt numFmtId="170" formatCode="#,##0.00&quot;x&quot;"/>
    <numFmt numFmtId="171" formatCode="0.00&quot;x&quot;"/>
    <numFmt numFmtId="172" formatCode="0&quot;A&quot;"/>
    <numFmt numFmtId="173" formatCode="0&quot;E&quot;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rgb="FF0070C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dashDot">
        <color rgb="FF002060"/>
      </top>
      <bottom style="dashDot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dashDot">
        <color rgb="FF002060"/>
      </top>
      <bottom/>
      <diagonal/>
    </border>
    <border>
      <left/>
      <right/>
      <top/>
      <bottom style="dashDot">
        <color rgb="FF002060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79">
    <xf numFmtId="0" fontId="0" fillId="0" borderId="0" xfId="0"/>
    <xf numFmtId="43" fontId="1" fillId="0" borderId="0" xfId="1" applyFont="1" applyBorder="1"/>
    <xf numFmtId="0" fontId="1" fillId="0" borderId="0" xfId="0" applyFont="1"/>
    <xf numFmtId="0" fontId="6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7" fillId="0" borderId="0" xfId="1" applyNumberFormat="1" applyFont="1" applyFill="1" applyBorder="1"/>
    <xf numFmtId="0" fontId="7" fillId="0" borderId="0" xfId="0" applyFont="1"/>
    <xf numFmtId="164" fontId="0" fillId="0" borderId="0" xfId="1" applyNumberFormat="1" applyFont="1" applyBorder="1"/>
    <xf numFmtId="0" fontId="8" fillId="6" borderId="0" xfId="0" applyFont="1" applyFill="1"/>
    <xf numFmtId="17" fontId="8" fillId="6" borderId="0" xfId="0" applyNumberFormat="1" applyFont="1" applyFill="1"/>
    <xf numFmtId="0" fontId="8" fillId="6" borderId="0" xfId="0" applyFont="1" applyFill="1" applyAlignment="1">
      <alignment horizontal="right"/>
    </xf>
    <xf numFmtId="166" fontId="0" fillId="0" borderId="0" xfId="0" applyNumberFormat="1"/>
    <xf numFmtId="0" fontId="9" fillId="0" borderId="0" xfId="0" applyFont="1"/>
    <xf numFmtId="167" fontId="9" fillId="0" borderId="0" xfId="6" applyNumberFormat="1" applyFont="1"/>
    <xf numFmtId="168" fontId="0" fillId="0" borderId="0" xfId="0" applyNumberFormat="1"/>
    <xf numFmtId="10" fontId="9" fillId="0" borderId="0" xfId="6" applyNumberFormat="1" applyFont="1"/>
    <xf numFmtId="167" fontId="0" fillId="0" borderId="0" xfId="6" applyNumberFormat="1" applyFont="1"/>
    <xf numFmtId="167" fontId="3" fillId="0" borderId="0" xfId="6" applyNumberFormat="1" applyFont="1"/>
    <xf numFmtId="43" fontId="0" fillId="0" borderId="0" xfId="1" applyFont="1" applyFill="1" applyBorder="1"/>
    <xf numFmtId="10" fontId="0" fillId="0" borderId="0" xfId="6" applyNumberFormat="1" applyFont="1"/>
    <xf numFmtId="10" fontId="0" fillId="0" borderId="0" xfId="6" applyNumberFormat="1" applyFont="1" applyBorder="1"/>
    <xf numFmtId="4" fontId="0" fillId="0" borderId="0" xfId="6" applyNumberFormat="1" applyFont="1"/>
    <xf numFmtId="170" fontId="0" fillId="0" borderId="0" xfId="6" applyNumberFormat="1" applyFont="1"/>
    <xf numFmtId="171" fontId="0" fillId="0" borderId="0" xfId="0" applyNumberFormat="1"/>
    <xf numFmtId="2" fontId="0" fillId="0" borderId="0" xfId="0" applyNumberFormat="1"/>
    <xf numFmtId="17" fontId="8" fillId="6" borderId="0" xfId="0" applyNumberFormat="1" applyFont="1" applyFill="1" applyAlignment="1">
      <alignment horizontal="right"/>
    </xf>
    <xf numFmtId="172" fontId="0" fillId="0" borderId="0" xfId="0" applyNumberFormat="1"/>
    <xf numFmtId="4" fontId="0" fillId="0" borderId="0" xfId="0" applyNumberFormat="1"/>
    <xf numFmtId="43" fontId="4" fillId="0" borderId="0" xfId="2" applyNumberFormat="1" applyBorder="1" applyAlignment="1" applyProtection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0" fillId="6" borderId="0" xfId="0" applyFont="1" applyFill="1" applyAlignment="1">
      <alignment horizontal="center"/>
    </xf>
    <xf numFmtId="0" fontId="1" fillId="8" borderId="0" xfId="0" applyFont="1" applyFill="1"/>
    <xf numFmtId="0" fontId="0" fillId="8" borderId="0" xfId="0" applyFill="1"/>
    <xf numFmtId="0" fontId="1" fillId="0" borderId="1" xfId="0" applyFont="1" applyBorder="1"/>
    <xf numFmtId="168" fontId="1" fillId="0" borderId="1" xfId="0" applyNumberFormat="1" applyFont="1" applyBorder="1"/>
    <xf numFmtId="166" fontId="1" fillId="0" borderId="1" xfId="0" applyNumberFormat="1" applyFont="1" applyBorder="1"/>
    <xf numFmtId="43" fontId="1" fillId="0" borderId="1" xfId="1" applyFont="1" applyBorder="1"/>
    <xf numFmtId="0" fontId="0" fillId="0" borderId="1" xfId="0" applyBorder="1"/>
    <xf numFmtId="0" fontId="0" fillId="0" borderId="0" xfId="0" applyBorder="1"/>
    <xf numFmtId="43" fontId="1" fillId="0" borderId="2" xfId="1" applyFont="1" applyBorder="1"/>
    <xf numFmtId="0" fontId="0" fillId="0" borderId="2" xfId="0" applyBorder="1"/>
    <xf numFmtId="166" fontId="1" fillId="0" borderId="2" xfId="0" applyNumberFormat="1" applyFont="1" applyBorder="1"/>
    <xf numFmtId="0" fontId="1" fillId="0" borderId="2" xfId="0" applyFont="1" applyBorder="1"/>
    <xf numFmtId="17" fontId="5" fillId="7" borderId="0" xfId="0" applyNumberFormat="1" applyFont="1" applyFill="1"/>
    <xf numFmtId="3" fontId="11" fillId="0" borderId="0" xfId="0" applyNumberFormat="1" applyFont="1"/>
    <xf numFmtId="0" fontId="11" fillId="0" borderId="0" xfId="0" applyFont="1"/>
    <xf numFmtId="0" fontId="0" fillId="0" borderId="3" xfId="0" applyBorder="1"/>
    <xf numFmtId="10" fontId="0" fillId="0" borderId="3" xfId="6" applyNumberFormat="1" applyFont="1" applyBorder="1"/>
    <xf numFmtId="0" fontId="0" fillId="0" borderId="4" xfId="0" applyBorder="1"/>
    <xf numFmtId="10" fontId="0" fillId="0" borderId="4" xfId="6" applyNumberFormat="1" applyFont="1" applyBorder="1"/>
    <xf numFmtId="169" fontId="0" fillId="0" borderId="4" xfId="0" applyNumberFormat="1" applyBorder="1"/>
    <xf numFmtId="169" fontId="0" fillId="0" borderId="3" xfId="0" applyNumberFormat="1" applyBorder="1"/>
    <xf numFmtId="169" fontId="0" fillId="0" borderId="0" xfId="0" applyNumberFormat="1" applyBorder="1"/>
    <xf numFmtId="1" fontId="0" fillId="0" borderId="3" xfId="0" applyNumberFormat="1" applyBorder="1"/>
    <xf numFmtId="1" fontId="0" fillId="0" borderId="0" xfId="0" applyNumberFormat="1" applyBorder="1"/>
    <xf numFmtId="1" fontId="0" fillId="0" borderId="4" xfId="0" applyNumberFormat="1" applyBorder="1"/>
    <xf numFmtId="0" fontId="10" fillId="6" borderId="0" xfId="0" applyFont="1" applyFill="1" applyAlignment="1">
      <alignment horizontal="center" vertical="center"/>
    </xf>
    <xf numFmtId="0" fontId="5" fillId="7" borderId="0" xfId="0" applyFont="1" applyFill="1"/>
    <xf numFmtId="0" fontId="5" fillId="7" borderId="0" xfId="0" applyFont="1" applyFill="1" applyAlignment="1">
      <alignment horizontal="right"/>
    </xf>
    <xf numFmtId="0" fontId="0" fillId="9" borderId="0" xfId="0" applyFill="1"/>
    <xf numFmtId="173" fontId="0" fillId="9" borderId="0" xfId="0" applyNumberFormat="1" applyFill="1"/>
    <xf numFmtId="167" fontId="0" fillId="9" borderId="0" xfId="6" applyNumberFormat="1" applyFont="1" applyFill="1"/>
    <xf numFmtId="4" fontId="0" fillId="9" borderId="0" xfId="0" applyNumberFormat="1" applyFill="1"/>
    <xf numFmtId="10" fontId="0" fillId="9" borderId="0" xfId="6" applyNumberFormat="1" applyFont="1" applyFill="1"/>
    <xf numFmtId="43" fontId="2" fillId="10" borderId="0" xfId="5" applyNumberFormat="1" applyFont="1" applyFill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activeCell="A20" sqref="A20"/>
    </sheetView>
  </sheetViews>
  <sheetFormatPr defaultColWidth="8.77734375" defaultRowHeight="14.4" x14ac:dyDescent="0.3"/>
  <cols>
    <col min="1" max="1" width="21" bestFit="1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DR LAL PATHLABS LTD</v>
      </c>
      <c r="H1" t="str">
        <f>UPDATE</f>
        <v/>
      </c>
      <c r="J1" s="3"/>
      <c r="K1" s="3"/>
    </row>
    <row r="3" spans="1:14" s="2" customFormat="1" x14ac:dyDescent="0.3">
      <c r="A3" s="11" t="s">
        <v>1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2</v>
      </c>
      <c r="M3" s="13" t="s">
        <v>3</v>
      </c>
      <c r="N3" s="13" t="s">
        <v>4</v>
      </c>
    </row>
    <row r="4" spans="1:14" s="2" customFormat="1" x14ac:dyDescent="0.3">
      <c r="A4" s="2" t="s">
        <v>5</v>
      </c>
      <c r="B4" s="1">
        <f>'Data Sheet'!B17</f>
        <v>791.32</v>
      </c>
      <c r="C4" s="1">
        <f>'Data Sheet'!C17</f>
        <v>912.38</v>
      </c>
      <c r="D4" s="1">
        <f>'Data Sheet'!D17</f>
        <v>1056.92</v>
      </c>
      <c r="E4" s="1">
        <f>'Data Sheet'!E17</f>
        <v>1203.42</v>
      </c>
      <c r="F4" s="1">
        <f>'Data Sheet'!F17</f>
        <v>1330.36</v>
      </c>
      <c r="G4" s="1">
        <f>'Data Sheet'!G17</f>
        <v>1581.27</v>
      </c>
      <c r="H4" s="1">
        <f>'Data Sheet'!H17</f>
        <v>2087.41</v>
      </c>
      <c r="I4" s="1">
        <f>'Data Sheet'!I17</f>
        <v>2016.88</v>
      </c>
      <c r="J4" s="1">
        <f>'Data Sheet'!J17</f>
        <v>2226.64</v>
      </c>
      <c r="K4" s="1">
        <f>'Data Sheet'!K17</f>
        <v>2461.4</v>
      </c>
      <c r="L4" s="1">
        <f>SUM(Quarters!H4:K4)</f>
        <v>2461.4</v>
      </c>
      <c r="M4" s="1">
        <f>$K4+M23*K4</f>
        <v>2720.9113103150939</v>
      </c>
      <c r="N4" s="1">
        <f>$K4+N23*L4</f>
        <v>2600.4011042504508</v>
      </c>
    </row>
    <row r="5" spans="1:14" x14ac:dyDescent="0.3">
      <c r="A5" t="s">
        <v>6</v>
      </c>
      <c r="B5" s="6">
        <f>SUM('Data Sheet'!B18,'Data Sheet'!B20:B24, -1*'Data Sheet'!B19)</f>
        <v>581.59</v>
      </c>
      <c r="C5" s="6">
        <f>SUM('Data Sheet'!C18,'Data Sheet'!C20:C24, -1*'Data Sheet'!C19)</f>
        <v>674.57000000000016</v>
      </c>
      <c r="D5" s="6">
        <f>SUM('Data Sheet'!D18,'Data Sheet'!D20:D24, -1*'Data Sheet'!D19)</f>
        <v>792.82999999999993</v>
      </c>
      <c r="E5" s="6">
        <f>SUM('Data Sheet'!E18,'Data Sheet'!E20:E24, -1*'Data Sheet'!E19)</f>
        <v>909.76</v>
      </c>
      <c r="F5" s="6">
        <f>SUM('Data Sheet'!F18,'Data Sheet'!F20:F24, -1*'Data Sheet'!F19)</f>
        <v>986.79000000000008</v>
      </c>
      <c r="G5" s="6">
        <f>SUM('Data Sheet'!G18,'Data Sheet'!G20:G24, -1*'Data Sheet'!G19)</f>
        <v>1144.8200000000002</v>
      </c>
      <c r="H5" s="6">
        <f>SUM('Data Sheet'!H18,'Data Sheet'!H20:H24, -1*'Data Sheet'!H19)</f>
        <v>1526.09</v>
      </c>
      <c r="I5" s="6">
        <f>SUM('Data Sheet'!I18,'Data Sheet'!I20:I24, -1*'Data Sheet'!I19)</f>
        <v>1527.0500000000002</v>
      </c>
      <c r="J5" s="6">
        <f>SUM('Data Sheet'!J18,'Data Sheet'!J20:J24, -1*'Data Sheet'!J19)</f>
        <v>1617.1799999999998</v>
      </c>
      <c r="K5" s="6">
        <f>SUM('Data Sheet'!K18,'Data Sheet'!K20:K24, -1*'Data Sheet'!K19)</f>
        <v>1763.6499999999999</v>
      </c>
      <c r="L5" s="6">
        <f>SUM(Quarters!H5:K5)</f>
        <v>1765.9</v>
      </c>
      <c r="M5" s="6">
        <f t="shared" ref="M5:N5" si="0">M4-M6</f>
        <v>1952.0830758452198</v>
      </c>
      <c r="N5" s="6">
        <f t="shared" si="0"/>
        <v>1912.6806521410899</v>
      </c>
    </row>
    <row r="6" spans="1:14" s="2" customFormat="1" x14ac:dyDescent="0.3">
      <c r="A6" s="2" t="s">
        <v>7</v>
      </c>
      <c r="B6" s="1">
        <f>B4-B5</f>
        <v>209.73000000000002</v>
      </c>
      <c r="C6" s="1">
        <f t="shared" ref="C6:K6" si="1">C4-C5</f>
        <v>237.80999999999983</v>
      </c>
      <c r="D6" s="1">
        <f t="shared" si="1"/>
        <v>264.09000000000015</v>
      </c>
      <c r="E6" s="1">
        <f t="shared" si="1"/>
        <v>293.66000000000008</v>
      </c>
      <c r="F6" s="1">
        <f t="shared" si="1"/>
        <v>343.56999999999982</v>
      </c>
      <c r="G6" s="1">
        <f t="shared" si="1"/>
        <v>436.44999999999982</v>
      </c>
      <c r="H6" s="1">
        <f t="shared" si="1"/>
        <v>561.31999999999994</v>
      </c>
      <c r="I6" s="1">
        <f t="shared" si="1"/>
        <v>489.82999999999993</v>
      </c>
      <c r="J6" s="1">
        <f t="shared" si="1"/>
        <v>609.46</v>
      </c>
      <c r="K6" s="1">
        <f t="shared" si="1"/>
        <v>697.75000000000023</v>
      </c>
      <c r="L6" s="1">
        <f>SUM(Quarters!H6:K6)</f>
        <v>695.5</v>
      </c>
      <c r="M6" s="1">
        <f>M4*M24</f>
        <v>768.82823446987402</v>
      </c>
      <c r="N6" s="1">
        <f>N4*N24</f>
        <v>687.72045210936085</v>
      </c>
    </row>
    <row r="7" spans="1:14" x14ac:dyDescent="0.3">
      <c r="A7" t="s">
        <v>8</v>
      </c>
      <c r="B7" s="6">
        <f>'Data Sheet'!B25</f>
        <v>19.77</v>
      </c>
      <c r="C7" s="6">
        <f>'Data Sheet'!C25</f>
        <v>27.25</v>
      </c>
      <c r="D7" s="6">
        <f>'Data Sheet'!D25</f>
        <v>31.13</v>
      </c>
      <c r="E7" s="6">
        <f>'Data Sheet'!E25</f>
        <v>45.95</v>
      </c>
      <c r="F7" s="6">
        <f>'Data Sheet'!F25</f>
        <v>55.05</v>
      </c>
      <c r="G7" s="6">
        <f>'Data Sheet'!G25</f>
        <v>51.16</v>
      </c>
      <c r="H7" s="6">
        <f>'Data Sheet'!H25</f>
        <v>51.95</v>
      </c>
      <c r="I7" s="6">
        <f>'Data Sheet'!I25</f>
        <v>41.72</v>
      </c>
      <c r="J7" s="6">
        <f>'Data Sheet'!J25</f>
        <v>68.95</v>
      </c>
      <c r="K7" s="6">
        <f>'Data Sheet'!K25</f>
        <v>91.28</v>
      </c>
      <c r="L7" s="6">
        <f>SUM(Quarters!H7:K7)</f>
        <v>93.399999999999991</v>
      </c>
      <c r="M7" s="6">
        <v>0</v>
      </c>
      <c r="N7" s="6">
        <v>0</v>
      </c>
    </row>
    <row r="8" spans="1:14" x14ac:dyDescent="0.3">
      <c r="A8" t="s">
        <v>9</v>
      </c>
      <c r="B8" s="6">
        <f>'Data Sheet'!B26</f>
        <v>28.28</v>
      </c>
      <c r="C8" s="6">
        <f>'Data Sheet'!C26</f>
        <v>27.54</v>
      </c>
      <c r="D8" s="6">
        <f>'Data Sheet'!D26</f>
        <v>33.06</v>
      </c>
      <c r="E8" s="6">
        <f>'Data Sheet'!E26</f>
        <v>38.22</v>
      </c>
      <c r="F8" s="6">
        <f>'Data Sheet'!F26</f>
        <v>72.81</v>
      </c>
      <c r="G8" s="6">
        <f>'Data Sheet'!G26</f>
        <v>77.2</v>
      </c>
      <c r="H8" s="6">
        <f>'Data Sheet'!H26</f>
        <v>108.11</v>
      </c>
      <c r="I8" s="6">
        <f>'Data Sheet'!I26</f>
        <v>150.19</v>
      </c>
      <c r="J8" s="6">
        <f>'Data Sheet'!J26</f>
        <v>143.6</v>
      </c>
      <c r="K8" s="6">
        <f>'Data Sheet'!K26</f>
        <v>141.91999999999999</v>
      </c>
      <c r="L8" s="6">
        <f>SUM(Quarters!H8:K8)</f>
        <v>141.9</v>
      </c>
      <c r="M8" s="6">
        <f>+$L8</f>
        <v>141.9</v>
      </c>
      <c r="N8" s="6">
        <f>+$L8</f>
        <v>141.9</v>
      </c>
    </row>
    <row r="9" spans="1:14" x14ac:dyDescent="0.3">
      <c r="A9" t="s">
        <v>10</v>
      </c>
      <c r="B9" s="6">
        <f>'Data Sheet'!B27</f>
        <v>0.5</v>
      </c>
      <c r="C9" s="6">
        <f>'Data Sheet'!C27</f>
        <v>0.7</v>
      </c>
      <c r="D9" s="6">
        <f>'Data Sheet'!D27</f>
        <v>0.84</v>
      </c>
      <c r="E9" s="6">
        <f>'Data Sheet'!E27</f>
        <v>0.84</v>
      </c>
      <c r="F9" s="6">
        <f>'Data Sheet'!F27</f>
        <v>15.31</v>
      </c>
      <c r="G9" s="6">
        <f>'Data Sheet'!G27</f>
        <v>16</v>
      </c>
      <c r="H9" s="6">
        <f>'Data Sheet'!H27</f>
        <v>30.18</v>
      </c>
      <c r="I9" s="6">
        <f>'Data Sheet'!I27</f>
        <v>37.53</v>
      </c>
      <c r="J9" s="6">
        <f>'Data Sheet'!J27</f>
        <v>29.36</v>
      </c>
      <c r="K9" s="6">
        <f>'Data Sheet'!K27</f>
        <v>22.31</v>
      </c>
      <c r="L9" s="6">
        <f>SUM(Quarters!H9:K9)</f>
        <v>22.3</v>
      </c>
      <c r="M9" s="6">
        <f>+$L9</f>
        <v>22.3</v>
      </c>
      <c r="N9" s="6">
        <f>+$L9</f>
        <v>22.3</v>
      </c>
    </row>
    <row r="10" spans="1:14" x14ac:dyDescent="0.3">
      <c r="A10" t="s">
        <v>11</v>
      </c>
      <c r="B10" s="6">
        <f>'Data Sheet'!B28</f>
        <v>200.72</v>
      </c>
      <c r="C10" s="6">
        <f>'Data Sheet'!C28</f>
        <v>236.82</v>
      </c>
      <c r="D10" s="6">
        <f>'Data Sheet'!D28</f>
        <v>261.32</v>
      </c>
      <c r="E10" s="6">
        <f>'Data Sheet'!E28</f>
        <v>300.55</v>
      </c>
      <c r="F10" s="6">
        <f>'Data Sheet'!F28</f>
        <v>310.5</v>
      </c>
      <c r="G10" s="6">
        <f>'Data Sheet'!G28</f>
        <v>394.41</v>
      </c>
      <c r="H10" s="6">
        <f>'Data Sheet'!H28</f>
        <v>474.98</v>
      </c>
      <c r="I10" s="6">
        <f>'Data Sheet'!I28</f>
        <v>343.83</v>
      </c>
      <c r="J10" s="6">
        <f>'Data Sheet'!J28</f>
        <v>505.45</v>
      </c>
      <c r="K10" s="6">
        <f>'Data Sheet'!K28</f>
        <v>624.79999999999995</v>
      </c>
      <c r="L10" s="6">
        <f>SUM(Quarters!H10:K10)</f>
        <v>624.70000000000005</v>
      </c>
      <c r="M10" s="6">
        <f>M6+M7-SUM(M8:M9)</f>
        <v>604.62823446987397</v>
      </c>
      <c r="N10" s="6">
        <f>N6+N7-SUM(N8:N9)</f>
        <v>523.5204521093608</v>
      </c>
    </row>
    <row r="11" spans="1:14" x14ac:dyDescent="0.3">
      <c r="A11" t="s">
        <v>12</v>
      </c>
      <c r="B11" s="6">
        <f>'Data Sheet'!B29</f>
        <v>67.48</v>
      </c>
      <c r="C11" s="6">
        <f>'Data Sheet'!C29</f>
        <v>81.23</v>
      </c>
      <c r="D11" s="6">
        <f>'Data Sheet'!D29</f>
        <v>89.57</v>
      </c>
      <c r="E11" s="6">
        <f>'Data Sheet'!E29</f>
        <v>100.08</v>
      </c>
      <c r="F11" s="6">
        <f>'Data Sheet'!F29</f>
        <v>82.91</v>
      </c>
      <c r="G11" s="6">
        <f>'Data Sheet'!G29</f>
        <v>97.93</v>
      </c>
      <c r="H11" s="6">
        <f>'Data Sheet'!H29</f>
        <v>124.69</v>
      </c>
      <c r="I11" s="6">
        <f>'Data Sheet'!I29</f>
        <v>102.75</v>
      </c>
      <c r="J11" s="6">
        <f>'Data Sheet'!J29</f>
        <v>143.16</v>
      </c>
      <c r="K11" s="6">
        <f>'Data Sheet'!K29</f>
        <v>132.55000000000001</v>
      </c>
      <c r="L11" s="6">
        <f>SUM(Quarters!H11:K11)</f>
        <v>132.50000000000003</v>
      </c>
      <c r="M11" s="7">
        <f>IF($L10&gt;0,$L11/$L10,0)</f>
        <v>0.2121018088682568</v>
      </c>
      <c r="N11" s="7">
        <f>IF($L10&gt;0,$L11/$L10,0)</f>
        <v>0.2121018088682568</v>
      </c>
    </row>
    <row r="12" spans="1:14" s="2" customFormat="1" x14ac:dyDescent="0.3">
      <c r="A12" s="2" t="s">
        <v>13</v>
      </c>
      <c r="B12" s="1">
        <f>'Data Sheet'!B30</f>
        <v>132.19</v>
      </c>
      <c r="C12" s="1">
        <f>'Data Sheet'!C30</f>
        <v>154.59</v>
      </c>
      <c r="D12" s="1">
        <f>'Data Sheet'!D30</f>
        <v>170.73</v>
      </c>
      <c r="E12" s="1">
        <f>'Data Sheet'!E30</f>
        <v>199.18</v>
      </c>
      <c r="F12" s="1">
        <f>'Data Sheet'!F30</f>
        <v>225.94</v>
      </c>
      <c r="G12" s="1">
        <f>'Data Sheet'!G30</f>
        <v>291.62</v>
      </c>
      <c r="H12" s="1">
        <f>'Data Sheet'!H30</f>
        <v>344.83</v>
      </c>
      <c r="I12" s="1">
        <f>'Data Sheet'!I30</f>
        <v>238.85</v>
      </c>
      <c r="J12" s="1">
        <f>'Data Sheet'!J30</f>
        <v>357.74</v>
      </c>
      <c r="K12" s="1">
        <f>'Data Sheet'!K30</f>
        <v>487.14</v>
      </c>
      <c r="L12" s="1">
        <f>SUM(Quarters!H12:K12)</f>
        <v>487.1</v>
      </c>
      <c r="M12" s="1">
        <f>M10-M11*M10</f>
        <v>476.38549224599319</v>
      </c>
      <c r="N12" s="1">
        <f>N10-N11*N10</f>
        <v>412.4808172374378</v>
      </c>
    </row>
    <row r="13" spans="1:14" x14ac:dyDescent="0.3">
      <c r="A13" t="s">
        <v>46</v>
      </c>
      <c r="B13" s="6">
        <f>IF('Data Sheet'!B93&gt;0,B12/'Data Sheet'!B93,0)</f>
        <v>15.984280532043531</v>
      </c>
      <c r="C13" s="6">
        <f>IF('Data Sheet'!C93&gt;0,C12/'Data Sheet'!C93,0)</f>
        <v>18.602888086642597</v>
      </c>
      <c r="D13" s="6">
        <f>IF('Data Sheet'!D93&gt;0,D12/'Data Sheet'!D93,0)</f>
        <v>20.495798319327729</v>
      </c>
      <c r="E13" s="6">
        <f>IF('Data Sheet'!E93&gt;0,E12/'Data Sheet'!E93,0)</f>
        <v>23.911164465786314</v>
      </c>
      <c r="F13" s="6">
        <f>IF('Data Sheet'!F93&gt;0,F12/'Data Sheet'!F93,0)</f>
        <v>27.123649459783913</v>
      </c>
      <c r="G13" s="6">
        <f>IF('Data Sheet'!G93&gt;0,G12/'Data Sheet'!G93,0)</f>
        <v>35.008403361344541</v>
      </c>
      <c r="H13" s="6">
        <f>IF('Data Sheet'!H93&gt;0,H12/'Data Sheet'!H93,0)</f>
        <v>41.396158463385355</v>
      </c>
      <c r="I13" s="6">
        <f>IF('Data Sheet'!I93&gt;0,I12/'Data Sheet'!I93,0)</f>
        <v>28.639088729016787</v>
      </c>
      <c r="J13" s="6">
        <f>IF('Data Sheet'!J93&gt;0,J12/'Data Sheet'!J93,0)</f>
        <v>42.843113772455091</v>
      </c>
      <c r="K13" s="6">
        <f>IF('Data Sheet'!K93&gt;0,K12/'Data Sheet'!K93,0)</f>
        <v>58.270334928229666</v>
      </c>
      <c r="L13" s="6">
        <f>IF('Data Sheet'!$B6&gt;0,'Profit &amp; Loss'!L12/'Data Sheet'!$B6,0)</f>
        <v>58.197752024112674</v>
      </c>
      <c r="M13" s="6">
        <f>IF('Data Sheet'!$B6&gt;0,'Profit &amp; Loss'!M12/'Data Sheet'!$B6,0)</f>
        <v>56.91760366581228</v>
      </c>
      <c r="N13" s="6">
        <f>IF('Data Sheet'!$B6&gt;0,'Profit &amp; Loss'!N12/'Data Sheet'!$B6,0)</f>
        <v>49.282398514242963</v>
      </c>
    </row>
    <row r="14" spans="1:14" x14ac:dyDescent="0.3">
      <c r="A14" t="s">
        <v>15</v>
      </c>
      <c r="B14" s="6">
        <f>IF(B15&gt;0,B15/B13,"")</f>
        <v>57.763000226946062</v>
      </c>
      <c r="C14" s="6">
        <f t="shared" ref="C14:K14" si="2">IF(C15&gt;0,C15/C13,"")</f>
        <v>52.010741315738407</v>
      </c>
      <c r="D14" s="6">
        <f t="shared" si="2"/>
        <v>42.755104551045513</v>
      </c>
      <c r="E14" s="6">
        <f t="shared" si="2"/>
        <v>43.674159052113666</v>
      </c>
      <c r="F14" s="6">
        <f t="shared" si="2"/>
        <v>51.678149066123751</v>
      </c>
      <c r="G14" s="6">
        <f t="shared" si="2"/>
        <v>77.325720115218431</v>
      </c>
      <c r="H14" s="6">
        <f t="shared" si="2"/>
        <v>63.066238436330941</v>
      </c>
      <c r="I14" s="6">
        <f t="shared" si="2"/>
        <v>63.832338287628211</v>
      </c>
      <c r="J14" s="6">
        <f t="shared" si="2"/>
        <v>52.817122770727337</v>
      </c>
      <c r="K14" s="6">
        <f t="shared" si="2"/>
        <v>42.539655951061299</v>
      </c>
      <c r="L14" s="6">
        <f t="shared" ref="L14" si="3">IF(L13&gt;0,L15/L13,0)</f>
        <v>50.31465818107165</v>
      </c>
      <c r="M14" s="6">
        <f>M25</f>
        <v>52.375943797622121</v>
      </c>
      <c r="N14" s="6">
        <f>N25</f>
        <v>50.31465818107165</v>
      </c>
    </row>
    <row r="15" spans="1:14" s="2" customFormat="1" x14ac:dyDescent="0.3">
      <c r="A15" s="2" t="s">
        <v>47</v>
      </c>
      <c r="B15" s="1">
        <f>'Data Sheet'!B90</f>
        <v>923.3</v>
      </c>
      <c r="C15" s="1">
        <f>'Data Sheet'!C90</f>
        <v>967.55</v>
      </c>
      <c r="D15" s="1">
        <f>'Data Sheet'!D90</f>
        <v>876.3</v>
      </c>
      <c r="E15" s="1">
        <f>'Data Sheet'!E90</f>
        <v>1044.3</v>
      </c>
      <c r="F15" s="1">
        <f>'Data Sheet'!F90</f>
        <v>1401.7</v>
      </c>
      <c r="G15" s="1">
        <f>'Data Sheet'!G90</f>
        <v>2707.05</v>
      </c>
      <c r="H15" s="1">
        <f>'Data Sheet'!H90</f>
        <v>2610.6999999999998</v>
      </c>
      <c r="I15" s="1">
        <f>'Data Sheet'!I90</f>
        <v>1828.1</v>
      </c>
      <c r="J15" s="1">
        <f>'Data Sheet'!J90</f>
        <v>2262.85</v>
      </c>
      <c r="K15" s="1">
        <f>'Data Sheet'!K90</f>
        <v>2478.8000000000002</v>
      </c>
      <c r="L15" s="1">
        <f>'Data Sheet'!B8</f>
        <v>2928.2</v>
      </c>
      <c r="M15" s="8">
        <f>M13*M14</f>
        <v>2981.1132106959149</v>
      </c>
      <c r="N15" s="9">
        <f>N13*N14</f>
        <v>2479.6270355874881</v>
      </c>
    </row>
    <row r="17" spans="1:14" s="2" customFormat="1" x14ac:dyDescent="0.3">
      <c r="A17" s="2" t="s">
        <v>14</v>
      </c>
    </row>
    <row r="18" spans="1:14" x14ac:dyDescent="0.3">
      <c r="A18" t="s">
        <v>16</v>
      </c>
      <c r="B18" s="5">
        <f>IF('Data Sheet'!B30&gt;0, 'Data Sheet'!B31/'Data Sheet'!B30, 0)</f>
        <v>0.15326424086542101</v>
      </c>
      <c r="C18" s="5">
        <f>IF('Data Sheet'!C30&gt;0, 'Data Sheet'!C31/'Data Sheet'!C30, 0)</f>
        <v>0.16120059512258234</v>
      </c>
      <c r="D18" s="5">
        <f>IF('Data Sheet'!D30&gt;0, 'Data Sheet'!D31/'Data Sheet'!D30, 0)</f>
        <v>0.21964505359339309</v>
      </c>
      <c r="E18" s="5">
        <f>IF('Data Sheet'!E30&gt;0, 'Data Sheet'!E31/'Data Sheet'!E30, 0)</f>
        <v>0.25102921980118487</v>
      </c>
      <c r="F18" s="5">
        <f>IF('Data Sheet'!F30&gt;0, 'Data Sheet'!F31/'Data Sheet'!F30, 0)</f>
        <v>0.44268389838010092</v>
      </c>
      <c r="G18" s="5">
        <f>IF('Data Sheet'!G30&gt;0, 'Data Sheet'!G31/'Data Sheet'!G30, 0)</f>
        <v>0.57163431863383851</v>
      </c>
      <c r="H18" s="5">
        <f>IF('Data Sheet'!H30&gt;0, 'Data Sheet'!H31/'Data Sheet'!H30, 0)</f>
        <v>0.29005596960821273</v>
      </c>
      <c r="I18" s="5">
        <f>IF('Data Sheet'!I30&gt;0, 'Data Sheet'!I31/'Data Sheet'!I30, 0)</f>
        <v>0.2094201381620264</v>
      </c>
      <c r="J18" s="5">
        <f>IF('Data Sheet'!J30&gt;0, 'Data Sheet'!J31/'Data Sheet'!J30, 0)</f>
        <v>0</v>
      </c>
      <c r="K18" s="5">
        <f>IF('Data Sheet'!K30&gt;0, 'Data Sheet'!K31/'Data Sheet'!K30, 0)</f>
        <v>0</v>
      </c>
    </row>
    <row r="19" spans="1:14" x14ac:dyDescent="0.3">
      <c r="A19" t="s">
        <v>177</v>
      </c>
      <c r="B19" s="5">
        <f t="shared" ref="B19:L19" si="4">IF(B6&gt;0,B6/B4,0)</f>
        <v>0.26503816408027092</v>
      </c>
      <c r="C19" s="5">
        <f t="shared" ref="C19:K19" si="5">IF(C6&gt;0,C6/C4,0)</f>
        <v>0.26064797562419151</v>
      </c>
      <c r="D19" s="5">
        <f t="shared" si="5"/>
        <v>0.24986753964349254</v>
      </c>
      <c r="E19" s="5">
        <f t="shared" si="5"/>
        <v>0.24402120622891432</v>
      </c>
      <c r="F19" s="5">
        <f t="shared" si="5"/>
        <v>0.25825340509335809</v>
      </c>
      <c r="G19" s="5">
        <f t="shared" si="5"/>
        <v>0.27601231921177272</v>
      </c>
      <c r="H19" s="5">
        <f t="shared" si="5"/>
        <v>0.26890740199577468</v>
      </c>
      <c r="I19" s="5">
        <f t="shared" si="5"/>
        <v>0.24286521756376181</v>
      </c>
      <c r="J19" s="5">
        <f t="shared" si="5"/>
        <v>0.27371285883663282</v>
      </c>
      <c r="K19" s="5">
        <f t="shared" si="5"/>
        <v>0.28347688307467306</v>
      </c>
      <c r="L19" s="5">
        <f t="shared" si="4"/>
        <v>0.282562769155765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1"/>
      <c r="B22" s="12"/>
      <c r="C22" s="12"/>
      <c r="D22" s="12"/>
      <c r="E22" s="12"/>
      <c r="F22" s="12"/>
      <c r="G22" s="12" t="s">
        <v>18</v>
      </c>
      <c r="H22" s="12" t="s">
        <v>54</v>
      </c>
      <c r="I22" s="12" t="s">
        <v>55</v>
      </c>
      <c r="J22" s="12" t="s">
        <v>56</v>
      </c>
      <c r="K22" s="12" t="s">
        <v>57</v>
      </c>
      <c r="L22" s="13" t="s">
        <v>58</v>
      </c>
      <c r="M22" s="13" t="s">
        <v>19</v>
      </c>
      <c r="N22" s="13" t="s">
        <v>20</v>
      </c>
    </row>
    <row r="23" spans="1:14" s="2" customFormat="1" x14ac:dyDescent="0.3">
      <c r="A23"/>
      <c r="B23"/>
      <c r="C23"/>
      <c r="D23"/>
      <c r="E23"/>
      <c r="F23"/>
      <c r="G23" t="s">
        <v>21</v>
      </c>
      <c r="H23" s="5">
        <f>IF(B4=0,"",POWER($K4/B4,1/9)-1)</f>
        <v>0.13438087221308992</v>
      </c>
      <c r="I23" s="5">
        <f>IF(D4=0,"",POWER($K4/D4,1/7)-1)</f>
        <v>0.12836234021653414</v>
      </c>
      <c r="J23" s="5">
        <f>IF(F4=0,"",POWER($K4/F4,1/5)-1)</f>
        <v>0.13094791317248045</v>
      </c>
      <c r="K23" s="5">
        <f>IF(H4=0,"",POWER($K4/H4, 1/3)-1)</f>
        <v>5.6472375172849087E-2</v>
      </c>
      <c r="L23" s="5">
        <f>IF(ISERROR(MAX(IF(J4=0,"",(K4-J4)/J4),IF(K4=0,"",(L4-K4)/K4))),"",MAX(IF(J4=0,"",(K4-J4)/J4),IF(K4=0,"",(L4-K4)/K4)))</f>
        <v>0.1054324003880287</v>
      </c>
      <c r="M23" s="16">
        <f>MAX(K23:L23)</f>
        <v>0.1054324003880287</v>
      </c>
      <c r="N23" s="16">
        <f>MIN(H23:L23)</f>
        <v>5.6472375172849087E-2</v>
      </c>
    </row>
    <row r="24" spans="1:14" x14ac:dyDescent="0.3">
      <c r="G24" t="s">
        <v>17</v>
      </c>
      <c r="H24" s="5">
        <f>IF(SUM(B4:$K$4)=0,"",SUMPRODUCT(B19:$K$19,B4:$K$4)/SUM(B4:$K$4))</f>
        <v>0.26446706663262703</v>
      </c>
      <c r="I24" s="5">
        <f>IF(SUM(E4:$K$4)=0,"",SUMPRODUCT(E19:$K$19,E4:$K$4)/SUM(E4:$K$4))</f>
        <v>0.26589749430170961</v>
      </c>
      <c r="J24" s="5">
        <f>IF(SUM(G4:$K$4)=0,"",SUMPRODUCT(G19:$K$19,G4:$K$4)/SUM(G4:$K$4))</f>
        <v>0.2694156319888949</v>
      </c>
      <c r="K24" s="5">
        <f>IF(SUM(I4:$K$4)=0, "", SUMPRODUCT(I19:$K$19,I4:$K$4)/SUM(I4:$K$4))</f>
        <v>0.26801811207292559</v>
      </c>
      <c r="L24" s="5">
        <f>L19</f>
        <v>0.282562769155765</v>
      </c>
      <c r="M24" s="16">
        <f>MAX(K24:L24)</f>
        <v>0.282562769155765</v>
      </c>
      <c r="N24" s="16">
        <f>MIN(H24:L24)</f>
        <v>0.26446706663262703</v>
      </c>
    </row>
    <row r="25" spans="1:14" x14ac:dyDescent="0.3">
      <c r="G25" t="s">
        <v>22</v>
      </c>
      <c r="H25" s="6">
        <f>IF(ISERROR(AVERAGEIF(B14:$L14,"&gt;0")),"",AVERAGEIF(B14:$L14,"&gt;0"))</f>
        <v>54.343353450364113</v>
      </c>
      <c r="I25" s="6">
        <f>IF(ISERROR(AVERAGEIF(E14:$L14,"&gt;0")),"",AVERAGEIF(E14:$L14,"&gt;0"))</f>
        <v>55.656005232534412</v>
      </c>
      <c r="J25" s="6">
        <f>IF(ISERROR(AVERAGEIF(G14:$L14,"&gt;0")),"",AVERAGEIF(G14:$L14,"&gt;0"))</f>
        <v>58.315955623672977</v>
      </c>
      <c r="K25" s="6">
        <f>IF(ISERROR(AVERAGEIF(I14:$L14,"&gt;0")),"",AVERAGEIF(I14:$L14,"&gt;0"))</f>
        <v>52.375943797622121</v>
      </c>
      <c r="L25" s="6">
        <f>L14</f>
        <v>50.31465818107165</v>
      </c>
      <c r="M25" s="1">
        <f>MAX(K25:L25)</f>
        <v>52.375943797622121</v>
      </c>
      <c r="N25" s="1">
        <f>MIN(H25:L25)</f>
        <v>50.31465818107165</v>
      </c>
    </row>
  </sheetData>
  <printOptions gridLines="1"/>
  <pageMargins left="0.7" right="0.7" top="0.75" bottom="0.75" header="0.3" footer="0.3"/>
  <pageSetup paperSize="9" orientation="landscape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" sqref="B1:B1048576"/>
    </sheetView>
  </sheetViews>
  <sheetFormatPr defaultColWidth="8.77734375" defaultRowHeight="14.4" x14ac:dyDescent="0.3"/>
  <cols>
    <col min="1" max="1" width="21.5546875" bestFit="1" customWidth="1"/>
    <col min="2" max="11" width="13.44140625" bestFit="1" customWidth="1"/>
  </cols>
  <sheetData>
    <row r="1" spans="1:11" s="2" customFormat="1" x14ac:dyDescent="0.3">
      <c r="A1" s="2" t="str">
        <f>'Profit &amp; Loss'!A1</f>
        <v>DR LAL PATHLABS LTD</v>
      </c>
      <c r="E1" t="str">
        <f>UPDATE</f>
        <v/>
      </c>
    </row>
    <row r="3" spans="1:11" s="2" customFormat="1" x14ac:dyDescent="0.3">
      <c r="A3" s="11" t="s">
        <v>1</v>
      </c>
      <c r="B3" s="12">
        <f>'Data Sheet'!B41</f>
        <v>44926</v>
      </c>
      <c r="C3" s="12">
        <f>'Data Sheet'!C41</f>
        <v>45016</v>
      </c>
      <c r="D3" s="12">
        <f>'Data Sheet'!D41</f>
        <v>45107</v>
      </c>
      <c r="E3" s="12">
        <f>'Data Sheet'!E41</f>
        <v>45199</v>
      </c>
      <c r="F3" s="12">
        <f>'Data Sheet'!F41</f>
        <v>45291</v>
      </c>
      <c r="G3" s="12">
        <f>'Data Sheet'!G41</f>
        <v>45382</v>
      </c>
      <c r="H3" s="12">
        <f>'Data Sheet'!H41</f>
        <v>45473</v>
      </c>
      <c r="I3" s="12">
        <f>'Data Sheet'!I41</f>
        <v>45565</v>
      </c>
      <c r="J3" s="12">
        <f>'Data Sheet'!J41</f>
        <v>45657</v>
      </c>
      <c r="K3" s="12">
        <f>'Data Sheet'!K41</f>
        <v>45747</v>
      </c>
    </row>
    <row r="4" spans="1:11" s="2" customFormat="1" x14ac:dyDescent="0.3">
      <c r="A4" s="2" t="s">
        <v>5</v>
      </c>
      <c r="B4" s="1">
        <f>'Data Sheet'!B42</f>
        <v>489.4</v>
      </c>
      <c r="C4" s="1">
        <f>'Data Sheet'!C42</f>
        <v>491</v>
      </c>
      <c r="D4" s="1">
        <f>'Data Sheet'!D42</f>
        <v>541</v>
      </c>
      <c r="E4" s="1">
        <f>'Data Sheet'!E42</f>
        <v>601.29999999999995</v>
      </c>
      <c r="F4" s="1">
        <f>'Data Sheet'!F42</f>
        <v>538.9</v>
      </c>
      <c r="G4" s="1">
        <f>'Data Sheet'!G42</f>
        <v>545.4</v>
      </c>
      <c r="H4" s="1">
        <f>'Data Sheet'!H42</f>
        <v>601.9</v>
      </c>
      <c r="I4" s="1">
        <f>'Data Sheet'!I42</f>
        <v>660.2</v>
      </c>
      <c r="J4" s="1">
        <f>'Data Sheet'!J42</f>
        <v>596.70000000000005</v>
      </c>
      <c r="K4" s="1">
        <f>'Data Sheet'!K42</f>
        <v>602.6</v>
      </c>
    </row>
    <row r="5" spans="1:11" x14ac:dyDescent="0.3">
      <c r="A5" t="s">
        <v>6</v>
      </c>
      <c r="B5" s="6">
        <f>'Data Sheet'!B43</f>
        <v>376.4</v>
      </c>
      <c r="C5" s="6">
        <f>'Data Sheet'!C43</f>
        <v>375.4</v>
      </c>
      <c r="D5" s="6">
        <f>'Data Sheet'!D43</f>
        <v>394.8</v>
      </c>
      <c r="E5" s="6">
        <f>'Data Sheet'!E43</f>
        <v>423.5</v>
      </c>
      <c r="F5" s="6">
        <f>'Data Sheet'!F43</f>
        <v>398.3</v>
      </c>
      <c r="G5" s="6">
        <f>'Data Sheet'!G43</f>
        <v>400.7</v>
      </c>
      <c r="H5" s="6">
        <f>'Data Sheet'!H43</f>
        <v>431.9</v>
      </c>
      <c r="I5" s="6">
        <f>'Data Sheet'!I43</f>
        <v>457.7</v>
      </c>
      <c r="J5" s="6">
        <f>'Data Sheet'!J43</f>
        <v>442.7</v>
      </c>
      <c r="K5" s="6">
        <f>'Data Sheet'!K43</f>
        <v>433.6</v>
      </c>
    </row>
    <row r="6" spans="1:11" s="2" customFormat="1" x14ac:dyDescent="0.3">
      <c r="A6" s="2" t="s">
        <v>7</v>
      </c>
      <c r="B6" s="1">
        <f>'Data Sheet'!B50</f>
        <v>113</v>
      </c>
      <c r="C6" s="1">
        <f>'Data Sheet'!C50</f>
        <v>115.6</v>
      </c>
      <c r="D6" s="1">
        <f>'Data Sheet'!D50</f>
        <v>146.19999999999999</v>
      </c>
      <c r="E6" s="1">
        <f>'Data Sheet'!E50</f>
        <v>177.8</v>
      </c>
      <c r="F6" s="1">
        <f>'Data Sheet'!F50</f>
        <v>140.6</v>
      </c>
      <c r="G6" s="1">
        <f>'Data Sheet'!G50</f>
        <v>144.69999999999999</v>
      </c>
      <c r="H6" s="1">
        <f>'Data Sheet'!H50</f>
        <v>170</v>
      </c>
      <c r="I6" s="1">
        <f>'Data Sheet'!I50</f>
        <v>202.5</v>
      </c>
      <c r="J6" s="1">
        <f>'Data Sheet'!J50</f>
        <v>154</v>
      </c>
      <c r="K6" s="1">
        <f>'Data Sheet'!K50</f>
        <v>169</v>
      </c>
    </row>
    <row r="7" spans="1:11" x14ac:dyDescent="0.3">
      <c r="A7" t="s">
        <v>8</v>
      </c>
      <c r="B7" s="6">
        <f>'Data Sheet'!B44</f>
        <v>10.5</v>
      </c>
      <c r="C7" s="6">
        <f>'Data Sheet'!C44</f>
        <v>14.2</v>
      </c>
      <c r="D7" s="6">
        <f>'Data Sheet'!D44</f>
        <v>14.4</v>
      </c>
      <c r="E7" s="6">
        <f>'Data Sheet'!E44</f>
        <v>18.100000000000001</v>
      </c>
      <c r="F7" s="6">
        <f>'Data Sheet'!F44</f>
        <v>18.3</v>
      </c>
      <c r="G7" s="6">
        <f>'Data Sheet'!G44</f>
        <v>18.399999999999999</v>
      </c>
      <c r="H7" s="6">
        <f>'Data Sheet'!H44</f>
        <v>20.6</v>
      </c>
      <c r="I7" s="6">
        <f>'Data Sheet'!I44</f>
        <v>21.9</v>
      </c>
      <c r="J7" s="6">
        <f>'Data Sheet'!J44</f>
        <v>25.1</v>
      </c>
      <c r="K7" s="6">
        <f>'Data Sheet'!K44</f>
        <v>25.8</v>
      </c>
    </row>
    <row r="8" spans="1:11" x14ac:dyDescent="0.3">
      <c r="A8" t="s">
        <v>9</v>
      </c>
      <c r="B8" s="6">
        <f>'Data Sheet'!B45</f>
        <v>37.9</v>
      </c>
      <c r="C8" s="6">
        <f>'Data Sheet'!C45</f>
        <v>37.6</v>
      </c>
      <c r="D8" s="6">
        <f>'Data Sheet'!D45</f>
        <v>35.1</v>
      </c>
      <c r="E8" s="6">
        <f>'Data Sheet'!E45</f>
        <v>35.9</v>
      </c>
      <c r="F8" s="6">
        <f>'Data Sheet'!F45</f>
        <v>36</v>
      </c>
      <c r="G8" s="6">
        <f>'Data Sheet'!G45</f>
        <v>36.6</v>
      </c>
      <c r="H8" s="6">
        <f>'Data Sheet'!H45</f>
        <v>34.700000000000003</v>
      </c>
      <c r="I8" s="6">
        <f>'Data Sheet'!I45</f>
        <v>35.299999999999997</v>
      </c>
      <c r="J8" s="6">
        <f>'Data Sheet'!J45</f>
        <v>35.5</v>
      </c>
      <c r="K8" s="6">
        <f>'Data Sheet'!K45</f>
        <v>36.4</v>
      </c>
    </row>
    <row r="9" spans="1:11" x14ac:dyDescent="0.3">
      <c r="A9" t="s">
        <v>10</v>
      </c>
      <c r="B9" s="6">
        <f>'Data Sheet'!B46</f>
        <v>9.1</v>
      </c>
      <c r="C9" s="6">
        <f>'Data Sheet'!C46</f>
        <v>9</v>
      </c>
      <c r="D9" s="6">
        <f>'Data Sheet'!D46</f>
        <v>8</v>
      </c>
      <c r="E9" s="6">
        <f>'Data Sheet'!E46</f>
        <v>7.8</v>
      </c>
      <c r="F9" s="6">
        <f>'Data Sheet'!F46</f>
        <v>7</v>
      </c>
      <c r="G9" s="6">
        <f>'Data Sheet'!G46</f>
        <v>6.6</v>
      </c>
      <c r="H9" s="6">
        <f>'Data Sheet'!H46</f>
        <v>6</v>
      </c>
      <c r="I9" s="6">
        <f>'Data Sheet'!I46</f>
        <v>6</v>
      </c>
      <c r="J9" s="6">
        <f>'Data Sheet'!J46</f>
        <v>5.3</v>
      </c>
      <c r="K9" s="6">
        <f>'Data Sheet'!K46</f>
        <v>5</v>
      </c>
    </row>
    <row r="10" spans="1:11" x14ac:dyDescent="0.3">
      <c r="A10" t="s">
        <v>11</v>
      </c>
      <c r="B10" s="6">
        <f>'Data Sheet'!B47</f>
        <v>76.5</v>
      </c>
      <c r="C10" s="6">
        <f>'Data Sheet'!C47</f>
        <v>83.2</v>
      </c>
      <c r="D10" s="6">
        <f>'Data Sheet'!D47</f>
        <v>117.5</v>
      </c>
      <c r="E10" s="6">
        <f>'Data Sheet'!E47</f>
        <v>152.19999999999999</v>
      </c>
      <c r="F10" s="6">
        <f>'Data Sheet'!F47</f>
        <v>115.9</v>
      </c>
      <c r="G10" s="6">
        <f>'Data Sheet'!G47</f>
        <v>119.9</v>
      </c>
      <c r="H10" s="6">
        <f>'Data Sheet'!H47</f>
        <v>149.9</v>
      </c>
      <c r="I10" s="6">
        <f>'Data Sheet'!I47</f>
        <v>183.1</v>
      </c>
      <c r="J10" s="6">
        <f>'Data Sheet'!J47</f>
        <v>138.30000000000001</v>
      </c>
      <c r="K10" s="6">
        <f>'Data Sheet'!K47</f>
        <v>153.4</v>
      </c>
    </row>
    <row r="11" spans="1:11" x14ac:dyDescent="0.3">
      <c r="A11" t="s">
        <v>12</v>
      </c>
      <c r="B11" s="6">
        <f>'Data Sheet'!B48</f>
        <v>22.9</v>
      </c>
      <c r="C11" s="6">
        <f>'Data Sheet'!C48</f>
        <v>26.3</v>
      </c>
      <c r="D11" s="6">
        <f>'Data Sheet'!D48</f>
        <v>33.9</v>
      </c>
      <c r="E11" s="6">
        <f>'Data Sheet'!E48</f>
        <v>41.5</v>
      </c>
      <c r="F11" s="6">
        <f>'Data Sheet'!F48</f>
        <v>33.700000000000003</v>
      </c>
      <c r="G11" s="6">
        <f>'Data Sheet'!G48</f>
        <v>34.1</v>
      </c>
      <c r="H11" s="6">
        <f>'Data Sheet'!H48</f>
        <v>42.1</v>
      </c>
      <c r="I11" s="6">
        <f>'Data Sheet'!I48</f>
        <v>52.3</v>
      </c>
      <c r="J11" s="6">
        <f>'Data Sheet'!J48</f>
        <v>40.200000000000003</v>
      </c>
      <c r="K11" s="6">
        <f>'Data Sheet'!K48</f>
        <v>-2.1</v>
      </c>
    </row>
    <row r="12" spans="1:11" s="2" customFormat="1" x14ac:dyDescent="0.3">
      <c r="A12" s="2" t="s">
        <v>13</v>
      </c>
      <c r="B12" s="1">
        <f>'Data Sheet'!B49</f>
        <v>52.8</v>
      </c>
      <c r="C12" s="1">
        <f>'Data Sheet'!C49</f>
        <v>56.7</v>
      </c>
      <c r="D12" s="1">
        <f>'Data Sheet'!D49</f>
        <v>82.6</v>
      </c>
      <c r="E12" s="1">
        <f>'Data Sheet'!E49</f>
        <v>109.3</v>
      </c>
      <c r="F12" s="1">
        <f>'Data Sheet'!F49</f>
        <v>81.3</v>
      </c>
      <c r="G12" s="1">
        <f>'Data Sheet'!G49</f>
        <v>84.5</v>
      </c>
      <c r="H12" s="1">
        <f>'Data Sheet'!H49</f>
        <v>106.4</v>
      </c>
      <c r="I12" s="1">
        <f>'Data Sheet'!I49</f>
        <v>129.19999999999999</v>
      </c>
      <c r="J12" s="1">
        <f>'Data Sheet'!J49</f>
        <v>96.7</v>
      </c>
      <c r="K12" s="1">
        <f>'Data Sheet'!K49</f>
        <v>154.80000000000001</v>
      </c>
    </row>
    <row r="14" spans="1:11" s="2" customFormat="1" x14ac:dyDescent="0.3">
      <c r="A14" s="2" t="s">
        <v>177</v>
      </c>
      <c r="B14" s="10">
        <f>IF(B4&gt;0,B6/B4,"")</f>
        <v>0.23089497343686147</v>
      </c>
      <c r="C14" s="10">
        <f t="shared" ref="C14:K14" si="0">IF(C4&gt;0,C6/C4,"")</f>
        <v>0.23543788187372708</v>
      </c>
      <c r="D14" s="10">
        <f t="shared" si="0"/>
        <v>0.27024029574861363</v>
      </c>
      <c r="E14" s="10">
        <f t="shared" si="0"/>
        <v>0.29569266589057047</v>
      </c>
      <c r="F14" s="10">
        <f t="shared" si="0"/>
        <v>0.26090183707552422</v>
      </c>
      <c r="G14" s="10">
        <f t="shared" si="0"/>
        <v>0.26530986431976528</v>
      </c>
      <c r="H14" s="10">
        <f t="shared" si="0"/>
        <v>0.28243894334607078</v>
      </c>
      <c r="I14" s="10">
        <f t="shared" si="0"/>
        <v>0.30672523477734021</v>
      </c>
      <c r="J14" s="10">
        <f t="shared" si="0"/>
        <v>0.25808614043908157</v>
      </c>
      <c r="K14" s="10">
        <f t="shared" si="0"/>
        <v>0.28045137736475273</v>
      </c>
    </row>
    <row r="22" s="19" customFormat="1" x14ac:dyDescent="0.3"/>
  </sheetData>
  <printOptions gridLines="1"/>
  <pageMargins left="0.7" right="0.7" top="0.75" bottom="0.75" header="0.3" footer="0.3"/>
  <pageSetup paperSize="9" scale="83" orientation="landscape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H4" activePane="bottomRight" state="frozen"/>
      <selection activeCell="C4" sqref="C4"/>
      <selection pane="topRight" activeCell="C4" sqref="C4"/>
      <selection pane="bottomLeft" activeCell="C4" sqref="C4"/>
      <selection pane="bottomRight" activeCell="H1" sqref="G1:H1048576"/>
    </sheetView>
  </sheetViews>
  <sheetFormatPr defaultColWidth="8.77734375" defaultRowHeight="14.4" x14ac:dyDescent="0.3"/>
  <cols>
    <col min="1" max="1" width="22.77734375" bestFit="1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DR LAL PATHLABS LTD</v>
      </c>
      <c r="E1" t="str">
        <f>UPDATE</f>
        <v/>
      </c>
      <c r="G1"/>
    </row>
    <row r="2" spans="1:11" x14ac:dyDescent="0.3">
      <c r="G2" s="2"/>
      <c r="H2" s="2"/>
    </row>
    <row r="3" spans="1:11" x14ac:dyDescent="0.3">
      <c r="A3" s="11" t="s">
        <v>1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 x14ac:dyDescent="0.3">
      <c r="A4" t="s">
        <v>23</v>
      </c>
      <c r="B4" s="14">
        <f>'Data Sheet'!B57</f>
        <v>82.68</v>
      </c>
      <c r="C4" s="14">
        <f>'Data Sheet'!C57</f>
        <v>83.07</v>
      </c>
      <c r="D4" s="14">
        <f>'Data Sheet'!D57</f>
        <v>83.33</v>
      </c>
      <c r="E4" s="14">
        <f>'Data Sheet'!E57</f>
        <v>83.34</v>
      </c>
      <c r="F4" s="14">
        <f>'Data Sheet'!F57</f>
        <v>83.35</v>
      </c>
      <c r="G4" s="14">
        <f>'Data Sheet'!G57</f>
        <v>83.35</v>
      </c>
      <c r="H4" s="14">
        <f>'Data Sheet'!H57</f>
        <v>83.35</v>
      </c>
      <c r="I4" s="14">
        <f>'Data Sheet'!I57</f>
        <v>83.37</v>
      </c>
      <c r="J4" s="14">
        <f>'Data Sheet'!J57</f>
        <v>83.48</v>
      </c>
      <c r="K4" s="14">
        <f>'Data Sheet'!K57</f>
        <v>83.59</v>
      </c>
    </row>
    <row r="5" spans="1:11" x14ac:dyDescent="0.3">
      <c r="A5" t="s">
        <v>24</v>
      </c>
      <c r="B5" s="14">
        <f>'Data Sheet'!B58</f>
        <v>424.67</v>
      </c>
      <c r="C5" s="14">
        <f>'Data Sheet'!C58</f>
        <v>512.45000000000005</v>
      </c>
      <c r="D5" s="14">
        <f>'Data Sheet'!D58</f>
        <v>704.52</v>
      </c>
      <c r="E5" s="14">
        <f>'Data Sheet'!E58</f>
        <v>862.15</v>
      </c>
      <c r="F5" s="14">
        <f>'Data Sheet'!F58</f>
        <v>949.47</v>
      </c>
      <c r="G5" s="14">
        <f>'Data Sheet'!G58</f>
        <v>1161.71</v>
      </c>
      <c r="H5" s="14">
        <f>'Data Sheet'!H58</f>
        <v>1418.26</v>
      </c>
      <c r="I5" s="14">
        <f>'Data Sheet'!I58</f>
        <v>1582.93</v>
      </c>
      <c r="J5" s="14">
        <f>'Data Sheet'!J58</f>
        <v>1765.81</v>
      </c>
      <c r="K5" s="14">
        <f>'Data Sheet'!K58</f>
        <v>2089.12</v>
      </c>
    </row>
    <row r="6" spans="1:11" x14ac:dyDescent="0.3">
      <c r="A6" t="s">
        <v>60</v>
      </c>
      <c r="B6" s="14">
        <f>'Data Sheet'!B59</f>
        <v>0</v>
      </c>
      <c r="C6" s="14">
        <f>'Data Sheet'!C59</f>
        <v>0</v>
      </c>
      <c r="D6" s="14">
        <f>'Data Sheet'!D59</f>
        <v>0</v>
      </c>
      <c r="E6" s="14">
        <f>'Data Sheet'!E59</f>
        <v>0</v>
      </c>
      <c r="F6" s="14">
        <f>'Data Sheet'!F59</f>
        <v>0</v>
      </c>
      <c r="G6" s="14">
        <f>'Data Sheet'!G59</f>
        <v>150.49</v>
      </c>
      <c r="H6" s="14">
        <f>'Data Sheet'!H59</f>
        <v>532.57000000000005</v>
      </c>
      <c r="I6" s="14">
        <f>'Data Sheet'!I59</f>
        <v>419.5</v>
      </c>
      <c r="J6" s="14">
        <f>'Data Sheet'!J59</f>
        <v>246.93</v>
      </c>
      <c r="K6" s="14">
        <f>'Data Sheet'!K59</f>
        <v>157.43</v>
      </c>
    </row>
    <row r="7" spans="1:11" x14ac:dyDescent="0.3">
      <c r="A7" t="s">
        <v>61</v>
      </c>
      <c r="B7" s="14">
        <f>'Data Sheet'!B60</f>
        <v>117.88</v>
      </c>
      <c r="C7" s="14">
        <f>'Data Sheet'!C60</f>
        <v>94.56</v>
      </c>
      <c r="D7" s="14">
        <f>'Data Sheet'!D60</f>
        <v>127.7</v>
      </c>
      <c r="E7" s="14">
        <f>'Data Sheet'!E60</f>
        <v>145.02000000000001</v>
      </c>
      <c r="F7" s="14">
        <f>'Data Sheet'!F60</f>
        <v>341.49</v>
      </c>
      <c r="G7" s="14">
        <f>'Data Sheet'!G60</f>
        <v>265.02</v>
      </c>
      <c r="H7" s="14">
        <f>'Data Sheet'!H60</f>
        <v>308.52999999999997</v>
      </c>
      <c r="I7" s="14">
        <f>'Data Sheet'!I60</f>
        <v>296.82</v>
      </c>
      <c r="J7" s="14">
        <f>'Data Sheet'!J60</f>
        <v>357.35</v>
      </c>
      <c r="K7" s="14">
        <f>'Data Sheet'!K60</f>
        <v>383.28</v>
      </c>
    </row>
    <row r="8" spans="1:11" s="2" customFormat="1" x14ac:dyDescent="0.3">
      <c r="A8" s="2" t="s">
        <v>25</v>
      </c>
      <c r="B8" s="15">
        <f>'Data Sheet'!B61</f>
        <v>625.23</v>
      </c>
      <c r="C8" s="15">
        <f>'Data Sheet'!C61</f>
        <v>690.08</v>
      </c>
      <c r="D8" s="15">
        <f>'Data Sheet'!D61</f>
        <v>915.55</v>
      </c>
      <c r="E8" s="15">
        <f>'Data Sheet'!E61</f>
        <v>1090.51</v>
      </c>
      <c r="F8" s="15">
        <f>'Data Sheet'!F61</f>
        <v>1374.31</v>
      </c>
      <c r="G8" s="15">
        <f>'Data Sheet'!G61</f>
        <v>1660.57</v>
      </c>
      <c r="H8" s="15">
        <f>'Data Sheet'!H61</f>
        <v>2342.71</v>
      </c>
      <c r="I8" s="15">
        <f>'Data Sheet'!I61</f>
        <v>2382.62</v>
      </c>
      <c r="J8" s="15">
        <f>'Data Sheet'!J61</f>
        <v>2453.5700000000002</v>
      </c>
      <c r="K8" s="15">
        <f>'Data Sheet'!K61</f>
        <v>2713.42</v>
      </c>
    </row>
    <row r="9" spans="1:11" s="2" customFormat="1" x14ac:dyDescent="0.3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">
      <c r="A10" t="s">
        <v>26</v>
      </c>
      <c r="B10" s="14">
        <f>'Data Sheet'!B62</f>
        <v>165.64</v>
      </c>
      <c r="C10" s="14">
        <f>'Data Sheet'!C62</f>
        <v>152.43</v>
      </c>
      <c r="D10" s="14">
        <f>'Data Sheet'!D62</f>
        <v>207.52</v>
      </c>
      <c r="E10" s="14">
        <f>'Data Sheet'!E62</f>
        <v>208.66</v>
      </c>
      <c r="F10" s="14">
        <f>'Data Sheet'!F62</f>
        <v>413.02</v>
      </c>
      <c r="G10" s="14">
        <f>'Data Sheet'!G62</f>
        <v>447.26</v>
      </c>
      <c r="H10" s="14">
        <f>'Data Sheet'!H62</f>
        <v>1368.81</v>
      </c>
      <c r="I10" s="14">
        <f>'Data Sheet'!I62</f>
        <v>1305.06</v>
      </c>
      <c r="J10" s="14">
        <f>'Data Sheet'!J62</f>
        <v>1227.53</v>
      </c>
      <c r="K10" s="14">
        <f>'Data Sheet'!K62</f>
        <v>1168.3499999999999</v>
      </c>
    </row>
    <row r="11" spans="1:11" x14ac:dyDescent="0.3">
      <c r="A11" t="s">
        <v>27</v>
      </c>
      <c r="B11" s="14">
        <f>'Data Sheet'!B63</f>
        <v>4.09</v>
      </c>
      <c r="C11" s="14">
        <f>'Data Sheet'!C63</f>
        <v>17.510000000000002</v>
      </c>
      <c r="D11" s="14">
        <f>'Data Sheet'!D63</f>
        <v>9.56</v>
      </c>
      <c r="E11" s="14">
        <f>'Data Sheet'!E63</f>
        <v>3.44</v>
      </c>
      <c r="F11" s="14">
        <f>'Data Sheet'!F63</f>
        <v>11.38</v>
      </c>
      <c r="G11" s="14">
        <f>'Data Sheet'!G63</f>
        <v>9.61</v>
      </c>
      <c r="H11" s="14">
        <f>'Data Sheet'!H63</f>
        <v>15</v>
      </c>
      <c r="I11" s="14">
        <f>'Data Sheet'!I63</f>
        <v>4.9400000000000004</v>
      </c>
      <c r="J11" s="14">
        <f>'Data Sheet'!J63</f>
        <v>5.65</v>
      </c>
      <c r="K11" s="14">
        <f>'Data Sheet'!K63</f>
        <v>3.48</v>
      </c>
    </row>
    <row r="12" spans="1:11" x14ac:dyDescent="0.3">
      <c r="A12" t="s">
        <v>28</v>
      </c>
      <c r="B12" s="14">
        <f>'Data Sheet'!B64</f>
        <v>64.319999999999993</v>
      </c>
      <c r="C12" s="14">
        <f>'Data Sheet'!C64</f>
        <v>106.08</v>
      </c>
      <c r="D12" s="14">
        <f>'Data Sheet'!D64</f>
        <v>144.80000000000001</v>
      </c>
      <c r="E12" s="14">
        <f>'Data Sheet'!E64</f>
        <v>184.78</v>
      </c>
      <c r="F12" s="14">
        <f>'Data Sheet'!F64</f>
        <v>164.28</v>
      </c>
      <c r="G12" s="14">
        <f>'Data Sheet'!G64</f>
        <v>59.3</v>
      </c>
      <c r="H12" s="14">
        <f>'Data Sheet'!H64</f>
        <v>65.459999999999994</v>
      </c>
      <c r="I12" s="14">
        <f>'Data Sheet'!I64</f>
        <v>149.94</v>
      </c>
      <c r="J12" s="14">
        <f>'Data Sheet'!J64</f>
        <v>113.78</v>
      </c>
      <c r="K12" s="14">
        <f>'Data Sheet'!K64</f>
        <v>326.7</v>
      </c>
    </row>
    <row r="13" spans="1:11" x14ac:dyDescent="0.3">
      <c r="A13" t="s">
        <v>62</v>
      </c>
      <c r="B13" s="14">
        <f>'Data Sheet'!B65</f>
        <v>391.18</v>
      </c>
      <c r="C13" s="14">
        <f>'Data Sheet'!C65</f>
        <v>414.06</v>
      </c>
      <c r="D13" s="14">
        <f>'Data Sheet'!D65</f>
        <v>553.66999999999996</v>
      </c>
      <c r="E13" s="14">
        <f>'Data Sheet'!E65</f>
        <v>693.63</v>
      </c>
      <c r="F13" s="14">
        <f>'Data Sheet'!F65</f>
        <v>785.63</v>
      </c>
      <c r="G13" s="14">
        <f>'Data Sheet'!G65</f>
        <v>1144.4000000000001</v>
      </c>
      <c r="H13" s="14">
        <f>'Data Sheet'!H65</f>
        <v>893.44</v>
      </c>
      <c r="I13" s="14">
        <f>'Data Sheet'!I65</f>
        <v>922.68</v>
      </c>
      <c r="J13" s="14">
        <f>'Data Sheet'!J65</f>
        <v>1106.6099999999999</v>
      </c>
      <c r="K13" s="14">
        <f>'Data Sheet'!K65</f>
        <v>1214.8900000000001</v>
      </c>
    </row>
    <row r="14" spans="1:11" s="2" customFormat="1" x14ac:dyDescent="0.3">
      <c r="A14" s="2" t="s">
        <v>25</v>
      </c>
      <c r="B14" s="14">
        <f>'Data Sheet'!B66</f>
        <v>625.23</v>
      </c>
      <c r="C14" s="14">
        <f>'Data Sheet'!C66</f>
        <v>690.08</v>
      </c>
      <c r="D14" s="14">
        <f>'Data Sheet'!D66</f>
        <v>915.55</v>
      </c>
      <c r="E14" s="14">
        <f>'Data Sheet'!E66</f>
        <v>1090.51</v>
      </c>
      <c r="F14" s="14">
        <f>'Data Sheet'!F66</f>
        <v>1374.31</v>
      </c>
      <c r="G14" s="14">
        <f>'Data Sheet'!G66</f>
        <v>1660.57</v>
      </c>
      <c r="H14" s="14">
        <f>'Data Sheet'!H66</f>
        <v>2342.71</v>
      </c>
      <c r="I14" s="14">
        <f>'Data Sheet'!I66</f>
        <v>2382.62</v>
      </c>
      <c r="J14" s="14">
        <f>'Data Sheet'!J66</f>
        <v>2453.5700000000002</v>
      </c>
      <c r="K14" s="14">
        <f>'Data Sheet'!K66</f>
        <v>2713.42</v>
      </c>
    </row>
    <row r="15" spans="1:1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t="s">
        <v>29</v>
      </c>
      <c r="B16" s="4">
        <f>B13-B7</f>
        <v>273.3</v>
      </c>
      <c r="C16" s="4">
        <f t="shared" ref="C16:K16" si="0">C13-C7</f>
        <v>319.5</v>
      </c>
      <c r="D16" s="4">
        <f t="shared" si="0"/>
        <v>425.96999999999997</v>
      </c>
      <c r="E16" s="4">
        <f t="shared" si="0"/>
        <v>548.61</v>
      </c>
      <c r="F16" s="4">
        <f t="shared" si="0"/>
        <v>444.14</v>
      </c>
      <c r="G16" s="4">
        <f t="shared" si="0"/>
        <v>879.38000000000011</v>
      </c>
      <c r="H16" s="4">
        <f t="shared" si="0"/>
        <v>584.91000000000008</v>
      </c>
      <c r="I16" s="4">
        <f t="shared" si="0"/>
        <v>625.8599999999999</v>
      </c>
      <c r="J16" s="4">
        <f t="shared" si="0"/>
        <v>749.25999999999988</v>
      </c>
      <c r="K16" s="4">
        <f t="shared" si="0"/>
        <v>831.61000000000013</v>
      </c>
    </row>
    <row r="17" spans="1:11" x14ac:dyDescent="0.3">
      <c r="A17" t="s">
        <v>42</v>
      </c>
      <c r="B17" s="4">
        <f>'Data Sheet'!B67</f>
        <v>36.31</v>
      </c>
      <c r="C17" s="4">
        <f>'Data Sheet'!C67</f>
        <v>41.8</v>
      </c>
      <c r="D17" s="4">
        <f>'Data Sheet'!D67</f>
        <v>41.16</v>
      </c>
      <c r="E17" s="4">
        <f>'Data Sheet'!E67</f>
        <v>53.22</v>
      </c>
      <c r="F17" s="4">
        <f>'Data Sheet'!F67</f>
        <v>51.39</v>
      </c>
      <c r="G17" s="4">
        <f>'Data Sheet'!G67</f>
        <v>66.7</v>
      </c>
      <c r="H17" s="4">
        <f>'Data Sheet'!H67</f>
        <v>85.4</v>
      </c>
      <c r="I17" s="4">
        <f>'Data Sheet'!I67</f>
        <v>70.819999999999993</v>
      </c>
      <c r="J17" s="4">
        <f>'Data Sheet'!J67</f>
        <v>77.400000000000006</v>
      </c>
      <c r="K17" s="4">
        <f>'Data Sheet'!K67</f>
        <v>88.12</v>
      </c>
    </row>
    <row r="18" spans="1:11" x14ac:dyDescent="0.3">
      <c r="A18" t="s">
        <v>43</v>
      </c>
      <c r="B18" s="4">
        <f>'Data Sheet'!B68</f>
        <v>14.52</v>
      </c>
      <c r="C18" s="4">
        <f>'Data Sheet'!C68</f>
        <v>17.91</v>
      </c>
      <c r="D18" s="4">
        <f>'Data Sheet'!D68</f>
        <v>27.34</v>
      </c>
      <c r="E18" s="4">
        <f>'Data Sheet'!E68</f>
        <v>28.54</v>
      </c>
      <c r="F18" s="4">
        <f>'Data Sheet'!F68</f>
        <v>56.96</v>
      </c>
      <c r="G18" s="4">
        <f>'Data Sheet'!G68</f>
        <v>42.56</v>
      </c>
      <c r="H18" s="4">
        <f>'Data Sheet'!H68</f>
        <v>52.54</v>
      </c>
      <c r="I18" s="4">
        <f>'Data Sheet'!I68</f>
        <v>33.81</v>
      </c>
      <c r="J18" s="4">
        <f>'Data Sheet'!J68</f>
        <v>37.31</v>
      </c>
      <c r="K18" s="4">
        <f>'Data Sheet'!K68</f>
        <v>36.130000000000003</v>
      </c>
    </row>
    <row r="20" spans="1:11" x14ac:dyDescent="0.3">
      <c r="A20" t="s">
        <v>44</v>
      </c>
      <c r="B20" s="4">
        <f>IF('Profit &amp; Loss'!B4&gt;0,'Balance Sheet'!B17/('Profit &amp; Loss'!B4/365),0)</f>
        <v>16.748154981549817</v>
      </c>
      <c r="C20" s="4">
        <f>IF('Profit &amp; Loss'!C4&gt;0,'Balance Sheet'!C17/('Profit &amp; Loss'!C4/365),0)</f>
        <v>16.722199083715118</v>
      </c>
      <c r="D20" s="4">
        <f>IF('Profit &amp; Loss'!D4&gt;0,'Balance Sheet'!D17/('Profit &amp; Loss'!D4/365),0)</f>
        <v>14.214320856829275</v>
      </c>
      <c r="E20" s="4">
        <f>IF('Profit &amp; Loss'!E4&gt;0,'Balance Sheet'!E17/('Profit &amp; Loss'!E4/365),0)</f>
        <v>16.141746023832077</v>
      </c>
      <c r="F20" s="4">
        <f>IF('Profit &amp; Loss'!F4&gt;0,'Balance Sheet'!F17/('Profit &amp; Loss'!F4/365),0)</f>
        <v>14.099454283051205</v>
      </c>
      <c r="G20" s="4">
        <f>IF('Profit &amp; Loss'!G4&gt;0,'Balance Sheet'!G17/('Profit &amp; Loss'!G4/365),0)</f>
        <v>15.396168902211514</v>
      </c>
      <c r="H20" s="4">
        <f>IF('Profit &amp; Loss'!H4&gt;0,'Balance Sheet'!H17/('Profit &amp; Loss'!H4/365),0)</f>
        <v>14.932859380763723</v>
      </c>
      <c r="I20" s="4">
        <f>IF('Profit &amp; Loss'!I4&gt;0,'Balance Sheet'!I17/('Profit &amp; Loss'!I4/365),0)</f>
        <v>12.816478917932647</v>
      </c>
      <c r="J20" s="4">
        <f>IF('Profit &amp; Loss'!J4&gt;0,'Balance Sheet'!J17/('Profit &amp; Loss'!J4/365),0)</f>
        <v>12.687726799123345</v>
      </c>
      <c r="K20" s="4">
        <f>IF('Profit &amp; Loss'!K4&gt;0,'Balance Sheet'!K17/('Profit &amp; Loss'!K4/365),0)</f>
        <v>13.067278784431625</v>
      </c>
    </row>
    <row r="21" spans="1:11" x14ac:dyDescent="0.3">
      <c r="A21" t="s">
        <v>45</v>
      </c>
      <c r="B21" s="4">
        <f>IF('Balance Sheet'!B18&gt;0,'Profit &amp; Loss'!B4/'Balance Sheet'!B18,0)</f>
        <v>54.498622589531685</v>
      </c>
      <c r="C21" s="4">
        <f>IF('Balance Sheet'!C18&gt;0,'Profit &amp; Loss'!C4/'Balance Sheet'!C18,0)</f>
        <v>50.942490228922388</v>
      </c>
      <c r="D21" s="4">
        <f>IF('Balance Sheet'!D18&gt;0,'Profit &amp; Loss'!D4/'Balance Sheet'!D18,0)</f>
        <v>38.658376005852233</v>
      </c>
      <c r="E21" s="4">
        <f>IF('Balance Sheet'!E18&gt;0,'Profit &amp; Loss'!E4/'Balance Sheet'!E18,0)</f>
        <v>42.16608269096006</v>
      </c>
      <c r="F21" s="4">
        <f>IF('Balance Sheet'!F18&gt;0,'Profit &amp; Loss'!F4/'Balance Sheet'!F18,0)</f>
        <v>23.356039325842694</v>
      </c>
      <c r="G21" s="4">
        <f>IF('Balance Sheet'!G18&gt;0,'Profit &amp; Loss'!G4/'Balance Sheet'!G18,0)</f>
        <v>37.153900375939848</v>
      </c>
      <c r="H21" s="4">
        <f>IF('Balance Sheet'!H18&gt;0,'Profit &amp; Loss'!H4/'Balance Sheet'!H18,0)</f>
        <v>39.729920060905975</v>
      </c>
      <c r="I21" s="4">
        <f>IF('Balance Sheet'!I18&gt;0,'Profit &amp; Loss'!I4/'Balance Sheet'!I18,0)</f>
        <v>59.653356994971901</v>
      </c>
      <c r="J21" s="4">
        <f>IF('Balance Sheet'!J18&gt;0,'Profit &amp; Loss'!J4/'Balance Sheet'!J18,0)</f>
        <v>59.679442508710792</v>
      </c>
      <c r="K21" s="4">
        <f>IF('Balance Sheet'!K18&gt;0,'Profit &amp; Loss'!K4/'Balance Sheet'!K18,0)</f>
        <v>68.126210905065037</v>
      </c>
    </row>
    <row r="23" spans="1:11" s="2" customFormat="1" x14ac:dyDescent="0.3">
      <c r="A23" s="2" t="s">
        <v>48</v>
      </c>
      <c r="B23" s="10">
        <f>IF(SUM('Balance Sheet'!B4:B5)&gt;0,'Profit &amp; Loss'!B12/SUM('Balance Sheet'!B4:B5),"")</f>
        <v>0.26054991623139845</v>
      </c>
      <c r="C23" s="10">
        <f>IF(SUM('Balance Sheet'!C4:C5)&gt;0,'Profit &amp; Loss'!C12/SUM('Balance Sheet'!C4:C5),"")</f>
        <v>0.25958825900053734</v>
      </c>
      <c r="D23" s="10">
        <f>IF(SUM('Balance Sheet'!D4:D5)&gt;0,'Profit &amp; Loss'!D12/SUM('Balance Sheet'!D4:D5),"")</f>
        <v>0.21670368725011105</v>
      </c>
      <c r="E23" s="10">
        <f>IF(SUM('Balance Sheet'!E4:E5)&gt;0,'Profit &amp; Loss'!E12/SUM('Balance Sheet'!E4:E5),"")</f>
        <v>0.21066325397412983</v>
      </c>
      <c r="F23" s="10">
        <f>IF(SUM('Balance Sheet'!F4:F5)&gt;0,'Profit &amp; Loss'!F12/SUM('Balance Sheet'!F4:F5),"")</f>
        <v>0.21876028736856376</v>
      </c>
      <c r="G23" s="10">
        <f>IF(SUM('Balance Sheet'!G4:G5)&gt;0,'Profit &amp; Loss'!G12/SUM('Balance Sheet'!G4:G5),"")</f>
        <v>0.23422164393683839</v>
      </c>
      <c r="H23" s="10">
        <f>IF(SUM('Balance Sheet'!H4:H5)&gt;0,'Profit &amp; Loss'!H12/SUM('Balance Sheet'!H4:H5),"")</f>
        <v>0.22964018620014517</v>
      </c>
      <c r="I23" s="10">
        <f>IF(SUM('Balance Sheet'!I4:I5)&gt;0,'Profit &amp; Loss'!I12/SUM('Balance Sheet'!I4:I5),"")</f>
        <v>0.14334153513773029</v>
      </c>
      <c r="J23" s="10">
        <f>IF(SUM('Balance Sheet'!J4:J5)&gt;0,'Profit &amp; Loss'!J12/SUM('Balance Sheet'!J4:J5),"")</f>
        <v>0.19344721487706093</v>
      </c>
      <c r="K23" s="10">
        <f>IF(SUM('Balance Sheet'!K4:K5)&gt;0,'Profit &amp; Loss'!K12/SUM('Balance Sheet'!K4:K5),"")</f>
        <v>0.22420847697115584</v>
      </c>
    </row>
    <row r="24" spans="1:11" s="2" customFormat="1" x14ac:dyDescent="0.3">
      <c r="A24" s="2" t="s">
        <v>49</v>
      </c>
      <c r="B24" s="10"/>
      <c r="C24" s="10">
        <f>IF((B4+B5+B6+C4+C5+C6)&gt;0,('Profit &amp; Loss'!C10+'Profit &amp; Loss'!C9)*2/(B4+B5+B6+C4+C5+C6),"")</f>
        <v>0.43073072982309785</v>
      </c>
      <c r="D24" s="10">
        <f>IF((C4+C5+C6+D4+D5+D6)&gt;0,('Profit &amp; Loss'!D10+'Profit &amp; Loss'!D9)*2/(C4+C5+C6+D4+D5+D6),"")</f>
        <v>0.37901645980467985</v>
      </c>
      <c r="E24" s="10">
        <f>IF((D4+D5+D6+E4+E5+E6)&gt;0,('Profit &amp; Loss'!E10+'Profit &amp; Loss'!E9)*2/(D4+D5+D6+E4+E5+E6),"")</f>
        <v>0.34775635478325079</v>
      </c>
      <c r="F24" s="10">
        <f>IF((E4+E5+E6+F4+F5+F6)&gt;0,('Profit &amp; Loss'!F10+'Profit &amp; Loss'!F9)*2/(E4+E5+E6+F4+F5+F6),"")</f>
        <v>0.32938214941035532</v>
      </c>
      <c r="G24" s="10">
        <f>IF((F4+F5+F6+G4+G5+G6)&gt;0,('Profit &amp; Loss'!G10+'Profit &amp; Loss'!G9)*2/(F4+F5+F6+G4+G5+G6),"")</f>
        <v>0.33801274105675827</v>
      </c>
      <c r="H24" s="10">
        <f>IF((G4+G5+G6+H4+H5+H6)&gt;0,('Profit &amp; Loss'!H10+'Profit &amp; Loss'!H9)*2/(G4+G5+G6+H4+H5+H6),"")</f>
        <v>0.29457712414679876</v>
      </c>
      <c r="I24" s="10">
        <f>IF((H4+H5+H6+I4+I5+I6)&gt;0,('Profit &amp; Loss'!I10+'Profit &amp; Loss'!I9)*2/(H4+H5+H6+I4+I5+I6),"")</f>
        <v>0.18512711226753531</v>
      </c>
      <c r="J24" s="10">
        <f>IF((I4+I5+I6+J4+J5+J6)&gt;0,('Profit &amp; Loss'!J10+'Profit &amp; Loss'!J9)*2/(I4+I5+I6+J4+J5+J6),"")</f>
        <v>0.25576635214561377</v>
      </c>
      <c r="K24" s="10">
        <f>IF((J4+J5+J6+K4+K5+K6)&gt;0,('Profit &amp; Loss'!K10+'Profit &amp; Loss'!K9)*2/(J4+J5+J6+K4+K5+K6),"")</f>
        <v>0.29238923178412957</v>
      </c>
    </row>
  </sheetData>
  <printOptions gridLines="1"/>
  <pageMargins left="0.7" right="0.7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tabSelected="1" zoomScale="150" zoomScaleNormal="150" zoomScalePageLayoutView="150" workbookViewId="0">
      <pane xSplit="1" ySplit="3" topLeftCell="I4" activePane="bottomRight" state="frozen"/>
      <selection pane="topRight" activeCell="B1" sqref="B1"/>
      <selection pane="bottomLeft" activeCell="A4" sqref="A4"/>
      <selection pane="bottomRight" activeCell="I12" sqref="I12"/>
    </sheetView>
  </sheetViews>
  <sheetFormatPr defaultColWidth="8.77734375" defaultRowHeight="14.4" x14ac:dyDescent="0.3"/>
  <cols>
    <col min="1" max="1" width="26.77734375" bestFit="1" customWidth="1"/>
    <col min="2" max="6" width="13.44140625" customWidth="1"/>
    <col min="7" max="11" width="13.44140625" bestFit="1" customWidth="1"/>
  </cols>
  <sheetData>
    <row r="1" spans="1:11" s="2" customFormat="1" x14ac:dyDescent="0.3">
      <c r="A1" s="2" t="str">
        <f>'Balance Sheet'!A1</f>
        <v>DR LAL PATHLABS LTD</v>
      </c>
      <c r="E1" t="str">
        <f>UPDATE</f>
        <v/>
      </c>
      <c r="F1"/>
    </row>
    <row r="3" spans="1:11" s="2" customFormat="1" x14ac:dyDescent="0.3">
      <c r="A3" s="11" t="s">
        <v>1</v>
      </c>
      <c r="B3" s="12">
        <f>'Data Sheet'!B81</f>
        <v>42460</v>
      </c>
      <c r="C3" s="12">
        <f>'Data Sheet'!C81</f>
        <v>42825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 x14ac:dyDescent="0.3">
      <c r="A4" s="2" t="s">
        <v>31</v>
      </c>
      <c r="B4" s="1">
        <f>'Data Sheet'!B82</f>
        <v>158.54</v>
      </c>
      <c r="C4" s="1">
        <f>'Data Sheet'!C82</f>
        <v>171.31</v>
      </c>
      <c r="D4" s="1">
        <f>'Data Sheet'!D82</f>
        <v>197.07</v>
      </c>
      <c r="E4" s="1">
        <f>'Data Sheet'!E82</f>
        <v>218.54</v>
      </c>
      <c r="F4" s="1">
        <f>'Data Sheet'!F82</f>
        <v>283.89</v>
      </c>
      <c r="G4" s="1">
        <f>'Data Sheet'!G82</f>
        <v>398.15</v>
      </c>
      <c r="H4" s="1">
        <f>'Data Sheet'!H82</f>
        <v>446.69</v>
      </c>
      <c r="I4" s="1">
        <f>'Data Sheet'!I82</f>
        <v>456.03</v>
      </c>
      <c r="J4" s="1">
        <f>'Data Sheet'!J82</f>
        <v>535.33000000000004</v>
      </c>
      <c r="K4" s="1">
        <f>'Data Sheet'!K82</f>
        <v>568.89</v>
      </c>
    </row>
    <row r="5" spans="1:11" x14ac:dyDescent="0.3">
      <c r="A5" t="s">
        <v>32</v>
      </c>
      <c r="B5" s="6">
        <f>'Data Sheet'!B83</f>
        <v>-163.49</v>
      </c>
      <c r="C5" s="6">
        <f>'Data Sheet'!C83</f>
        <v>-137.11000000000001</v>
      </c>
      <c r="D5" s="6">
        <f>'Data Sheet'!D83</f>
        <v>-172.28</v>
      </c>
      <c r="E5" s="6">
        <f>'Data Sheet'!E83</f>
        <v>-99.74</v>
      </c>
      <c r="F5" s="6">
        <f>'Data Sheet'!F83</f>
        <v>-26.11</v>
      </c>
      <c r="G5" s="6">
        <f>'Data Sheet'!G83</f>
        <v>-212.02</v>
      </c>
      <c r="H5" s="6">
        <f>'Data Sheet'!H83</f>
        <v>-449.25</v>
      </c>
      <c r="I5" s="6">
        <f>'Data Sheet'!I83</f>
        <v>-287.31</v>
      </c>
      <c r="J5" s="6">
        <f>'Data Sheet'!J83</f>
        <v>-24.27</v>
      </c>
      <c r="K5" s="6">
        <f>'Data Sheet'!K83</f>
        <v>-303.16000000000003</v>
      </c>
    </row>
    <row r="6" spans="1:11" x14ac:dyDescent="0.3">
      <c r="A6" t="s">
        <v>33</v>
      </c>
      <c r="B6" s="6">
        <f>'Data Sheet'!B84</f>
        <v>0.36</v>
      </c>
      <c r="C6" s="6">
        <f>'Data Sheet'!C84</f>
        <v>-32.26</v>
      </c>
      <c r="D6" s="6">
        <f>'Data Sheet'!D84</f>
        <v>12.51</v>
      </c>
      <c r="E6" s="6">
        <f>'Data Sheet'!E84</f>
        <v>-55.26</v>
      </c>
      <c r="F6" s="6">
        <f>'Data Sheet'!F84</f>
        <v>-190.45</v>
      </c>
      <c r="G6" s="6">
        <f>'Data Sheet'!G84</f>
        <v>-138.56</v>
      </c>
      <c r="H6" s="6">
        <f>'Data Sheet'!H84</f>
        <v>136.44999999999999</v>
      </c>
      <c r="I6" s="6">
        <f>'Data Sheet'!I84</f>
        <v>-283.18</v>
      </c>
      <c r="J6" s="6">
        <f>'Data Sheet'!J84</f>
        <v>-413.86</v>
      </c>
      <c r="K6" s="6">
        <f>'Data Sheet'!K84</f>
        <v>-334.03</v>
      </c>
    </row>
    <row r="7" spans="1:11" s="2" customFormat="1" x14ac:dyDescent="0.3">
      <c r="A7" s="2" t="s">
        <v>34</v>
      </c>
      <c r="B7" s="1">
        <f>'Data Sheet'!B85</f>
        <v>-4.59</v>
      </c>
      <c r="C7" s="1">
        <f>'Data Sheet'!C85</f>
        <v>1.94</v>
      </c>
      <c r="D7" s="1">
        <f>'Data Sheet'!D85</f>
        <v>37.299999999999997</v>
      </c>
      <c r="E7" s="1">
        <f>'Data Sheet'!E85</f>
        <v>63.54</v>
      </c>
      <c r="F7" s="1">
        <f>'Data Sheet'!F85</f>
        <v>67.33</v>
      </c>
      <c r="G7" s="1">
        <f>'Data Sheet'!G85</f>
        <v>47.58</v>
      </c>
      <c r="H7" s="1">
        <f>'Data Sheet'!H85</f>
        <v>133.9</v>
      </c>
      <c r="I7" s="1">
        <f>'Data Sheet'!I85</f>
        <v>-114.46</v>
      </c>
      <c r="J7" s="1">
        <f>'Data Sheet'!J85</f>
        <v>97.2</v>
      </c>
      <c r="K7" s="1">
        <f>'Data Sheet'!K85</f>
        <v>-68.31</v>
      </c>
    </row>
    <row r="8" spans="1:11" x14ac:dyDescent="0.3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3"/>
  </sheetData>
  <printOptions gridLines="1"/>
  <pageMargins left="0.7" right="0.7" top="0.75" bottom="0.75" header="0.3" footer="0.3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EC9A-065C-4DBF-A3E5-1CB27830FF6B}">
  <sheetPr>
    <tabColor rgb="FF002060"/>
  </sheetPr>
  <dimension ref="A1"/>
  <sheetViews>
    <sheetView workbookViewId="0">
      <selection activeCell="B18" sqref="B18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249977111117893"/>
  </sheetPr>
  <dimension ref="A1:K93"/>
  <sheetViews>
    <sheetView zoomScale="120" zoomScaleNormal="120" zoomScalePageLayoutView="120" workbookViewId="0">
      <pane xSplit="1" ySplit="1" topLeftCell="F2" activePane="bottomRight" state="frozen"/>
      <selection activeCell="C4" sqref="C4"/>
      <selection pane="topRight" activeCell="C4" sqref="C4"/>
      <selection pane="bottomLeft" activeCell="C4" sqref="C4"/>
      <selection pane="bottomRight" activeCell="E2" sqref="E2:K2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52</v>
      </c>
      <c r="E1" s="41" t="str">
        <f>IF(B2&lt;&gt;B3, "A NEW VERSION OF THE WORKSHEET IS AVAILABLE", "")</f>
        <v/>
      </c>
      <c r="F1" s="41"/>
      <c r="G1" s="41"/>
      <c r="H1" s="41"/>
      <c r="I1" s="41"/>
      <c r="J1" s="41"/>
      <c r="K1" s="41"/>
    </row>
    <row r="2" spans="1:11" x14ac:dyDescent="0.3">
      <c r="A2" s="1" t="s">
        <v>50</v>
      </c>
      <c r="B2" s="4">
        <v>2.1</v>
      </c>
      <c r="E2" s="78"/>
      <c r="F2" s="78"/>
      <c r="G2" s="78"/>
      <c r="H2" s="78"/>
      <c r="I2" s="78"/>
      <c r="J2" s="78"/>
      <c r="K2" s="78"/>
    </row>
    <row r="3" spans="1:11" x14ac:dyDescent="0.3">
      <c r="A3" s="1" t="s">
        <v>51</v>
      </c>
      <c r="B3" s="4">
        <v>2.1</v>
      </c>
    </row>
    <row r="4" spans="1:11" x14ac:dyDescent="0.3">
      <c r="A4" s="1"/>
    </row>
    <row r="5" spans="1:11" x14ac:dyDescent="0.3">
      <c r="A5" s="1" t="s">
        <v>53</v>
      </c>
    </row>
    <row r="6" spans="1:11" x14ac:dyDescent="0.3">
      <c r="A6" s="4" t="s">
        <v>40</v>
      </c>
      <c r="B6" s="4">
        <f>IF(B9&gt;0, B9/B8, 0)</f>
        <v>8.3697390888600509</v>
      </c>
    </row>
    <row r="7" spans="1:11" x14ac:dyDescent="0.3">
      <c r="A7" s="4" t="s">
        <v>30</v>
      </c>
      <c r="B7">
        <v>10</v>
      </c>
    </row>
    <row r="8" spans="1:11" x14ac:dyDescent="0.3">
      <c r="A8" s="4" t="s">
        <v>41</v>
      </c>
      <c r="B8">
        <v>2928.2</v>
      </c>
    </row>
    <row r="9" spans="1:11" x14ac:dyDescent="0.3">
      <c r="A9" s="4" t="s">
        <v>68</v>
      </c>
      <c r="B9">
        <v>24508.27</v>
      </c>
    </row>
    <row r="15" spans="1:11" x14ac:dyDescent="0.3">
      <c r="A15" s="1" t="s">
        <v>35</v>
      </c>
    </row>
    <row r="16" spans="1:11" s="18" customFormat="1" x14ac:dyDescent="0.3">
      <c r="A16" s="17" t="s">
        <v>36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3">
      <c r="A17" s="6" t="s">
        <v>5</v>
      </c>
      <c r="B17">
        <v>791.32</v>
      </c>
      <c r="C17">
        <v>912.38</v>
      </c>
      <c r="D17">
        <v>1056.92</v>
      </c>
      <c r="E17">
        <v>1203.42</v>
      </c>
      <c r="F17">
        <v>1330.36</v>
      </c>
      <c r="G17">
        <v>1581.27</v>
      </c>
      <c r="H17">
        <v>2087.41</v>
      </c>
      <c r="I17">
        <v>2016.88</v>
      </c>
      <c r="J17">
        <v>2226.64</v>
      </c>
      <c r="K17">
        <v>2461.4</v>
      </c>
    </row>
    <row r="18" spans="1:11" s="6" customFormat="1" x14ac:dyDescent="0.3">
      <c r="A18" s="4" t="s">
        <v>69</v>
      </c>
      <c r="B18">
        <v>172.92</v>
      </c>
      <c r="C18">
        <v>197.08</v>
      </c>
      <c r="D18">
        <v>226.03</v>
      </c>
      <c r="E18">
        <v>262.35000000000002</v>
      </c>
      <c r="F18">
        <v>298.7</v>
      </c>
      <c r="G18">
        <v>397.26</v>
      </c>
      <c r="H18">
        <v>502.25</v>
      </c>
      <c r="I18">
        <v>447.15</v>
      </c>
      <c r="J18">
        <v>451.42</v>
      </c>
      <c r="K18">
        <v>481.46</v>
      </c>
    </row>
    <row r="19" spans="1:11" s="6" customFormat="1" x14ac:dyDescent="0.3">
      <c r="A19" s="4" t="s">
        <v>70</v>
      </c>
      <c r="B19"/>
      <c r="C19"/>
      <c r="D19"/>
      <c r="E19"/>
      <c r="F19"/>
      <c r="G19"/>
      <c r="H19"/>
      <c r="I19"/>
      <c r="J19"/>
      <c r="K19"/>
    </row>
    <row r="20" spans="1:11" s="6" customFormat="1" x14ac:dyDescent="0.3">
      <c r="A20" s="4" t="s">
        <v>71</v>
      </c>
      <c r="B20">
        <v>12.78</v>
      </c>
      <c r="C20">
        <v>13.58</v>
      </c>
      <c r="D20">
        <v>15.32</v>
      </c>
      <c r="E20">
        <v>15.74</v>
      </c>
      <c r="F20">
        <v>16.739999999999998</v>
      </c>
      <c r="G20">
        <v>18.62</v>
      </c>
      <c r="H20">
        <v>22.11</v>
      </c>
      <c r="I20">
        <v>25.91</v>
      </c>
      <c r="J20">
        <v>26.18</v>
      </c>
      <c r="K20">
        <v>27.16</v>
      </c>
    </row>
    <row r="21" spans="1:11" s="6" customFormat="1" x14ac:dyDescent="0.3">
      <c r="A21" s="4" t="s">
        <v>72</v>
      </c>
      <c r="B21">
        <v>117.65</v>
      </c>
      <c r="C21">
        <v>135.66999999999999</v>
      </c>
      <c r="D21">
        <v>164.46</v>
      </c>
      <c r="E21">
        <v>176.16</v>
      </c>
      <c r="F21">
        <v>204.49</v>
      </c>
      <c r="G21">
        <v>238.07</v>
      </c>
      <c r="H21">
        <v>337.12</v>
      </c>
      <c r="I21">
        <v>350.32</v>
      </c>
      <c r="J21">
        <v>384.64</v>
      </c>
      <c r="K21">
        <v>415.12</v>
      </c>
    </row>
    <row r="22" spans="1:11" s="6" customFormat="1" x14ac:dyDescent="0.3">
      <c r="A22" s="4" t="s">
        <v>73</v>
      </c>
      <c r="B22">
        <v>137.35</v>
      </c>
      <c r="C22">
        <v>152.94</v>
      </c>
      <c r="D22">
        <v>181.73</v>
      </c>
      <c r="E22">
        <v>209.45</v>
      </c>
      <c r="F22">
        <v>244.09</v>
      </c>
      <c r="G22">
        <v>275.22000000000003</v>
      </c>
      <c r="H22">
        <v>366.75</v>
      </c>
      <c r="I22">
        <v>376.52</v>
      </c>
      <c r="J22">
        <v>424.57</v>
      </c>
      <c r="K22">
        <v>482.36</v>
      </c>
    </row>
    <row r="23" spans="1:11" s="6" customFormat="1" x14ac:dyDescent="0.3">
      <c r="A23" s="4" t="s">
        <v>74</v>
      </c>
      <c r="B23">
        <v>119.16</v>
      </c>
      <c r="C23">
        <v>148.36000000000001</v>
      </c>
      <c r="D23">
        <v>174.91</v>
      </c>
      <c r="E23">
        <v>207.63</v>
      </c>
      <c r="F23">
        <v>183.24</v>
      </c>
      <c r="G23">
        <v>174.77</v>
      </c>
      <c r="H23">
        <v>252.01</v>
      </c>
      <c r="I23">
        <v>268.27</v>
      </c>
      <c r="J23">
        <v>275.58</v>
      </c>
      <c r="K23">
        <v>308.24</v>
      </c>
    </row>
    <row r="24" spans="1:11" s="6" customFormat="1" x14ac:dyDescent="0.3">
      <c r="A24" s="4" t="s">
        <v>75</v>
      </c>
      <c r="B24">
        <v>21.73</v>
      </c>
      <c r="C24">
        <v>26.94</v>
      </c>
      <c r="D24">
        <v>30.38</v>
      </c>
      <c r="E24">
        <v>38.43</v>
      </c>
      <c r="F24">
        <v>39.53</v>
      </c>
      <c r="G24">
        <v>40.880000000000003</v>
      </c>
      <c r="H24">
        <v>45.85</v>
      </c>
      <c r="I24">
        <v>58.88</v>
      </c>
      <c r="J24">
        <v>54.79</v>
      </c>
      <c r="K24">
        <v>49.31</v>
      </c>
    </row>
    <row r="25" spans="1:11" s="6" customFormat="1" x14ac:dyDescent="0.3">
      <c r="A25" s="6" t="s">
        <v>8</v>
      </c>
      <c r="B25">
        <v>19.77</v>
      </c>
      <c r="C25">
        <v>27.25</v>
      </c>
      <c r="D25">
        <v>31.13</v>
      </c>
      <c r="E25">
        <v>45.95</v>
      </c>
      <c r="F25">
        <v>55.05</v>
      </c>
      <c r="G25">
        <v>51.16</v>
      </c>
      <c r="H25">
        <v>51.95</v>
      </c>
      <c r="I25">
        <v>41.72</v>
      </c>
      <c r="J25">
        <v>68.95</v>
      </c>
      <c r="K25">
        <v>91.28</v>
      </c>
    </row>
    <row r="26" spans="1:11" s="6" customFormat="1" x14ac:dyDescent="0.3">
      <c r="A26" s="6" t="s">
        <v>9</v>
      </c>
      <c r="B26">
        <v>28.28</v>
      </c>
      <c r="C26">
        <v>27.54</v>
      </c>
      <c r="D26">
        <v>33.06</v>
      </c>
      <c r="E26">
        <v>38.22</v>
      </c>
      <c r="F26">
        <v>72.81</v>
      </c>
      <c r="G26">
        <v>77.2</v>
      </c>
      <c r="H26">
        <v>108.11</v>
      </c>
      <c r="I26">
        <v>150.19</v>
      </c>
      <c r="J26">
        <v>143.6</v>
      </c>
      <c r="K26">
        <v>141.91999999999999</v>
      </c>
    </row>
    <row r="27" spans="1:11" s="6" customFormat="1" x14ac:dyDescent="0.3">
      <c r="A27" s="6" t="s">
        <v>10</v>
      </c>
      <c r="B27">
        <v>0.5</v>
      </c>
      <c r="C27">
        <v>0.7</v>
      </c>
      <c r="D27">
        <v>0.84</v>
      </c>
      <c r="E27">
        <v>0.84</v>
      </c>
      <c r="F27">
        <v>15.31</v>
      </c>
      <c r="G27">
        <v>16</v>
      </c>
      <c r="H27">
        <v>30.18</v>
      </c>
      <c r="I27">
        <v>37.53</v>
      </c>
      <c r="J27">
        <v>29.36</v>
      </c>
      <c r="K27">
        <v>22.31</v>
      </c>
    </row>
    <row r="28" spans="1:11" s="6" customFormat="1" x14ac:dyDescent="0.3">
      <c r="A28" s="6" t="s">
        <v>11</v>
      </c>
      <c r="B28">
        <v>200.72</v>
      </c>
      <c r="C28">
        <v>236.82</v>
      </c>
      <c r="D28">
        <v>261.32</v>
      </c>
      <c r="E28">
        <v>300.55</v>
      </c>
      <c r="F28">
        <v>310.5</v>
      </c>
      <c r="G28">
        <v>394.41</v>
      </c>
      <c r="H28">
        <v>474.98</v>
      </c>
      <c r="I28">
        <v>343.83</v>
      </c>
      <c r="J28">
        <v>505.45</v>
      </c>
      <c r="K28">
        <v>624.79999999999995</v>
      </c>
    </row>
    <row r="29" spans="1:11" s="6" customFormat="1" x14ac:dyDescent="0.3">
      <c r="A29" s="6" t="s">
        <v>12</v>
      </c>
      <c r="B29">
        <v>67.48</v>
      </c>
      <c r="C29">
        <v>81.23</v>
      </c>
      <c r="D29">
        <v>89.57</v>
      </c>
      <c r="E29">
        <v>100.08</v>
      </c>
      <c r="F29">
        <v>82.91</v>
      </c>
      <c r="G29">
        <v>97.93</v>
      </c>
      <c r="H29">
        <v>124.69</v>
      </c>
      <c r="I29">
        <v>102.75</v>
      </c>
      <c r="J29">
        <v>143.16</v>
      </c>
      <c r="K29">
        <v>132.55000000000001</v>
      </c>
    </row>
    <row r="30" spans="1:11" s="6" customFormat="1" x14ac:dyDescent="0.3">
      <c r="A30" s="6" t="s">
        <v>13</v>
      </c>
      <c r="B30">
        <v>132.19</v>
      </c>
      <c r="C30">
        <v>154.59</v>
      </c>
      <c r="D30">
        <v>170.73</v>
      </c>
      <c r="E30">
        <v>199.18</v>
      </c>
      <c r="F30">
        <v>225.94</v>
      </c>
      <c r="G30">
        <v>291.62</v>
      </c>
      <c r="H30">
        <v>344.83</v>
      </c>
      <c r="I30">
        <v>238.85</v>
      </c>
      <c r="J30">
        <v>357.74</v>
      </c>
      <c r="K30">
        <v>487.14</v>
      </c>
    </row>
    <row r="31" spans="1:11" s="6" customFormat="1" x14ac:dyDescent="0.3">
      <c r="A31" s="6" t="s">
        <v>59</v>
      </c>
      <c r="B31">
        <v>20.260000000000002</v>
      </c>
      <c r="C31">
        <v>24.92</v>
      </c>
      <c r="D31">
        <v>37.5</v>
      </c>
      <c r="E31">
        <v>50</v>
      </c>
      <c r="F31">
        <v>100.02</v>
      </c>
      <c r="G31">
        <v>166.7</v>
      </c>
      <c r="H31">
        <v>100.02</v>
      </c>
      <c r="I31">
        <v>50.02</v>
      </c>
      <c r="J31"/>
      <c r="K31"/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37</v>
      </c>
    </row>
    <row r="41" spans="1:11" s="18" customFormat="1" x14ac:dyDescent="0.3">
      <c r="A41" s="17" t="s">
        <v>36</v>
      </c>
      <c r="B41" s="12">
        <v>44926</v>
      </c>
      <c r="C41" s="12">
        <v>45016</v>
      </c>
      <c r="D41" s="12">
        <v>45107</v>
      </c>
      <c r="E41" s="12">
        <v>45199</v>
      </c>
      <c r="F41" s="12">
        <v>45291</v>
      </c>
      <c r="G41" s="12">
        <v>45382</v>
      </c>
      <c r="H41" s="12">
        <v>45473</v>
      </c>
      <c r="I41" s="12">
        <v>45565</v>
      </c>
      <c r="J41" s="12">
        <v>45657</v>
      </c>
      <c r="K41" s="12">
        <v>45747</v>
      </c>
    </row>
    <row r="42" spans="1:11" s="6" customFormat="1" x14ac:dyDescent="0.3">
      <c r="A42" s="6" t="s">
        <v>5</v>
      </c>
      <c r="B42">
        <v>489.4</v>
      </c>
      <c r="C42">
        <v>491</v>
      </c>
      <c r="D42">
        <v>541</v>
      </c>
      <c r="E42">
        <v>601.29999999999995</v>
      </c>
      <c r="F42">
        <v>538.9</v>
      </c>
      <c r="G42">
        <v>545.4</v>
      </c>
      <c r="H42">
        <v>601.9</v>
      </c>
      <c r="I42">
        <v>660.2</v>
      </c>
      <c r="J42">
        <v>596.70000000000005</v>
      </c>
      <c r="K42">
        <v>602.6</v>
      </c>
    </row>
    <row r="43" spans="1:11" s="6" customFormat="1" x14ac:dyDescent="0.3">
      <c r="A43" s="6" t="s">
        <v>6</v>
      </c>
      <c r="B43">
        <v>376.4</v>
      </c>
      <c r="C43">
        <v>375.4</v>
      </c>
      <c r="D43">
        <v>394.8</v>
      </c>
      <c r="E43">
        <v>423.5</v>
      </c>
      <c r="F43">
        <v>398.3</v>
      </c>
      <c r="G43">
        <v>400.7</v>
      </c>
      <c r="H43">
        <v>431.9</v>
      </c>
      <c r="I43">
        <v>457.7</v>
      </c>
      <c r="J43">
        <v>442.7</v>
      </c>
      <c r="K43">
        <v>433.6</v>
      </c>
    </row>
    <row r="44" spans="1:11" s="6" customFormat="1" x14ac:dyDescent="0.3">
      <c r="A44" s="6" t="s">
        <v>8</v>
      </c>
      <c r="B44">
        <v>10.5</v>
      </c>
      <c r="C44">
        <v>14.2</v>
      </c>
      <c r="D44">
        <v>14.4</v>
      </c>
      <c r="E44">
        <v>18.100000000000001</v>
      </c>
      <c r="F44">
        <v>18.3</v>
      </c>
      <c r="G44">
        <v>18.399999999999999</v>
      </c>
      <c r="H44">
        <v>20.6</v>
      </c>
      <c r="I44">
        <v>21.9</v>
      </c>
      <c r="J44">
        <v>25.1</v>
      </c>
      <c r="K44">
        <v>25.8</v>
      </c>
    </row>
    <row r="45" spans="1:11" s="6" customFormat="1" x14ac:dyDescent="0.3">
      <c r="A45" s="6" t="s">
        <v>9</v>
      </c>
      <c r="B45">
        <v>37.9</v>
      </c>
      <c r="C45">
        <v>37.6</v>
      </c>
      <c r="D45">
        <v>35.1</v>
      </c>
      <c r="E45">
        <v>35.9</v>
      </c>
      <c r="F45">
        <v>36</v>
      </c>
      <c r="G45">
        <v>36.6</v>
      </c>
      <c r="H45">
        <v>34.700000000000003</v>
      </c>
      <c r="I45">
        <v>35.299999999999997</v>
      </c>
      <c r="J45">
        <v>35.5</v>
      </c>
      <c r="K45">
        <v>36.4</v>
      </c>
    </row>
    <row r="46" spans="1:11" s="6" customFormat="1" x14ac:dyDescent="0.3">
      <c r="A46" s="6" t="s">
        <v>10</v>
      </c>
      <c r="B46">
        <v>9.1</v>
      </c>
      <c r="C46">
        <v>9</v>
      </c>
      <c r="D46">
        <v>8</v>
      </c>
      <c r="E46">
        <v>7.8</v>
      </c>
      <c r="F46">
        <v>7</v>
      </c>
      <c r="G46">
        <v>6.6</v>
      </c>
      <c r="H46">
        <v>6</v>
      </c>
      <c r="I46">
        <v>6</v>
      </c>
      <c r="J46">
        <v>5.3</v>
      </c>
      <c r="K46">
        <v>5</v>
      </c>
    </row>
    <row r="47" spans="1:11" s="6" customFormat="1" x14ac:dyDescent="0.3">
      <c r="A47" s="6" t="s">
        <v>11</v>
      </c>
      <c r="B47">
        <v>76.5</v>
      </c>
      <c r="C47">
        <v>83.2</v>
      </c>
      <c r="D47">
        <v>117.5</v>
      </c>
      <c r="E47">
        <v>152.19999999999999</v>
      </c>
      <c r="F47">
        <v>115.9</v>
      </c>
      <c r="G47">
        <v>119.9</v>
      </c>
      <c r="H47">
        <v>149.9</v>
      </c>
      <c r="I47">
        <v>183.1</v>
      </c>
      <c r="J47">
        <v>138.30000000000001</v>
      </c>
      <c r="K47">
        <v>153.4</v>
      </c>
    </row>
    <row r="48" spans="1:11" s="6" customFormat="1" x14ac:dyDescent="0.3">
      <c r="A48" s="6" t="s">
        <v>12</v>
      </c>
      <c r="B48">
        <v>22.9</v>
      </c>
      <c r="C48">
        <v>26.3</v>
      </c>
      <c r="D48">
        <v>33.9</v>
      </c>
      <c r="E48">
        <v>41.5</v>
      </c>
      <c r="F48">
        <v>33.700000000000003</v>
      </c>
      <c r="G48">
        <v>34.1</v>
      </c>
      <c r="H48">
        <v>42.1</v>
      </c>
      <c r="I48">
        <v>52.3</v>
      </c>
      <c r="J48">
        <v>40.200000000000003</v>
      </c>
      <c r="K48">
        <v>-2.1</v>
      </c>
    </row>
    <row r="49" spans="1:11" s="6" customFormat="1" x14ac:dyDescent="0.3">
      <c r="A49" s="6" t="s">
        <v>13</v>
      </c>
      <c r="B49">
        <v>52.8</v>
      </c>
      <c r="C49">
        <v>56.7</v>
      </c>
      <c r="D49">
        <v>82.6</v>
      </c>
      <c r="E49">
        <v>109.3</v>
      </c>
      <c r="F49">
        <v>81.3</v>
      </c>
      <c r="G49">
        <v>84.5</v>
      </c>
      <c r="H49">
        <v>106.4</v>
      </c>
      <c r="I49">
        <v>129.19999999999999</v>
      </c>
      <c r="J49">
        <v>96.7</v>
      </c>
      <c r="K49">
        <v>154.80000000000001</v>
      </c>
    </row>
    <row r="50" spans="1:11" x14ac:dyDescent="0.3">
      <c r="A50" s="6" t="s">
        <v>7</v>
      </c>
      <c r="B50">
        <v>113</v>
      </c>
      <c r="C50">
        <v>115.6</v>
      </c>
      <c r="D50">
        <v>146.19999999999999</v>
      </c>
      <c r="E50">
        <v>177.8</v>
      </c>
      <c r="F50">
        <v>140.6</v>
      </c>
      <c r="G50">
        <v>144.69999999999999</v>
      </c>
      <c r="H50">
        <v>170</v>
      </c>
      <c r="I50">
        <v>202.5</v>
      </c>
      <c r="J50">
        <v>154</v>
      </c>
      <c r="K50">
        <v>169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38</v>
      </c>
    </row>
    <row r="56" spans="1:11" s="18" customFormat="1" x14ac:dyDescent="0.3">
      <c r="A56" s="17" t="s">
        <v>36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3">
      <c r="A57" s="6" t="s">
        <v>23</v>
      </c>
      <c r="B57">
        <v>82.68</v>
      </c>
      <c r="C57">
        <v>83.07</v>
      </c>
      <c r="D57">
        <v>83.33</v>
      </c>
      <c r="E57">
        <v>83.34</v>
      </c>
      <c r="F57">
        <v>83.35</v>
      </c>
      <c r="G57">
        <v>83.35</v>
      </c>
      <c r="H57">
        <v>83.35</v>
      </c>
      <c r="I57">
        <v>83.37</v>
      </c>
      <c r="J57">
        <v>83.48</v>
      </c>
      <c r="K57">
        <v>83.59</v>
      </c>
    </row>
    <row r="58" spans="1:11" x14ac:dyDescent="0.3">
      <c r="A58" s="6" t="s">
        <v>24</v>
      </c>
      <c r="B58">
        <v>424.67</v>
      </c>
      <c r="C58">
        <v>512.45000000000005</v>
      </c>
      <c r="D58">
        <v>704.52</v>
      </c>
      <c r="E58">
        <v>862.15</v>
      </c>
      <c r="F58">
        <v>949.47</v>
      </c>
      <c r="G58">
        <v>1161.71</v>
      </c>
      <c r="H58">
        <v>1418.26</v>
      </c>
      <c r="I58">
        <v>1582.93</v>
      </c>
      <c r="J58">
        <v>1765.81</v>
      </c>
      <c r="K58">
        <v>2089.12</v>
      </c>
    </row>
    <row r="59" spans="1:11" x14ac:dyDescent="0.3">
      <c r="A59" s="6" t="s">
        <v>60</v>
      </c>
      <c r="B59"/>
      <c r="C59"/>
      <c r="D59"/>
      <c r="E59"/>
      <c r="F59"/>
      <c r="G59">
        <v>150.49</v>
      </c>
      <c r="H59">
        <v>532.57000000000005</v>
      </c>
      <c r="I59">
        <v>419.5</v>
      </c>
      <c r="J59">
        <v>246.93</v>
      </c>
      <c r="K59">
        <v>157.43</v>
      </c>
    </row>
    <row r="60" spans="1:11" x14ac:dyDescent="0.3">
      <c r="A60" s="6" t="s">
        <v>61</v>
      </c>
      <c r="B60">
        <v>117.88</v>
      </c>
      <c r="C60">
        <v>94.56</v>
      </c>
      <c r="D60">
        <v>127.7</v>
      </c>
      <c r="E60">
        <v>145.02000000000001</v>
      </c>
      <c r="F60">
        <v>341.49</v>
      </c>
      <c r="G60">
        <v>265.02</v>
      </c>
      <c r="H60">
        <v>308.52999999999997</v>
      </c>
      <c r="I60">
        <v>296.82</v>
      </c>
      <c r="J60">
        <v>357.35</v>
      </c>
      <c r="K60">
        <v>383.28</v>
      </c>
    </row>
    <row r="61" spans="1:11" s="1" customFormat="1" x14ac:dyDescent="0.3">
      <c r="A61" s="1" t="s">
        <v>25</v>
      </c>
      <c r="B61">
        <v>625.23</v>
      </c>
      <c r="C61">
        <v>690.08</v>
      </c>
      <c r="D61">
        <v>915.55</v>
      </c>
      <c r="E61">
        <v>1090.51</v>
      </c>
      <c r="F61">
        <v>1374.31</v>
      </c>
      <c r="G61">
        <v>1660.57</v>
      </c>
      <c r="H61">
        <v>2342.71</v>
      </c>
      <c r="I61">
        <v>2382.62</v>
      </c>
      <c r="J61">
        <v>2453.5700000000002</v>
      </c>
      <c r="K61">
        <v>2713.42</v>
      </c>
    </row>
    <row r="62" spans="1:11" x14ac:dyDescent="0.3">
      <c r="A62" s="6" t="s">
        <v>26</v>
      </c>
      <c r="B62">
        <v>165.64</v>
      </c>
      <c r="C62">
        <v>152.43</v>
      </c>
      <c r="D62">
        <v>207.52</v>
      </c>
      <c r="E62">
        <v>208.66</v>
      </c>
      <c r="F62">
        <v>413.02</v>
      </c>
      <c r="G62">
        <v>447.26</v>
      </c>
      <c r="H62">
        <v>1368.81</v>
      </c>
      <c r="I62">
        <v>1305.06</v>
      </c>
      <c r="J62">
        <v>1227.53</v>
      </c>
      <c r="K62">
        <v>1168.3499999999999</v>
      </c>
    </row>
    <row r="63" spans="1:11" x14ac:dyDescent="0.3">
      <c r="A63" s="6" t="s">
        <v>27</v>
      </c>
      <c r="B63">
        <v>4.09</v>
      </c>
      <c r="C63">
        <v>17.510000000000002</v>
      </c>
      <c r="D63">
        <v>9.56</v>
      </c>
      <c r="E63">
        <v>3.44</v>
      </c>
      <c r="F63">
        <v>11.38</v>
      </c>
      <c r="G63">
        <v>9.61</v>
      </c>
      <c r="H63">
        <v>15</v>
      </c>
      <c r="I63">
        <v>4.9400000000000004</v>
      </c>
      <c r="J63">
        <v>5.65</v>
      </c>
      <c r="K63">
        <v>3.48</v>
      </c>
    </row>
    <row r="64" spans="1:11" x14ac:dyDescent="0.3">
      <c r="A64" s="6" t="s">
        <v>28</v>
      </c>
      <c r="B64">
        <v>64.319999999999993</v>
      </c>
      <c r="C64">
        <v>106.08</v>
      </c>
      <c r="D64">
        <v>144.80000000000001</v>
      </c>
      <c r="E64">
        <v>184.78</v>
      </c>
      <c r="F64">
        <v>164.28</v>
      </c>
      <c r="G64">
        <v>59.3</v>
      </c>
      <c r="H64">
        <v>65.459999999999994</v>
      </c>
      <c r="I64">
        <v>149.94</v>
      </c>
      <c r="J64">
        <v>113.78</v>
      </c>
      <c r="K64">
        <v>326.7</v>
      </c>
    </row>
    <row r="65" spans="1:11" x14ac:dyDescent="0.3">
      <c r="A65" s="6" t="s">
        <v>62</v>
      </c>
      <c r="B65">
        <v>391.18</v>
      </c>
      <c r="C65">
        <v>414.06</v>
      </c>
      <c r="D65">
        <v>553.66999999999996</v>
      </c>
      <c r="E65">
        <v>693.63</v>
      </c>
      <c r="F65">
        <v>785.63</v>
      </c>
      <c r="G65">
        <v>1144.4000000000001</v>
      </c>
      <c r="H65">
        <v>893.44</v>
      </c>
      <c r="I65">
        <v>922.68</v>
      </c>
      <c r="J65">
        <v>1106.6099999999999</v>
      </c>
      <c r="K65">
        <v>1214.8900000000001</v>
      </c>
    </row>
    <row r="66" spans="1:11" s="1" customFormat="1" x14ac:dyDescent="0.3">
      <c r="A66" s="1" t="s">
        <v>25</v>
      </c>
      <c r="B66">
        <v>625.23</v>
      </c>
      <c r="C66">
        <v>690.08</v>
      </c>
      <c r="D66">
        <v>915.55</v>
      </c>
      <c r="E66">
        <v>1090.51</v>
      </c>
      <c r="F66">
        <v>1374.31</v>
      </c>
      <c r="G66">
        <v>1660.57</v>
      </c>
      <c r="H66">
        <v>2342.71</v>
      </c>
      <c r="I66">
        <v>2382.62</v>
      </c>
      <c r="J66">
        <v>2453.5700000000002</v>
      </c>
      <c r="K66">
        <v>2713.42</v>
      </c>
    </row>
    <row r="67" spans="1:11" s="6" customFormat="1" x14ac:dyDescent="0.3">
      <c r="A67" s="6" t="s">
        <v>67</v>
      </c>
      <c r="B67">
        <v>36.31</v>
      </c>
      <c r="C67">
        <v>41.8</v>
      </c>
      <c r="D67">
        <v>41.16</v>
      </c>
      <c r="E67">
        <v>53.22</v>
      </c>
      <c r="F67">
        <v>51.39</v>
      </c>
      <c r="G67">
        <v>66.7</v>
      </c>
      <c r="H67">
        <v>85.4</v>
      </c>
      <c r="I67">
        <v>70.819999999999993</v>
      </c>
      <c r="J67">
        <v>77.400000000000006</v>
      </c>
      <c r="K67">
        <v>88.12</v>
      </c>
    </row>
    <row r="68" spans="1:11" x14ac:dyDescent="0.3">
      <c r="A68" s="6" t="s">
        <v>43</v>
      </c>
      <c r="B68">
        <v>14.52</v>
      </c>
      <c r="C68">
        <v>17.91</v>
      </c>
      <c r="D68">
        <v>27.34</v>
      </c>
      <c r="E68">
        <v>28.54</v>
      </c>
      <c r="F68">
        <v>56.96</v>
      </c>
      <c r="G68">
        <v>42.56</v>
      </c>
      <c r="H68">
        <v>52.54</v>
      </c>
      <c r="I68">
        <v>33.81</v>
      </c>
      <c r="J68">
        <v>37.31</v>
      </c>
      <c r="K68">
        <v>36.130000000000003</v>
      </c>
    </row>
    <row r="69" spans="1:11" x14ac:dyDescent="0.3">
      <c r="A69" s="4" t="s">
        <v>76</v>
      </c>
      <c r="B69">
        <v>209.95</v>
      </c>
      <c r="C69">
        <v>239.52</v>
      </c>
      <c r="D69">
        <v>313.51</v>
      </c>
      <c r="E69">
        <v>490.24</v>
      </c>
      <c r="F69">
        <v>569.12</v>
      </c>
      <c r="G69">
        <v>926.03</v>
      </c>
      <c r="H69">
        <v>617.59</v>
      </c>
      <c r="I69">
        <v>665.41</v>
      </c>
      <c r="J69">
        <v>830.31</v>
      </c>
      <c r="K69">
        <v>838.68</v>
      </c>
    </row>
    <row r="70" spans="1:11" x14ac:dyDescent="0.3">
      <c r="A70" s="4" t="s">
        <v>63</v>
      </c>
      <c r="B70">
        <v>82676997</v>
      </c>
      <c r="C70">
        <v>83066184</v>
      </c>
      <c r="D70">
        <v>83332744</v>
      </c>
      <c r="E70">
        <v>83341610</v>
      </c>
      <c r="F70">
        <v>83344877</v>
      </c>
      <c r="G70">
        <v>83344877</v>
      </c>
      <c r="H70">
        <v>83344877</v>
      </c>
      <c r="I70">
        <v>83367877</v>
      </c>
      <c r="J70">
        <v>83477852</v>
      </c>
      <c r="K70">
        <v>83591735</v>
      </c>
    </row>
    <row r="71" spans="1:11" x14ac:dyDescent="0.3">
      <c r="A71" s="4" t="s">
        <v>64</v>
      </c>
    </row>
    <row r="72" spans="1:11" x14ac:dyDescent="0.3">
      <c r="A72" s="4" t="s">
        <v>77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39</v>
      </c>
    </row>
    <row r="81" spans="1:11" s="18" customFormat="1" x14ac:dyDescent="0.3">
      <c r="A81" s="17" t="s">
        <v>36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3">
      <c r="A82" s="6" t="s">
        <v>31</v>
      </c>
      <c r="B82">
        <v>158.54</v>
      </c>
      <c r="C82">
        <v>171.31</v>
      </c>
      <c r="D82">
        <v>197.07</v>
      </c>
      <c r="E82">
        <v>218.54</v>
      </c>
      <c r="F82">
        <v>283.89</v>
      </c>
      <c r="G82">
        <v>398.15</v>
      </c>
      <c r="H82">
        <v>446.69</v>
      </c>
      <c r="I82">
        <v>456.03</v>
      </c>
      <c r="J82">
        <v>535.33000000000004</v>
      </c>
      <c r="K82">
        <v>568.89</v>
      </c>
    </row>
    <row r="83" spans="1:11" s="6" customFormat="1" x14ac:dyDescent="0.3">
      <c r="A83" s="6" t="s">
        <v>32</v>
      </c>
      <c r="B83">
        <v>-163.49</v>
      </c>
      <c r="C83">
        <v>-137.11000000000001</v>
      </c>
      <c r="D83">
        <v>-172.28</v>
      </c>
      <c r="E83">
        <v>-99.74</v>
      </c>
      <c r="F83">
        <v>-26.11</v>
      </c>
      <c r="G83">
        <v>-212.02</v>
      </c>
      <c r="H83">
        <v>-449.25</v>
      </c>
      <c r="I83">
        <v>-287.31</v>
      </c>
      <c r="J83">
        <v>-24.27</v>
      </c>
      <c r="K83">
        <v>-303.16000000000003</v>
      </c>
    </row>
    <row r="84" spans="1:11" s="6" customFormat="1" x14ac:dyDescent="0.3">
      <c r="A84" s="6" t="s">
        <v>33</v>
      </c>
      <c r="B84">
        <v>0.36</v>
      </c>
      <c r="C84">
        <v>-32.26</v>
      </c>
      <c r="D84">
        <v>12.51</v>
      </c>
      <c r="E84">
        <v>-55.26</v>
      </c>
      <c r="F84">
        <v>-190.45</v>
      </c>
      <c r="G84">
        <v>-138.56</v>
      </c>
      <c r="H84">
        <v>136.44999999999999</v>
      </c>
      <c r="I84">
        <v>-283.18</v>
      </c>
      <c r="J84">
        <v>-413.86</v>
      </c>
      <c r="K84">
        <v>-334.03</v>
      </c>
    </row>
    <row r="85" spans="1:11" s="1" customFormat="1" x14ac:dyDescent="0.3">
      <c r="A85" s="6" t="s">
        <v>34</v>
      </c>
      <c r="B85">
        <v>-4.59</v>
      </c>
      <c r="C85">
        <v>1.94</v>
      </c>
      <c r="D85">
        <v>37.299999999999997</v>
      </c>
      <c r="E85">
        <v>63.54</v>
      </c>
      <c r="F85">
        <v>67.33</v>
      </c>
      <c r="G85">
        <v>47.58</v>
      </c>
      <c r="H85">
        <v>133.9</v>
      </c>
      <c r="I85">
        <v>-114.46</v>
      </c>
      <c r="J85">
        <v>97.2</v>
      </c>
      <c r="K85">
        <v>-68.31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66</v>
      </c>
      <c r="B90">
        <v>923.3</v>
      </c>
      <c r="C90">
        <v>967.55</v>
      </c>
      <c r="D90">
        <v>876.3</v>
      </c>
      <c r="E90">
        <v>1044.3</v>
      </c>
      <c r="F90">
        <v>1401.7</v>
      </c>
      <c r="G90">
        <v>2707.05</v>
      </c>
      <c r="H90">
        <v>2610.6999999999998</v>
      </c>
      <c r="I90">
        <v>1828.1</v>
      </c>
      <c r="J90">
        <v>2262.85</v>
      </c>
      <c r="K90">
        <v>2478.8000000000002</v>
      </c>
    </row>
    <row r="92" spans="1:11" s="1" customFormat="1" x14ac:dyDescent="0.3">
      <c r="A92" s="1" t="s">
        <v>65</v>
      </c>
    </row>
    <row r="93" spans="1:11" x14ac:dyDescent="0.3">
      <c r="A93" s="4" t="s">
        <v>78</v>
      </c>
      <c r="B93" s="20">
        <v>8.27</v>
      </c>
      <c r="C93" s="20">
        <v>8.31</v>
      </c>
      <c r="D93" s="20">
        <v>8.33</v>
      </c>
      <c r="E93" s="20">
        <v>8.33</v>
      </c>
      <c r="F93" s="20">
        <v>8.33</v>
      </c>
      <c r="G93" s="20">
        <v>8.33</v>
      </c>
      <c r="H93" s="20">
        <v>8.33</v>
      </c>
      <c r="I93" s="20">
        <v>8.34</v>
      </c>
      <c r="J93" s="20">
        <v>8.35</v>
      </c>
      <c r="K93" s="20">
        <v>8.36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7B951-3803-4298-A8AE-E83D42056137}">
  <sheetPr>
    <tabColor rgb="FF00206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87F1-44DA-447A-89E4-B7C0F16C52EF}">
  <dimension ref="A2:N107"/>
  <sheetViews>
    <sheetView showGridLines="0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.77734375" customWidth="1"/>
    <col min="2" max="2" width="19" customWidth="1"/>
    <col min="4" max="5" width="12.109375" bestFit="1" customWidth="1"/>
    <col min="6" max="13" width="11.88671875" bestFit="1" customWidth="1"/>
    <col min="14" max="14" width="11.6640625" customWidth="1"/>
  </cols>
  <sheetData>
    <row r="2" spans="1:14" x14ac:dyDescent="0.3">
      <c r="B2" s="44" t="str">
        <f>"Historical Financial Statement - "&amp;'Data Sheet'!B1</f>
        <v>Historical Financial Statement - DR LAL PATHLABS LTD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14" x14ac:dyDescent="0.3">
      <c r="B3" s="21" t="s">
        <v>79</v>
      </c>
      <c r="C3" s="21"/>
      <c r="D3" s="22">
        <f>'Data Sheet'!B16</f>
        <v>42460</v>
      </c>
      <c r="E3" s="22">
        <f>'Data Sheet'!C16</f>
        <v>42825</v>
      </c>
      <c r="F3" s="22">
        <f>'Data Sheet'!D16</f>
        <v>43190</v>
      </c>
      <c r="G3" s="22">
        <f>'Data Sheet'!E16</f>
        <v>43555</v>
      </c>
      <c r="H3" s="22">
        <f>'Data Sheet'!F16</f>
        <v>43921</v>
      </c>
      <c r="I3" s="22">
        <f>'Data Sheet'!G16</f>
        <v>44286</v>
      </c>
      <c r="J3" s="22">
        <f>'Data Sheet'!H16</f>
        <v>44651</v>
      </c>
      <c r="K3" s="22">
        <f>'Data Sheet'!I16</f>
        <v>45016</v>
      </c>
      <c r="L3" s="22">
        <f>'Data Sheet'!J16</f>
        <v>45382</v>
      </c>
      <c r="M3" s="22">
        <f>'Data Sheet'!K16</f>
        <v>45747</v>
      </c>
      <c r="N3" s="23" t="s">
        <v>80</v>
      </c>
    </row>
    <row r="4" spans="1:14" x14ac:dyDescent="0.3">
      <c r="A4" t="s">
        <v>82</v>
      </c>
      <c r="B4" s="45" t="s">
        <v>81</v>
      </c>
      <c r="C4" s="45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</row>
    <row r="5" spans="1:14" ht="15" customHeight="1" x14ac:dyDescent="0.3">
      <c r="B5" t="s">
        <v>5</v>
      </c>
      <c r="D5" s="24">
        <f>IFERROR('Data Sheet'!B17,0)</f>
        <v>791.32</v>
      </c>
      <c r="E5" s="24">
        <f>IFERROR('Data Sheet'!C17,0)</f>
        <v>912.38</v>
      </c>
      <c r="F5" s="24">
        <f>IFERROR('Data Sheet'!D17,0)</f>
        <v>1056.92</v>
      </c>
      <c r="G5" s="24">
        <f>IFERROR('Data Sheet'!E17,0)</f>
        <v>1203.42</v>
      </c>
      <c r="H5" s="24">
        <f>IFERROR('Data Sheet'!F17,0)</f>
        <v>1330.36</v>
      </c>
      <c r="I5" s="24">
        <f>IFERROR('Data Sheet'!G17,0)</f>
        <v>1581.27</v>
      </c>
      <c r="J5" s="24">
        <f>IFERROR('Data Sheet'!H17,0)</f>
        <v>2087.41</v>
      </c>
      <c r="K5" s="24">
        <f>IFERROR('Data Sheet'!I17,0)</f>
        <v>2016.88</v>
      </c>
      <c r="L5" s="24">
        <f>IFERROR('Data Sheet'!J17,0)</f>
        <v>2226.64</v>
      </c>
      <c r="M5" s="24">
        <f>IFERROR('Data Sheet'!K17,0)</f>
        <v>2461.4</v>
      </c>
      <c r="N5" s="24">
        <f>IFERROR(SUM('Data Sheet'!H42:K42),0)</f>
        <v>2461.4</v>
      </c>
    </row>
    <row r="6" spans="1:14" x14ac:dyDescent="0.3">
      <c r="B6" s="25" t="s">
        <v>21</v>
      </c>
      <c r="C6" s="25"/>
      <c r="D6" s="25" t="s">
        <v>83</v>
      </c>
      <c r="E6" s="26">
        <f>E5/D5 - 1</f>
        <v>0.15298488601324367</v>
      </c>
      <c r="F6" s="26">
        <f t="shared" ref="F6:N6" si="0">F5/E5 - 1</f>
        <v>0.15842083342466973</v>
      </c>
      <c r="G6" s="26">
        <f t="shared" si="0"/>
        <v>0.13861030163115462</v>
      </c>
      <c r="H6" s="26">
        <f t="shared" si="0"/>
        <v>0.10548270761662581</v>
      </c>
      <c r="I6" s="26">
        <f t="shared" si="0"/>
        <v>0.18860308487928079</v>
      </c>
      <c r="J6" s="26">
        <f t="shared" si="0"/>
        <v>0.3200844890499408</v>
      </c>
      <c r="K6" s="26">
        <f t="shared" si="0"/>
        <v>-3.3788283087653914E-2</v>
      </c>
      <c r="L6" s="26">
        <f t="shared" si="0"/>
        <v>0.1040022212526277</v>
      </c>
      <c r="M6" s="26">
        <f t="shared" si="0"/>
        <v>0.1054324003880287</v>
      </c>
      <c r="N6" s="26">
        <f t="shared" si="0"/>
        <v>0</v>
      </c>
    </row>
    <row r="8" spans="1:14" x14ac:dyDescent="0.3">
      <c r="B8" t="s">
        <v>84</v>
      </c>
      <c r="D8" s="24">
        <f>IFERROR(SUM('Data Sheet'!B18,'Data Sheet'!B20:B22)-1*'Data Sheet'!B19,0)</f>
        <v>440.70000000000005</v>
      </c>
      <c r="E8" s="24">
        <f>IFERROR(SUM('Data Sheet'!C18,'Data Sheet'!C20:C22)-1*'Data Sheet'!C19,0)</f>
        <v>499.27000000000004</v>
      </c>
      <c r="F8" s="24">
        <f>IFERROR(SUM('Data Sheet'!D18,'Data Sheet'!D20:D22)-1*'Data Sheet'!D19,0)</f>
        <v>587.54</v>
      </c>
      <c r="G8" s="24">
        <f>IFERROR(SUM('Data Sheet'!E18,'Data Sheet'!E20:E22)-1*'Data Sheet'!E19,0)</f>
        <v>663.7</v>
      </c>
      <c r="H8" s="24">
        <f>IFERROR(SUM('Data Sheet'!F18,'Data Sheet'!F20:F22)-1*'Data Sheet'!F19,0)</f>
        <v>764.0200000000001</v>
      </c>
      <c r="I8" s="24">
        <f>IFERROR(SUM('Data Sheet'!G18,'Data Sheet'!G20:G22)-1*'Data Sheet'!G19,0)</f>
        <v>929.17000000000007</v>
      </c>
      <c r="J8" s="24">
        <f>IFERROR(SUM('Data Sheet'!H18,'Data Sheet'!H20:H22)-1*'Data Sheet'!H19,0)</f>
        <v>1228.23</v>
      </c>
      <c r="K8" s="24">
        <f>IFERROR(SUM('Data Sheet'!I18,'Data Sheet'!I20:I22)-1*'Data Sheet'!I19,0)</f>
        <v>1199.9000000000001</v>
      </c>
      <c r="L8" s="24">
        <f>IFERROR(SUM('Data Sheet'!J18,'Data Sheet'!J20:J22)-1*'Data Sheet'!J19,0)</f>
        <v>1286.81</v>
      </c>
      <c r="M8" s="24">
        <f>IFERROR(SUM('Data Sheet'!K18,'Data Sheet'!K20:K22)-1*'Data Sheet'!K19,0)</f>
        <v>1406.1</v>
      </c>
      <c r="N8" s="24">
        <f>IFERROR(SUM('Data Sheet'!H43:K43),0)</f>
        <v>1765.9</v>
      </c>
    </row>
    <row r="9" spans="1:14" x14ac:dyDescent="0.3">
      <c r="B9" s="25" t="s">
        <v>85</v>
      </c>
      <c r="C9" s="25"/>
      <c r="D9" s="26">
        <f>D8/D5</f>
        <v>0.55691755547692467</v>
      </c>
      <c r="E9" s="26">
        <f t="shared" ref="E9:N9" si="1">E8/E5</f>
        <v>0.54721716828514444</v>
      </c>
      <c r="F9" s="26">
        <f t="shared" si="1"/>
        <v>0.5558982704462021</v>
      </c>
      <c r="G9" s="26">
        <f t="shared" si="1"/>
        <v>0.55151152548569915</v>
      </c>
      <c r="H9" s="26">
        <f t="shared" si="1"/>
        <v>0.57429567936498405</v>
      </c>
      <c r="I9" s="26">
        <f t="shared" si="1"/>
        <v>0.58760995908352154</v>
      </c>
      <c r="J9" s="26">
        <f t="shared" si="1"/>
        <v>0.58839902079610618</v>
      </c>
      <c r="K9" s="26">
        <f t="shared" si="1"/>
        <v>0.59492880092023326</v>
      </c>
      <c r="L9" s="26">
        <f t="shared" si="1"/>
        <v>0.57791560377968598</v>
      </c>
      <c r="M9" s="26">
        <f t="shared" si="1"/>
        <v>0.57126025838953431</v>
      </c>
      <c r="N9" s="26">
        <f t="shared" si="1"/>
        <v>0.71743723084423505</v>
      </c>
    </row>
    <row r="11" spans="1:14" x14ac:dyDescent="0.3">
      <c r="B11" s="47" t="s">
        <v>86</v>
      </c>
      <c r="C11" s="47"/>
      <c r="D11" s="48">
        <f t="shared" ref="D11:N11" si="2">D5-D8</f>
        <v>350.62</v>
      </c>
      <c r="E11" s="48">
        <f t="shared" si="2"/>
        <v>413.10999999999996</v>
      </c>
      <c r="F11" s="48">
        <f t="shared" si="2"/>
        <v>469.38000000000011</v>
      </c>
      <c r="G11" s="48">
        <f t="shared" si="2"/>
        <v>539.72</v>
      </c>
      <c r="H11" s="48">
        <f t="shared" si="2"/>
        <v>566.3399999999998</v>
      </c>
      <c r="I11" s="48">
        <f t="shared" si="2"/>
        <v>652.09999999999991</v>
      </c>
      <c r="J11" s="48">
        <f t="shared" si="2"/>
        <v>859.17999999999984</v>
      </c>
      <c r="K11" s="48">
        <f t="shared" si="2"/>
        <v>816.98</v>
      </c>
      <c r="L11" s="48">
        <f t="shared" si="2"/>
        <v>939.82999999999993</v>
      </c>
      <c r="M11" s="48">
        <f t="shared" si="2"/>
        <v>1055.3000000000002</v>
      </c>
      <c r="N11" s="48">
        <f t="shared" si="2"/>
        <v>695.5</v>
      </c>
    </row>
    <row r="12" spans="1:14" x14ac:dyDescent="0.3">
      <c r="B12" s="28" t="s">
        <v>144</v>
      </c>
      <c r="C12" s="28"/>
      <c r="D12" s="28">
        <f>(D5-D8)/D5</f>
        <v>0.44308244452307533</v>
      </c>
      <c r="E12" s="28">
        <f t="shared" ref="E12:N12" si="3">(E5-E8)/E5</f>
        <v>0.45278283171485562</v>
      </c>
      <c r="F12" s="28">
        <f t="shared" si="3"/>
        <v>0.4441017295537979</v>
      </c>
      <c r="G12" s="28">
        <f t="shared" si="3"/>
        <v>0.44848847451430091</v>
      </c>
      <c r="H12" s="28">
        <f t="shared" si="3"/>
        <v>0.42570432063501595</v>
      </c>
      <c r="I12" s="28">
        <f t="shared" si="3"/>
        <v>0.41239004091647846</v>
      </c>
      <c r="J12" s="28">
        <f t="shared" si="3"/>
        <v>0.41160097920389377</v>
      </c>
      <c r="K12" s="28">
        <f t="shared" si="3"/>
        <v>0.40507119907976674</v>
      </c>
      <c r="L12" s="28">
        <f t="shared" si="3"/>
        <v>0.42208439622031402</v>
      </c>
      <c r="M12" s="28">
        <f t="shared" si="3"/>
        <v>0.42873974161046563</v>
      </c>
      <c r="N12" s="28">
        <f t="shared" si="3"/>
        <v>0.282562769155765</v>
      </c>
    </row>
    <row r="14" spans="1:14" x14ac:dyDescent="0.3">
      <c r="B14" t="s">
        <v>87</v>
      </c>
      <c r="D14" s="27">
        <f>IFERROR(SUM('Data Sheet'!B23:B24),0)</f>
        <v>140.88999999999999</v>
      </c>
      <c r="E14" s="27">
        <f>IFERROR(SUM('Data Sheet'!C23:C24),0)</f>
        <v>175.3</v>
      </c>
      <c r="F14" s="27">
        <f>IFERROR(SUM('Data Sheet'!D23:D24),0)</f>
        <v>205.29</v>
      </c>
      <c r="G14" s="27">
        <f>IFERROR(SUM('Data Sheet'!E23:E24),0)</f>
        <v>246.06</v>
      </c>
      <c r="H14" s="27">
        <f>IFERROR(SUM('Data Sheet'!F23:F24),0)</f>
        <v>222.77</v>
      </c>
      <c r="I14" s="27">
        <f>IFERROR(SUM('Data Sheet'!G23:G24),0)</f>
        <v>215.65</v>
      </c>
      <c r="J14" s="27">
        <f>IFERROR(SUM('Data Sheet'!H23:H24),0)</f>
        <v>297.86</v>
      </c>
      <c r="K14" s="27">
        <f>IFERROR(SUM('Data Sheet'!I23:I24),0)</f>
        <v>327.14999999999998</v>
      </c>
      <c r="L14" s="27">
        <f>IFERROR(SUM('Data Sheet'!J23:J24),0)</f>
        <v>330.37</v>
      </c>
      <c r="M14" s="27">
        <f>IFERROR(SUM('Data Sheet'!K23:K24),0)</f>
        <v>357.55</v>
      </c>
      <c r="N14" s="27">
        <f>IFERROR(SUM('Data Sheet'!L23:L24),0)</f>
        <v>0</v>
      </c>
    </row>
    <row r="15" spans="1:14" x14ac:dyDescent="0.3">
      <c r="B15" s="25" t="s">
        <v>88</v>
      </c>
      <c r="C15" s="25"/>
      <c r="D15" s="26">
        <f t="shared" ref="D15:N15" si="4">D14/D5</f>
        <v>0.1780442804428044</v>
      </c>
      <c r="E15" s="26">
        <f t="shared" si="4"/>
        <v>0.192134856090664</v>
      </c>
      <c r="F15" s="26">
        <f t="shared" si="4"/>
        <v>0.19423418991030539</v>
      </c>
      <c r="G15" s="26">
        <f t="shared" si="4"/>
        <v>0.20446726828538664</v>
      </c>
      <c r="H15" s="26">
        <f t="shared" si="4"/>
        <v>0.16745091554165792</v>
      </c>
      <c r="I15" s="26">
        <f t="shared" si="4"/>
        <v>0.13637772170470572</v>
      </c>
      <c r="J15" s="26">
        <f t="shared" si="4"/>
        <v>0.14269357720811918</v>
      </c>
      <c r="K15" s="26">
        <f t="shared" si="4"/>
        <v>0.1622059815160049</v>
      </c>
      <c r="L15" s="26">
        <f t="shared" si="4"/>
        <v>0.14837153738368125</v>
      </c>
      <c r="M15" s="26">
        <f t="shared" si="4"/>
        <v>0.14526285853579263</v>
      </c>
      <c r="N15" s="26">
        <f t="shared" si="4"/>
        <v>0</v>
      </c>
    </row>
    <row r="17" spans="2:14" x14ac:dyDescent="0.3">
      <c r="B17" s="47" t="s">
        <v>89</v>
      </c>
      <c r="C17" s="47"/>
      <c r="D17" s="48">
        <f>D11-D14</f>
        <v>209.73000000000002</v>
      </c>
      <c r="E17" s="48">
        <f t="shared" ref="E17:N17" si="5">E11-E14</f>
        <v>237.80999999999995</v>
      </c>
      <c r="F17" s="48">
        <f t="shared" si="5"/>
        <v>264.09000000000015</v>
      </c>
      <c r="G17" s="48">
        <f t="shared" si="5"/>
        <v>293.66000000000003</v>
      </c>
      <c r="H17" s="48">
        <f t="shared" si="5"/>
        <v>343.56999999999982</v>
      </c>
      <c r="I17" s="48">
        <f t="shared" si="5"/>
        <v>436.44999999999993</v>
      </c>
      <c r="J17" s="48">
        <f t="shared" si="5"/>
        <v>561.31999999999982</v>
      </c>
      <c r="K17" s="48">
        <f t="shared" si="5"/>
        <v>489.83000000000004</v>
      </c>
      <c r="L17" s="48">
        <f t="shared" si="5"/>
        <v>609.45999999999992</v>
      </c>
      <c r="M17" s="48">
        <f t="shared" si="5"/>
        <v>697.75000000000023</v>
      </c>
      <c r="N17" s="48">
        <f t="shared" si="5"/>
        <v>695.5</v>
      </c>
    </row>
    <row r="18" spans="2:14" x14ac:dyDescent="0.3">
      <c r="B18" s="28" t="s">
        <v>148</v>
      </c>
      <c r="C18" s="28"/>
      <c r="D18" s="28">
        <f>D17/D5</f>
        <v>0.26503816408027092</v>
      </c>
      <c r="E18" s="28">
        <f t="shared" ref="E18:N18" si="6">E17/E5</f>
        <v>0.26064797562419162</v>
      </c>
      <c r="F18" s="28">
        <f t="shared" si="6"/>
        <v>0.24986753964349254</v>
      </c>
      <c r="G18" s="28">
        <f t="shared" si="6"/>
        <v>0.24402120622891427</v>
      </c>
      <c r="H18" s="28">
        <f t="shared" si="6"/>
        <v>0.25825340509335809</v>
      </c>
      <c r="I18" s="28">
        <f t="shared" si="6"/>
        <v>0.27601231921177277</v>
      </c>
      <c r="J18" s="28">
        <f t="shared" si="6"/>
        <v>0.26890740199577462</v>
      </c>
      <c r="K18" s="28">
        <f t="shared" si="6"/>
        <v>0.24286521756376186</v>
      </c>
      <c r="L18" s="28">
        <f t="shared" si="6"/>
        <v>0.27371285883663277</v>
      </c>
      <c r="M18" s="28">
        <f t="shared" si="6"/>
        <v>0.28347688307467306</v>
      </c>
      <c r="N18" s="28">
        <f t="shared" si="6"/>
        <v>0.282562769155765</v>
      </c>
    </row>
    <row r="19" spans="2:14" x14ac:dyDescent="0.3">
      <c r="B19" s="25" t="s">
        <v>90</v>
      </c>
      <c r="C19" s="25"/>
      <c r="D19" s="26">
        <f t="shared" ref="D19:N19" si="7">D17/D5</f>
        <v>0.26503816408027092</v>
      </c>
      <c r="E19" s="26">
        <f t="shared" si="7"/>
        <v>0.26064797562419162</v>
      </c>
      <c r="F19" s="26">
        <f t="shared" si="7"/>
        <v>0.24986753964349254</v>
      </c>
      <c r="G19" s="26">
        <f t="shared" si="7"/>
        <v>0.24402120622891427</v>
      </c>
      <c r="H19" s="26">
        <f t="shared" si="7"/>
        <v>0.25825340509335809</v>
      </c>
      <c r="I19" s="26">
        <f t="shared" si="7"/>
        <v>0.27601231921177277</v>
      </c>
      <c r="J19" s="26">
        <f t="shared" si="7"/>
        <v>0.26890740199577462</v>
      </c>
      <c r="K19" s="26">
        <f t="shared" si="7"/>
        <v>0.24286521756376186</v>
      </c>
      <c r="L19" s="26">
        <f t="shared" si="7"/>
        <v>0.27371285883663277</v>
      </c>
      <c r="M19" s="26">
        <f t="shared" si="7"/>
        <v>0.28347688307467306</v>
      </c>
      <c r="N19" s="26">
        <f t="shared" si="7"/>
        <v>0.282562769155765</v>
      </c>
    </row>
    <row r="21" spans="2:14" x14ac:dyDescent="0.3">
      <c r="B21" t="s">
        <v>10</v>
      </c>
      <c r="D21" s="27">
        <f>IFERROR('Data Sheet'!B27,0)</f>
        <v>0.5</v>
      </c>
      <c r="E21" s="27">
        <f>IFERROR('Data Sheet'!C27,0)</f>
        <v>0.7</v>
      </c>
      <c r="F21" s="27">
        <f>IFERROR('Data Sheet'!D27,0)</f>
        <v>0.84</v>
      </c>
      <c r="G21" s="27">
        <f>IFERROR('Data Sheet'!E27,0)</f>
        <v>0.84</v>
      </c>
      <c r="H21" s="27">
        <f>IFERROR('Data Sheet'!F27,0)</f>
        <v>15.31</v>
      </c>
      <c r="I21" s="27">
        <f>IFERROR('Data Sheet'!G27,0)</f>
        <v>16</v>
      </c>
      <c r="J21" s="27">
        <f>IFERROR('Data Sheet'!H27,0)</f>
        <v>30.18</v>
      </c>
      <c r="K21" s="27">
        <f>IFERROR('Data Sheet'!I27,0)</f>
        <v>37.53</v>
      </c>
      <c r="L21" s="27">
        <f>IFERROR('Data Sheet'!J27,0)</f>
        <v>29.36</v>
      </c>
      <c r="M21" s="27">
        <f>IFERROR('Data Sheet'!K27,0)</f>
        <v>22.31</v>
      </c>
      <c r="N21" s="27">
        <f>IFERROR('Data Sheet'!L27,0)</f>
        <v>0</v>
      </c>
    </row>
    <row r="22" spans="2:14" x14ac:dyDescent="0.3">
      <c r="B22" s="25" t="s">
        <v>91</v>
      </c>
      <c r="C22" s="25"/>
      <c r="D22" s="28">
        <f t="shared" ref="D22:N22" si="8">D21/D5</f>
        <v>6.3185563362482932E-4</v>
      </c>
      <c r="E22" s="28">
        <f t="shared" si="8"/>
        <v>7.6722418290624511E-4</v>
      </c>
      <c r="F22" s="28">
        <f t="shared" si="8"/>
        <v>7.9476213904552842E-4</v>
      </c>
      <c r="G22" s="28">
        <f t="shared" si="8"/>
        <v>6.9801066959166368E-4</v>
      </c>
      <c r="H22" s="28">
        <f t="shared" si="8"/>
        <v>1.1508163203944799E-2</v>
      </c>
      <c r="I22" s="28">
        <f t="shared" si="8"/>
        <v>1.0118449094715008E-2</v>
      </c>
      <c r="J22" s="28">
        <f t="shared" si="8"/>
        <v>1.4458108373534668E-2</v>
      </c>
      <c r="K22" s="28">
        <f t="shared" si="8"/>
        <v>1.860794891118956E-2</v>
      </c>
      <c r="L22" s="28">
        <f t="shared" si="8"/>
        <v>1.3185786656127619E-2</v>
      </c>
      <c r="M22" s="28">
        <f t="shared" si="8"/>
        <v>9.0639473470382707E-3</v>
      </c>
      <c r="N22" s="28">
        <f t="shared" si="8"/>
        <v>0</v>
      </c>
    </row>
    <row r="24" spans="2:14" x14ac:dyDescent="0.3">
      <c r="B24" t="s">
        <v>9</v>
      </c>
      <c r="D24" s="27">
        <f>IFERROR('Data Sheet'!B26,0)</f>
        <v>28.28</v>
      </c>
      <c r="E24" s="27">
        <f>IFERROR('Data Sheet'!C26,0)</f>
        <v>27.54</v>
      </c>
      <c r="F24" s="27">
        <f>IFERROR('Data Sheet'!D26,0)</f>
        <v>33.06</v>
      </c>
      <c r="G24" s="27">
        <f>IFERROR('Data Sheet'!E26,0)</f>
        <v>38.22</v>
      </c>
      <c r="H24" s="27">
        <f>IFERROR('Data Sheet'!F26,0)</f>
        <v>72.81</v>
      </c>
      <c r="I24" s="27">
        <f>IFERROR('Data Sheet'!G26,0)</f>
        <v>77.2</v>
      </c>
      <c r="J24" s="27">
        <f>IFERROR('Data Sheet'!H26,0)</f>
        <v>108.11</v>
      </c>
      <c r="K24" s="27">
        <f>IFERROR('Data Sheet'!I26,0)</f>
        <v>150.19</v>
      </c>
      <c r="L24" s="27">
        <f>IFERROR('Data Sheet'!J26,0)</f>
        <v>143.6</v>
      </c>
      <c r="M24" s="27">
        <f>IFERROR('Data Sheet'!K26,0)</f>
        <v>141.91999999999999</v>
      </c>
      <c r="N24" s="27">
        <f>IFERROR(SUM('Data Sheet'!H45:K45),0)</f>
        <v>141.9</v>
      </c>
    </row>
    <row r="25" spans="2:14" x14ac:dyDescent="0.3">
      <c r="B25" s="25" t="s">
        <v>92</v>
      </c>
      <c r="D25" s="28">
        <f t="shared" ref="D25:N25" si="9">D24/D5</f>
        <v>3.5737754637820349E-2</v>
      </c>
      <c r="E25" s="28">
        <f t="shared" si="9"/>
        <v>3.0184791424625705E-2</v>
      </c>
      <c r="F25" s="28">
        <f t="shared" si="9"/>
        <v>3.1279567043863303E-2</v>
      </c>
      <c r="G25" s="28">
        <f t="shared" si="9"/>
        <v>3.1759485466420698E-2</v>
      </c>
      <c r="H25" s="28">
        <f t="shared" si="9"/>
        <v>5.4729546889563732E-2</v>
      </c>
      <c r="I25" s="28">
        <f t="shared" si="9"/>
        <v>4.8821516881999913E-2</v>
      </c>
      <c r="J25" s="28">
        <f t="shared" si="9"/>
        <v>5.1791454481869878E-2</v>
      </c>
      <c r="K25" s="28">
        <f t="shared" si="9"/>
        <v>7.4466502717067937E-2</v>
      </c>
      <c r="L25" s="28">
        <f t="shared" si="9"/>
        <v>6.4491790320842166E-2</v>
      </c>
      <c r="M25" s="28">
        <f t="shared" si="9"/>
        <v>5.7658243276184275E-2</v>
      </c>
      <c r="N25" s="28">
        <f t="shared" si="9"/>
        <v>5.7650117819127329E-2</v>
      </c>
    </row>
    <row r="27" spans="2:14" x14ac:dyDescent="0.3">
      <c r="B27" s="47" t="s">
        <v>93</v>
      </c>
      <c r="C27" s="47"/>
      <c r="D27" s="49">
        <f>IFERROR(D17-SUM(D21,D24),0)</f>
        <v>180.95000000000002</v>
      </c>
      <c r="E27" s="49">
        <f t="shared" ref="E27:N27" si="10">IFERROR(E17-SUM(E21,E24),0)</f>
        <v>209.56999999999994</v>
      </c>
      <c r="F27" s="49">
        <f t="shared" si="10"/>
        <v>230.19000000000014</v>
      </c>
      <c r="G27" s="49">
        <f t="shared" si="10"/>
        <v>254.60000000000002</v>
      </c>
      <c r="H27" s="49">
        <f t="shared" si="10"/>
        <v>255.44999999999982</v>
      </c>
      <c r="I27" s="49">
        <f t="shared" si="10"/>
        <v>343.24999999999994</v>
      </c>
      <c r="J27" s="49">
        <f t="shared" si="10"/>
        <v>423.02999999999986</v>
      </c>
      <c r="K27" s="49">
        <f t="shared" si="10"/>
        <v>302.11</v>
      </c>
      <c r="L27" s="49">
        <f t="shared" si="10"/>
        <v>436.49999999999994</v>
      </c>
      <c r="M27" s="49">
        <f t="shared" si="10"/>
        <v>533.52000000000021</v>
      </c>
      <c r="N27" s="49">
        <f t="shared" si="10"/>
        <v>553.6</v>
      </c>
    </row>
    <row r="28" spans="2:14" x14ac:dyDescent="0.3">
      <c r="B28" s="25" t="s">
        <v>94</v>
      </c>
      <c r="C28" s="25"/>
      <c r="D28" s="28">
        <f t="shared" ref="D28:N28" si="11">D27/D5</f>
        <v>0.22866855380882575</v>
      </c>
      <c r="E28" s="28">
        <f t="shared" si="11"/>
        <v>0.22969596001665965</v>
      </c>
      <c r="F28" s="28">
        <f t="shared" si="11"/>
        <v>0.2177932104605837</v>
      </c>
      <c r="G28" s="28">
        <f t="shared" si="11"/>
        <v>0.2115637100929019</v>
      </c>
      <c r="H28" s="28">
        <f t="shared" si="11"/>
        <v>0.19201569499984955</v>
      </c>
      <c r="I28" s="28">
        <f t="shared" si="11"/>
        <v>0.21707235323505786</v>
      </c>
      <c r="J28" s="28">
        <f t="shared" si="11"/>
        <v>0.20265783914037008</v>
      </c>
      <c r="K28" s="28">
        <f t="shared" si="11"/>
        <v>0.14979076593550433</v>
      </c>
      <c r="L28" s="28">
        <f t="shared" si="11"/>
        <v>0.19603528185966299</v>
      </c>
      <c r="M28" s="28">
        <f t="shared" si="11"/>
        <v>0.21675469245145046</v>
      </c>
      <c r="N28" s="28">
        <f t="shared" si="11"/>
        <v>0.22491265133663768</v>
      </c>
    </row>
    <row r="30" spans="2:14" x14ac:dyDescent="0.3">
      <c r="B30" t="s">
        <v>12</v>
      </c>
      <c r="D30" s="24">
        <f>IFERROR('Data Sheet'!B29,0)</f>
        <v>67.48</v>
      </c>
      <c r="E30" s="24">
        <f>IFERROR('Data Sheet'!C29,0)</f>
        <v>81.23</v>
      </c>
      <c r="F30" s="24">
        <f>IFERROR('Data Sheet'!D29,0)</f>
        <v>89.57</v>
      </c>
      <c r="G30" s="24">
        <f>IFERROR('Data Sheet'!E29,0)</f>
        <v>100.08</v>
      </c>
      <c r="H30" s="24">
        <f>IFERROR('Data Sheet'!F29,0)</f>
        <v>82.91</v>
      </c>
      <c r="I30" s="24">
        <f>IFERROR('Data Sheet'!G29,0)</f>
        <v>97.93</v>
      </c>
      <c r="J30" s="24">
        <f>IFERROR('Data Sheet'!H29,0)</f>
        <v>124.69</v>
      </c>
      <c r="K30" s="24">
        <f>IFERROR('Data Sheet'!I29,0)</f>
        <v>102.75</v>
      </c>
      <c r="L30" s="24">
        <f>IFERROR('Data Sheet'!J29,0)</f>
        <v>143.16</v>
      </c>
      <c r="M30" s="24">
        <f>IFERROR('Data Sheet'!K29,0)</f>
        <v>132.55000000000001</v>
      </c>
      <c r="N30" s="24">
        <f>IFERROR(SUM('Data Sheet'!H48:K48),0)</f>
        <v>132.50000000000003</v>
      </c>
    </row>
    <row r="31" spans="2:14" x14ac:dyDescent="0.3">
      <c r="B31" s="25" t="s">
        <v>96</v>
      </c>
      <c r="C31" s="25"/>
      <c r="D31" s="26">
        <f>D30/D27</f>
        <v>0.37292069632495162</v>
      </c>
      <c r="E31" s="26">
        <f t="shared" ref="E31:N31" si="12">E30/E27</f>
        <v>0.38760318747912403</v>
      </c>
      <c r="F31" s="26">
        <f t="shared" si="12"/>
        <v>0.38911334115296031</v>
      </c>
      <c r="G31" s="26">
        <f t="shared" si="12"/>
        <v>0.39308719560094263</v>
      </c>
      <c r="H31" s="26">
        <f t="shared" si="12"/>
        <v>0.32456449403014309</v>
      </c>
      <c r="I31" s="26">
        <f t="shared" si="12"/>
        <v>0.28530225782957036</v>
      </c>
      <c r="J31" s="26">
        <f t="shared" si="12"/>
        <v>0.29475450913646795</v>
      </c>
      <c r="K31" s="26">
        <f t="shared" si="12"/>
        <v>0.34010790771573268</v>
      </c>
      <c r="L31" s="26">
        <f t="shared" si="12"/>
        <v>0.3279725085910653</v>
      </c>
      <c r="M31" s="26">
        <f t="shared" si="12"/>
        <v>0.24844429449692601</v>
      </c>
      <c r="N31" s="26">
        <f t="shared" si="12"/>
        <v>0.23934248554913298</v>
      </c>
    </row>
    <row r="33" spans="1:14" x14ac:dyDescent="0.3">
      <c r="B33" s="47" t="s">
        <v>97</v>
      </c>
      <c r="C33" s="47"/>
      <c r="D33" s="49">
        <f>IFERROR(D27-D30,0)</f>
        <v>113.47000000000001</v>
      </c>
      <c r="E33" s="49">
        <f t="shared" ref="E33:N33" si="13">IFERROR(E27-E30,0)</f>
        <v>128.33999999999992</v>
      </c>
      <c r="F33" s="49">
        <f t="shared" si="13"/>
        <v>140.62000000000015</v>
      </c>
      <c r="G33" s="49">
        <f t="shared" si="13"/>
        <v>154.52000000000004</v>
      </c>
      <c r="H33" s="49">
        <f t="shared" si="13"/>
        <v>172.53999999999982</v>
      </c>
      <c r="I33" s="49">
        <f t="shared" si="13"/>
        <v>245.31999999999994</v>
      </c>
      <c r="J33" s="49">
        <f t="shared" si="13"/>
        <v>298.33999999999986</v>
      </c>
      <c r="K33" s="49">
        <f t="shared" si="13"/>
        <v>199.36</v>
      </c>
      <c r="L33" s="49">
        <f t="shared" si="13"/>
        <v>293.33999999999992</v>
      </c>
      <c r="M33" s="49">
        <f t="shared" si="13"/>
        <v>400.9700000000002</v>
      </c>
      <c r="N33" s="49">
        <f t="shared" si="13"/>
        <v>421.1</v>
      </c>
    </row>
    <row r="34" spans="1:14" x14ac:dyDescent="0.3">
      <c r="B34" s="26" t="s">
        <v>98</v>
      </c>
      <c r="C34" s="26"/>
      <c r="D34" s="26">
        <f t="shared" ref="D34:N34" si="14">D33/D5</f>
        <v>0.14339331749481879</v>
      </c>
      <c r="E34" s="26">
        <f t="shared" si="14"/>
        <v>0.14066507376312493</v>
      </c>
      <c r="F34" s="26">
        <f t="shared" si="14"/>
        <v>0.13304696665783611</v>
      </c>
      <c r="G34" s="26">
        <f t="shared" si="14"/>
        <v>0.12840072460155227</v>
      </c>
      <c r="H34" s="26">
        <f t="shared" si="14"/>
        <v>0.1296942181063771</v>
      </c>
      <c r="I34" s="26">
        <f t="shared" si="14"/>
        <v>0.15514112074471781</v>
      </c>
      <c r="J34" s="26">
        <f t="shared" si="14"/>
        <v>0.142923527241893</v>
      </c>
      <c r="K34" s="26">
        <f t="shared" si="14"/>
        <v>9.8845741938042922E-2</v>
      </c>
      <c r="L34" s="26">
        <f t="shared" si="14"/>
        <v>0.13174109869579273</v>
      </c>
      <c r="M34" s="26">
        <f t="shared" si="14"/>
        <v>0.1629032258064517</v>
      </c>
      <c r="N34" s="26">
        <f t="shared" si="14"/>
        <v>0.1710814983342813</v>
      </c>
    </row>
    <row r="36" spans="1:14" x14ac:dyDescent="0.3">
      <c r="B36" s="24" t="s">
        <v>63</v>
      </c>
      <c r="C36" s="24"/>
      <c r="D36" s="24">
        <f>IFERROR('Data Sheet'!B93,0)</f>
        <v>8.27</v>
      </c>
      <c r="E36" s="24">
        <f>IFERROR('Data Sheet'!C93,0)</f>
        <v>8.31</v>
      </c>
      <c r="F36" s="24">
        <f>IFERROR('Data Sheet'!D93,0)</f>
        <v>8.33</v>
      </c>
      <c r="G36" s="24">
        <f>IFERROR('Data Sheet'!E93,0)</f>
        <v>8.33</v>
      </c>
      <c r="H36" s="24">
        <f>IFERROR('Data Sheet'!F93,0)</f>
        <v>8.33</v>
      </c>
      <c r="I36" s="24">
        <f>IFERROR('Data Sheet'!G93,0)</f>
        <v>8.33</v>
      </c>
      <c r="J36" s="24">
        <f>IFERROR('Data Sheet'!H93,0)</f>
        <v>8.33</v>
      </c>
      <c r="K36" s="24">
        <f>IFERROR('Data Sheet'!I93,0)</f>
        <v>8.34</v>
      </c>
      <c r="L36" s="24">
        <f>IFERROR('Data Sheet'!J93,0)</f>
        <v>8.35</v>
      </c>
      <c r="M36" s="24">
        <f>IFERROR('Data Sheet'!K93,0)</f>
        <v>8.36</v>
      </c>
    </row>
    <row r="38" spans="1:14" x14ac:dyDescent="0.3">
      <c r="B38" t="s">
        <v>99</v>
      </c>
      <c r="D38" s="24">
        <f>IFERROR(D33/D36,0)</f>
        <v>13.720677146311973</v>
      </c>
      <c r="E38" s="24">
        <f t="shared" ref="E38:M38" si="15">IFERROR(E33/E36,0)</f>
        <v>15.444043321299628</v>
      </c>
      <c r="F38" s="24">
        <f t="shared" si="15"/>
        <v>16.88115246098441</v>
      </c>
      <c r="G38" s="24">
        <f t="shared" si="15"/>
        <v>18.549819927971193</v>
      </c>
      <c r="H38" s="24">
        <f t="shared" si="15"/>
        <v>20.713085234093615</v>
      </c>
      <c r="I38" s="24">
        <f t="shared" si="15"/>
        <v>29.450180072028804</v>
      </c>
      <c r="J38" s="24">
        <f t="shared" si="15"/>
        <v>35.815126050420155</v>
      </c>
      <c r="K38" s="24">
        <f t="shared" si="15"/>
        <v>23.904076738609113</v>
      </c>
      <c r="L38" s="24">
        <f t="shared" si="15"/>
        <v>35.130538922155679</v>
      </c>
      <c r="M38" s="24">
        <f t="shared" si="15"/>
        <v>47.962918660287109</v>
      </c>
    </row>
    <row r="39" spans="1:14" x14ac:dyDescent="0.3">
      <c r="B39" s="26" t="s">
        <v>101</v>
      </c>
      <c r="C39" s="26"/>
      <c r="D39" s="26"/>
      <c r="E39" s="26">
        <f>E38/D38-1</f>
        <v>0.12560358039259634</v>
      </c>
      <c r="F39" s="26">
        <f t="shared" ref="F39:M39" si="16">F38/E38-1</f>
        <v>9.305264882951958E-2</v>
      </c>
      <c r="G39" s="26">
        <f t="shared" si="16"/>
        <v>9.884795903854271E-2</v>
      </c>
      <c r="H39" s="26">
        <f t="shared" si="16"/>
        <v>0.11661920786953006</v>
      </c>
      <c r="I39" s="26">
        <f t="shared" si="16"/>
        <v>0.42181523125072573</v>
      </c>
      <c r="J39" s="26">
        <f t="shared" si="16"/>
        <v>0.2161258764063263</v>
      </c>
      <c r="K39" s="26">
        <f t="shared" si="16"/>
        <v>-0.3325703585418851</v>
      </c>
      <c r="L39" s="26">
        <f t="shared" si="16"/>
        <v>0.46964634134619954</v>
      </c>
      <c r="M39" s="26">
        <f t="shared" si="16"/>
        <v>0.36527705329446203</v>
      </c>
    </row>
    <row r="40" spans="1:14" x14ac:dyDescent="0.3"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</row>
    <row r="41" spans="1:14" x14ac:dyDescent="0.3">
      <c r="B41" t="s">
        <v>100</v>
      </c>
      <c r="D41" s="24">
        <f>IFERROR('Data Sheet'!B31/'Historical FS'!D36,0)</f>
        <v>2.4498186215235793</v>
      </c>
      <c r="E41" s="24">
        <f>IFERROR('Data Sheet'!C31/'Historical FS'!E36,0)</f>
        <v>2.9987966305655838</v>
      </c>
      <c r="F41" s="24">
        <f>IFERROR('Data Sheet'!D31/'Historical FS'!F36,0)</f>
        <v>4.5018007202881156</v>
      </c>
      <c r="G41" s="24">
        <f>IFERROR('Data Sheet'!E31/'Historical FS'!G36,0)</f>
        <v>6.0024009603841533</v>
      </c>
      <c r="H41" s="24">
        <f>IFERROR('Data Sheet'!F31/'Historical FS'!H36,0)</f>
        <v>12.007202881152461</v>
      </c>
      <c r="I41" s="24">
        <f>IFERROR('Data Sheet'!G31/'Historical FS'!I36,0)</f>
        <v>20.012004801920767</v>
      </c>
      <c r="J41" s="24">
        <f>IFERROR('Data Sheet'!H31/'Historical FS'!J36,0)</f>
        <v>12.007202881152461</v>
      </c>
      <c r="K41" s="24">
        <f>IFERROR('Data Sheet'!I31/'Historical FS'!K36,0)</f>
        <v>5.9976019184652287</v>
      </c>
      <c r="L41" s="24">
        <f>IFERROR('Data Sheet'!J31/'Historical FS'!L36,0)</f>
        <v>0</v>
      </c>
      <c r="M41" s="24">
        <f>IFERROR('Data Sheet'!K31/'Historical FS'!M36,0)</f>
        <v>0</v>
      </c>
    </row>
    <row r="42" spans="1:14" x14ac:dyDescent="0.3">
      <c r="B42" s="26" t="s">
        <v>102</v>
      </c>
      <c r="C42" s="26"/>
      <c r="D42" s="26">
        <f>IFERROR(D41/D38,0)</f>
        <v>0.17854939631620692</v>
      </c>
      <c r="E42" s="26">
        <f t="shared" ref="E42:M42" si="17">IFERROR(E41/E38,0)</f>
        <v>0.19417173133863191</v>
      </c>
      <c r="F42" s="26">
        <f t="shared" si="17"/>
        <v>0.26667614848527926</v>
      </c>
      <c r="G42" s="26">
        <f t="shared" si="17"/>
        <v>0.32358270774009829</v>
      </c>
      <c r="H42" s="26">
        <f t="shared" si="17"/>
        <v>0.57969166570070774</v>
      </c>
      <c r="I42" s="26">
        <f t="shared" si="17"/>
        <v>0.67952062612098496</v>
      </c>
      <c r="J42" s="26">
        <f t="shared" si="17"/>
        <v>0.33525507809881355</v>
      </c>
      <c r="K42" s="26">
        <f t="shared" si="17"/>
        <v>0.2509028892455859</v>
      </c>
      <c r="L42" s="26">
        <f t="shared" si="17"/>
        <v>0</v>
      </c>
      <c r="M42" s="26">
        <f t="shared" si="17"/>
        <v>0</v>
      </c>
    </row>
    <row r="44" spans="1:14" x14ac:dyDescent="0.3">
      <c r="B44" s="30" t="s">
        <v>103</v>
      </c>
      <c r="D44" s="29">
        <f>IFERROR(IF(D41&lt;D38,1-D41/D38,0),0)</f>
        <v>0.82145060368379308</v>
      </c>
      <c r="E44" s="29">
        <f t="shared" ref="E44:M44" si="18">IFERROR(IF(E41&lt;E38,1-E41/E38,0),0)</f>
        <v>0.80582826866136803</v>
      </c>
      <c r="F44" s="29">
        <f t="shared" si="18"/>
        <v>0.73332385151472068</v>
      </c>
      <c r="G44" s="29">
        <f t="shared" si="18"/>
        <v>0.67641729225990166</v>
      </c>
      <c r="H44" s="29">
        <f t="shared" si="18"/>
        <v>0.42030833429929226</v>
      </c>
      <c r="I44" s="29">
        <f t="shared" si="18"/>
        <v>0.32047937387901504</v>
      </c>
      <c r="J44" s="29">
        <f t="shared" si="18"/>
        <v>0.6647449219011865</v>
      </c>
      <c r="K44" s="29">
        <f t="shared" si="18"/>
        <v>0.7490971107544141</v>
      </c>
      <c r="L44" s="29">
        <f t="shared" si="18"/>
        <v>1</v>
      </c>
      <c r="M44" s="29">
        <f t="shared" si="18"/>
        <v>1</v>
      </c>
    </row>
    <row r="47" spans="1:14" x14ac:dyDescent="0.3">
      <c r="A47" t="s">
        <v>82</v>
      </c>
      <c r="B47" s="45" t="s">
        <v>104</v>
      </c>
      <c r="C47" s="45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</row>
    <row r="48" spans="1:14" x14ac:dyDescent="0.3">
      <c r="B48" s="6" t="s">
        <v>23</v>
      </c>
      <c r="D48" s="24">
        <f>IFERROR('Data Sheet'!B57,0)</f>
        <v>82.68</v>
      </c>
      <c r="E48" s="24">
        <f>IFERROR('Data Sheet'!C57,0)</f>
        <v>83.07</v>
      </c>
      <c r="F48" s="24">
        <f>IFERROR('Data Sheet'!D57,0)</f>
        <v>83.33</v>
      </c>
      <c r="G48" s="24">
        <f>IFERROR('Data Sheet'!E57,0)</f>
        <v>83.34</v>
      </c>
      <c r="H48" s="24">
        <f>IFERROR('Data Sheet'!F57,0)</f>
        <v>83.35</v>
      </c>
      <c r="I48" s="24">
        <f>IFERROR('Data Sheet'!G57,0)</f>
        <v>83.35</v>
      </c>
      <c r="J48" s="24">
        <f>IFERROR('Data Sheet'!H57,0)</f>
        <v>83.35</v>
      </c>
      <c r="K48" s="24">
        <f>IFERROR('Data Sheet'!I57,0)</f>
        <v>83.37</v>
      </c>
      <c r="L48" s="24">
        <f>IFERROR('Data Sheet'!J57,0)</f>
        <v>83.48</v>
      </c>
      <c r="M48" s="24">
        <f>IFERROR('Data Sheet'!K57,0)</f>
        <v>83.59</v>
      </c>
    </row>
    <row r="49" spans="1:13" x14ac:dyDescent="0.3">
      <c r="B49" s="6" t="s">
        <v>24</v>
      </c>
      <c r="D49" s="24">
        <f>IFERROR('Data Sheet'!B58,0)</f>
        <v>424.67</v>
      </c>
      <c r="E49" s="24">
        <f>IFERROR('Data Sheet'!C58,0)</f>
        <v>512.45000000000005</v>
      </c>
      <c r="F49" s="24">
        <f>IFERROR('Data Sheet'!D58,0)</f>
        <v>704.52</v>
      </c>
      <c r="G49" s="24">
        <f>IFERROR('Data Sheet'!E58,0)</f>
        <v>862.15</v>
      </c>
      <c r="H49" s="24">
        <f>IFERROR('Data Sheet'!F58,0)</f>
        <v>949.47</v>
      </c>
      <c r="I49" s="24">
        <f>IFERROR('Data Sheet'!G58,0)</f>
        <v>1161.71</v>
      </c>
      <c r="J49" s="24">
        <f>IFERROR('Data Sheet'!H58,0)</f>
        <v>1418.26</v>
      </c>
      <c r="K49" s="24">
        <f>IFERROR('Data Sheet'!I58,0)</f>
        <v>1582.93</v>
      </c>
      <c r="L49" s="24">
        <f>IFERROR('Data Sheet'!J58,0)</f>
        <v>1765.81</v>
      </c>
      <c r="M49" s="24">
        <f>IFERROR('Data Sheet'!K58,0)</f>
        <v>2089.12</v>
      </c>
    </row>
    <row r="50" spans="1:13" x14ac:dyDescent="0.3">
      <c r="B50" s="6" t="s">
        <v>60</v>
      </c>
      <c r="D50" s="24">
        <f>IFERROR('Data Sheet'!B59,0)</f>
        <v>0</v>
      </c>
      <c r="E50" s="24">
        <f>IFERROR('Data Sheet'!C59,0)</f>
        <v>0</v>
      </c>
      <c r="F50" s="24">
        <f>IFERROR('Data Sheet'!D59,0)</f>
        <v>0</v>
      </c>
      <c r="G50" s="24">
        <f>IFERROR('Data Sheet'!E59,0)</f>
        <v>0</v>
      </c>
      <c r="H50" s="24">
        <f>IFERROR('Data Sheet'!F59,0)</f>
        <v>0</v>
      </c>
      <c r="I50" s="24">
        <f>IFERROR('Data Sheet'!G59,0)</f>
        <v>150.49</v>
      </c>
      <c r="J50" s="24">
        <f>IFERROR('Data Sheet'!H59,0)</f>
        <v>532.57000000000005</v>
      </c>
      <c r="K50" s="24">
        <f>IFERROR('Data Sheet'!I59,0)</f>
        <v>419.5</v>
      </c>
      <c r="L50" s="24">
        <f>IFERROR('Data Sheet'!J59,0)</f>
        <v>246.93</v>
      </c>
      <c r="M50" s="24">
        <f>IFERROR('Data Sheet'!K59,0)</f>
        <v>157.43</v>
      </c>
    </row>
    <row r="51" spans="1:13" x14ac:dyDescent="0.3">
      <c r="B51" s="6" t="s">
        <v>61</v>
      </c>
      <c r="D51" s="24">
        <f>IFERROR('Data Sheet'!B60,0)</f>
        <v>117.88</v>
      </c>
      <c r="E51" s="24">
        <f>IFERROR('Data Sheet'!C60,0)</f>
        <v>94.56</v>
      </c>
      <c r="F51" s="24">
        <f>IFERROR('Data Sheet'!D60,0)</f>
        <v>127.7</v>
      </c>
      <c r="G51" s="24">
        <f>IFERROR('Data Sheet'!E60,0)</f>
        <v>145.02000000000001</v>
      </c>
      <c r="H51" s="24">
        <f>IFERROR('Data Sheet'!F60,0)</f>
        <v>341.49</v>
      </c>
      <c r="I51" s="24">
        <f>IFERROR('Data Sheet'!G60,0)</f>
        <v>265.02</v>
      </c>
      <c r="J51" s="24">
        <f>IFERROR('Data Sheet'!H60,0)</f>
        <v>308.52999999999997</v>
      </c>
      <c r="K51" s="24">
        <f>IFERROR('Data Sheet'!I60,0)</f>
        <v>296.82</v>
      </c>
      <c r="L51" s="24">
        <f>IFERROR('Data Sheet'!J60,0)</f>
        <v>357.35</v>
      </c>
      <c r="M51" s="24">
        <f>IFERROR('Data Sheet'!K60,0)</f>
        <v>383.28</v>
      </c>
    </row>
    <row r="52" spans="1:13" ht="15" thickBot="1" x14ac:dyDescent="0.35">
      <c r="A52" s="52"/>
      <c r="B52" s="53" t="s">
        <v>105</v>
      </c>
      <c r="C52" s="54"/>
      <c r="D52" s="55">
        <f>IFERROR('Data Sheet'!B61,0)</f>
        <v>625.23</v>
      </c>
      <c r="E52" s="55">
        <f>IFERROR('Data Sheet'!C61,0)</f>
        <v>690.08</v>
      </c>
      <c r="F52" s="55">
        <f>IFERROR('Data Sheet'!D61,0)</f>
        <v>915.55</v>
      </c>
      <c r="G52" s="55">
        <f>IFERROR('Data Sheet'!E61,0)</f>
        <v>1090.51</v>
      </c>
      <c r="H52" s="55">
        <f>IFERROR('Data Sheet'!F61,0)</f>
        <v>1374.31</v>
      </c>
      <c r="I52" s="55">
        <f>IFERROR('Data Sheet'!G61,0)</f>
        <v>1660.57</v>
      </c>
      <c r="J52" s="55">
        <f>IFERROR('Data Sheet'!H61,0)</f>
        <v>2342.71</v>
      </c>
      <c r="K52" s="55">
        <f>IFERROR('Data Sheet'!I61,0)</f>
        <v>2382.62</v>
      </c>
      <c r="L52" s="55">
        <f>IFERROR('Data Sheet'!J61,0)</f>
        <v>2453.5700000000002</v>
      </c>
      <c r="M52" s="55">
        <f>IFERROR('Data Sheet'!K61,0)</f>
        <v>2713.42</v>
      </c>
    </row>
    <row r="53" spans="1:13" x14ac:dyDescent="0.3">
      <c r="B53" s="1"/>
    </row>
    <row r="54" spans="1:13" x14ac:dyDescent="0.3">
      <c r="B54" s="6" t="s">
        <v>107</v>
      </c>
      <c r="D54" s="24">
        <f>IFERROR('Data Sheet'!B62,0)</f>
        <v>165.64</v>
      </c>
      <c r="E54" s="24">
        <f>IFERROR('Data Sheet'!C62,0)</f>
        <v>152.43</v>
      </c>
      <c r="F54" s="24">
        <f>IFERROR('Data Sheet'!D62,0)</f>
        <v>207.52</v>
      </c>
      <c r="G54" s="24">
        <f>IFERROR('Data Sheet'!E62,0)</f>
        <v>208.66</v>
      </c>
      <c r="H54" s="24">
        <f>IFERROR('Data Sheet'!F62,0)</f>
        <v>413.02</v>
      </c>
      <c r="I54" s="24">
        <f>IFERROR('Data Sheet'!G62,0)</f>
        <v>447.26</v>
      </c>
      <c r="J54" s="24">
        <f>IFERROR('Data Sheet'!H62,0)</f>
        <v>1368.81</v>
      </c>
      <c r="K54" s="24">
        <f>IFERROR('Data Sheet'!I62,0)</f>
        <v>1305.06</v>
      </c>
      <c r="L54" s="24">
        <f>IFERROR('Data Sheet'!J62,0)</f>
        <v>1227.53</v>
      </c>
      <c r="M54" s="24">
        <f>IFERROR('Data Sheet'!K62,0)</f>
        <v>1168.3499999999999</v>
      </c>
    </row>
    <row r="55" spans="1:13" x14ac:dyDescent="0.3">
      <c r="B55" s="6" t="s">
        <v>27</v>
      </c>
      <c r="D55" s="24">
        <f>IFERROR('Data Sheet'!B63,0)</f>
        <v>4.09</v>
      </c>
      <c r="E55" s="24">
        <f>IFERROR('Data Sheet'!C63,0)</f>
        <v>17.510000000000002</v>
      </c>
      <c r="F55" s="24">
        <f>IFERROR('Data Sheet'!D63,0)</f>
        <v>9.56</v>
      </c>
      <c r="G55" s="24">
        <f>IFERROR('Data Sheet'!E63,0)</f>
        <v>3.44</v>
      </c>
      <c r="H55" s="24">
        <f>IFERROR('Data Sheet'!F63,0)</f>
        <v>11.38</v>
      </c>
      <c r="I55" s="24">
        <f>IFERROR('Data Sheet'!G63,0)</f>
        <v>9.61</v>
      </c>
      <c r="J55" s="24">
        <f>IFERROR('Data Sheet'!H63,0)</f>
        <v>15</v>
      </c>
      <c r="K55" s="24">
        <f>IFERROR('Data Sheet'!I63,0)</f>
        <v>4.9400000000000004</v>
      </c>
      <c r="L55" s="24">
        <f>IFERROR('Data Sheet'!J63,0)</f>
        <v>5.65</v>
      </c>
      <c r="M55" s="24">
        <f>IFERROR('Data Sheet'!K63,0)</f>
        <v>3.48</v>
      </c>
    </row>
    <row r="56" spans="1:13" x14ac:dyDescent="0.3">
      <c r="B56" s="6" t="s">
        <v>28</v>
      </c>
      <c r="D56" s="24">
        <f>IFERROR('Data Sheet'!B64,0)</f>
        <v>64.319999999999993</v>
      </c>
      <c r="E56" s="24">
        <f>IFERROR('Data Sheet'!C64,0)</f>
        <v>106.08</v>
      </c>
      <c r="F56" s="24">
        <f>IFERROR('Data Sheet'!D64,0)</f>
        <v>144.80000000000001</v>
      </c>
      <c r="G56" s="24">
        <f>IFERROR('Data Sheet'!E64,0)</f>
        <v>184.78</v>
      </c>
      <c r="H56" s="24">
        <f>IFERROR('Data Sheet'!F64,0)</f>
        <v>164.28</v>
      </c>
      <c r="I56" s="24">
        <f>IFERROR('Data Sheet'!G64,0)</f>
        <v>59.3</v>
      </c>
      <c r="J56" s="24">
        <f>IFERROR('Data Sheet'!H64,0)</f>
        <v>65.459999999999994</v>
      </c>
      <c r="K56" s="24">
        <f>IFERROR('Data Sheet'!I64,0)</f>
        <v>149.94</v>
      </c>
      <c r="L56" s="24">
        <f>IFERROR('Data Sheet'!J64,0)</f>
        <v>113.78</v>
      </c>
      <c r="M56" s="24">
        <f>IFERROR('Data Sheet'!K64,0)</f>
        <v>326.7</v>
      </c>
    </row>
    <row r="57" spans="1:13" x14ac:dyDescent="0.3">
      <c r="B57" s="6" t="s">
        <v>62</v>
      </c>
      <c r="D57" s="24">
        <f>IFERROR('Data Sheet'!B65-SUM('Data Sheet'!B67:B69),0)</f>
        <v>130.40000000000003</v>
      </c>
      <c r="E57" s="24">
        <f>IFERROR('Data Sheet'!C65-SUM('Data Sheet'!C67:C69),0)</f>
        <v>114.82999999999998</v>
      </c>
      <c r="F57" s="24">
        <f>IFERROR('Data Sheet'!D65-SUM('Data Sheet'!D67:D69),0)</f>
        <v>171.65999999999997</v>
      </c>
      <c r="G57" s="24">
        <f>IFERROR('Data Sheet'!E65-SUM('Data Sheet'!E67:E69),0)</f>
        <v>121.63</v>
      </c>
      <c r="H57" s="24">
        <f>IFERROR('Data Sheet'!F65-SUM('Data Sheet'!F67:F69),0)</f>
        <v>108.15999999999997</v>
      </c>
      <c r="I57" s="24">
        <f>IFERROR('Data Sheet'!G65-SUM('Data Sheet'!G67:G69),0)</f>
        <v>109.11000000000013</v>
      </c>
      <c r="J57" s="24">
        <f>IFERROR('Data Sheet'!H65-SUM('Data Sheet'!H67:H69),0)</f>
        <v>137.91000000000008</v>
      </c>
      <c r="K57" s="24">
        <f>IFERROR('Data Sheet'!I65-SUM('Data Sheet'!I67:I69),0)</f>
        <v>152.63999999999999</v>
      </c>
      <c r="L57" s="24">
        <f>IFERROR('Data Sheet'!J65-SUM('Data Sheet'!J67:J69),0)</f>
        <v>161.58999999999992</v>
      </c>
      <c r="M57" s="24">
        <f>IFERROR('Data Sheet'!K65-SUM('Data Sheet'!K67:K69),0)</f>
        <v>251.96000000000015</v>
      </c>
    </row>
    <row r="58" spans="1:13" x14ac:dyDescent="0.3">
      <c r="B58" s="50" t="s">
        <v>108</v>
      </c>
      <c r="C58" s="51"/>
      <c r="D58" s="49">
        <f>IFERROR(SUM(D54:D57),0)</f>
        <v>364.45000000000005</v>
      </c>
      <c r="E58" s="49">
        <f t="shared" ref="E58:M58" si="19">IFERROR(SUM(E54:E57),0)</f>
        <v>390.84999999999997</v>
      </c>
      <c r="F58" s="49">
        <f t="shared" si="19"/>
        <v>533.54</v>
      </c>
      <c r="G58" s="49">
        <f t="shared" si="19"/>
        <v>518.51</v>
      </c>
      <c r="H58" s="49">
        <f t="shared" si="19"/>
        <v>696.83999999999992</v>
      </c>
      <c r="I58" s="49">
        <f t="shared" si="19"/>
        <v>625.28000000000009</v>
      </c>
      <c r="J58" s="49">
        <f t="shared" si="19"/>
        <v>1587.18</v>
      </c>
      <c r="K58" s="49">
        <f t="shared" si="19"/>
        <v>1612.58</v>
      </c>
      <c r="L58" s="49">
        <f t="shared" si="19"/>
        <v>1508.55</v>
      </c>
      <c r="M58" s="49">
        <f t="shared" si="19"/>
        <v>1750.4900000000002</v>
      </c>
    </row>
    <row r="59" spans="1:13" x14ac:dyDescent="0.3">
      <c r="B59" s="1"/>
    </row>
    <row r="60" spans="1:13" x14ac:dyDescent="0.3">
      <c r="B60" s="6" t="s">
        <v>67</v>
      </c>
      <c r="D60" s="24">
        <f>IFERROR('Data Sheet'!B67,0)</f>
        <v>36.31</v>
      </c>
      <c r="E60" s="24">
        <f>IFERROR('Data Sheet'!C67,0)</f>
        <v>41.8</v>
      </c>
      <c r="F60" s="24">
        <f>IFERROR('Data Sheet'!D67,0)</f>
        <v>41.16</v>
      </c>
      <c r="G60" s="24">
        <f>IFERROR('Data Sheet'!E67,0)</f>
        <v>53.22</v>
      </c>
      <c r="H60" s="24">
        <f>IFERROR('Data Sheet'!F67,0)</f>
        <v>51.39</v>
      </c>
      <c r="I60" s="24">
        <f>IFERROR('Data Sheet'!G67,0)</f>
        <v>66.7</v>
      </c>
      <c r="J60" s="24">
        <f>IFERROR('Data Sheet'!H67,0)</f>
        <v>85.4</v>
      </c>
      <c r="K60" s="24">
        <f>IFERROR('Data Sheet'!I67,0)</f>
        <v>70.819999999999993</v>
      </c>
      <c r="L60" s="24">
        <f>IFERROR('Data Sheet'!J67,0)</f>
        <v>77.400000000000006</v>
      </c>
      <c r="M60" s="24">
        <f>IFERROR('Data Sheet'!K67,0)</f>
        <v>88.12</v>
      </c>
    </row>
    <row r="61" spans="1:13" x14ac:dyDescent="0.3">
      <c r="B61" s="6" t="s">
        <v>43</v>
      </c>
      <c r="D61" s="24">
        <f>IFERROR('Data Sheet'!B68,0)</f>
        <v>14.52</v>
      </c>
      <c r="E61" s="24">
        <f>IFERROR('Data Sheet'!C68,0)</f>
        <v>17.91</v>
      </c>
      <c r="F61" s="24">
        <f>IFERROR('Data Sheet'!D68,0)</f>
        <v>27.34</v>
      </c>
      <c r="G61" s="24">
        <f>IFERROR('Data Sheet'!E68,0)</f>
        <v>28.54</v>
      </c>
      <c r="H61" s="24">
        <f>IFERROR('Data Sheet'!F68,0)</f>
        <v>56.96</v>
      </c>
      <c r="I61" s="24">
        <f>IFERROR('Data Sheet'!G68,0)</f>
        <v>42.56</v>
      </c>
      <c r="J61" s="24">
        <f>IFERROR('Data Sheet'!H68,0)</f>
        <v>52.54</v>
      </c>
      <c r="K61" s="24">
        <f>IFERROR('Data Sheet'!I68,0)</f>
        <v>33.81</v>
      </c>
      <c r="L61" s="24">
        <f>IFERROR('Data Sheet'!J68,0)</f>
        <v>37.31</v>
      </c>
      <c r="M61" s="24">
        <f>IFERROR('Data Sheet'!K68,0)</f>
        <v>36.130000000000003</v>
      </c>
    </row>
    <row r="62" spans="1:13" x14ac:dyDescent="0.3">
      <c r="B62" s="4" t="s">
        <v>76</v>
      </c>
      <c r="D62" s="24">
        <f>IFERROR('Data Sheet'!B69,0)</f>
        <v>209.95</v>
      </c>
      <c r="E62" s="24">
        <f>IFERROR('Data Sheet'!C69,0)</f>
        <v>239.52</v>
      </c>
      <c r="F62" s="24">
        <f>IFERROR('Data Sheet'!D69,0)</f>
        <v>313.51</v>
      </c>
      <c r="G62" s="24">
        <f>IFERROR('Data Sheet'!E69,0)</f>
        <v>490.24</v>
      </c>
      <c r="H62" s="24">
        <f>IFERROR('Data Sheet'!F69,0)</f>
        <v>569.12</v>
      </c>
      <c r="I62" s="24">
        <f>IFERROR('Data Sheet'!G69,0)</f>
        <v>926.03</v>
      </c>
      <c r="J62" s="24">
        <f>IFERROR('Data Sheet'!H69,0)</f>
        <v>617.59</v>
      </c>
      <c r="K62" s="24">
        <f>IFERROR('Data Sheet'!I69,0)</f>
        <v>665.41</v>
      </c>
      <c r="L62" s="24">
        <f>IFERROR('Data Sheet'!J69,0)</f>
        <v>830.31</v>
      </c>
      <c r="M62" s="24">
        <f>IFERROR('Data Sheet'!K69,0)</f>
        <v>838.68</v>
      </c>
    </row>
    <row r="63" spans="1:13" x14ac:dyDescent="0.3">
      <c r="B63" s="50" t="s">
        <v>109</v>
      </c>
      <c r="C63" s="51"/>
      <c r="D63" s="49">
        <f>IFERROR(SUM(D60:D62),0)</f>
        <v>260.77999999999997</v>
      </c>
      <c r="E63" s="49">
        <f t="shared" ref="E63:M63" si="20">IFERROR(SUM(E60:E62),0)</f>
        <v>299.23</v>
      </c>
      <c r="F63" s="49">
        <f t="shared" si="20"/>
        <v>382.01</v>
      </c>
      <c r="G63" s="49">
        <f t="shared" si="20"/>
        <v>572</v>
      </c>
      <c r="H63" s="49">
        <f t="shared" si="20"/>
        <v>677.47</v>
      </c>
      <c r="I63" s="49">
        <f t="shared" si="20"/>
        <v>1035.29</v>
      </c>
      <c r="J63" s="49">
        <f t="shared" si="20"/>
        <v>755.53</v>
      </c>
      <c r="K63" s="49">
        <f t="shared" si="20"/>
        <v>770.04</v>
      </c>
      <c r="L63" s="49">
        <f t="shared" si="20"/>
        <v>945.02</v>
      </c>
      <c r="M63" s="49">
        <f t="shared" si="20"/>
        <v>962.93</v>
      </c>
    </row>
    <row r="65" spans="1:14" ht="15" thickBot="1" x14ac:dyDescent="0.35">
      <c r="B65" s="53" t="s">
        <v>106</v>
      </c>
      <c r="C65" s="54"/>
      <c r="D65" s="55">
        <f>IFERROR(SUM(D63,D58),0)</f>
        <v>625.23</v>
      </c>
      <c r="E65" s="55">
        <f t="shared" ref="E65:M65" si="21">IFERROR(SUM(E63,E58),0)</f>
        <v>690.07999999999993</v>
      </c>
      <c r="F65" s="55">
        <f t="shared" si="21"/>
        <v>915.55</v>
      </c>
      <c r="G65" s="55">
        <f t="shared" si="21"/>
        <v>1090.51</v>
      </c>
      <c r="H65" s="55">
        <f t="shared" si="21"/>
        <v>1374.31</v>
      </c>
      <c r="I65" s="55">
        <f t="shared" si="21"/>
        <v>1660.5700000000002</v>
      </c>
      <c r="J65" s="55">
        <f t="shared" si="21"/>
        <v>2342.71</v>
      </c>
      <c r="K65" s="55">
        <f t="shared" si="21"/>
        <v>2382.62</v>
      </c>
      <c r="L65" s="55">
        <f t="shared" si="21"/>
        <v>2453.5699999999997</v>
      </c>
      <c r="M65" s="55">
        <f t="shared" si="21"/>
        <v>2713.42</v>
      </c>
    </row>
    <row r="67" spans="1:14" x14ac:dyDescent="0.3">
      <c r="B67" s="31" t="s">
        <v>110</v>
      </c>
      <c r="D67" t="b">
        <f>D65=D52</f>
        <v>1</v>
      </c>
      <c r="E67" t="b">
        <f t="shared" ref="E67:M67" si="22">E65=E52</f>
        <v>1</v>
      </c>
      <c r="F67" t="b">
        <f t="shared" si="22"/>
        <v>1</v>
      </c>
      <c r="G67" t="b">
        <f t="shared" si="22"/>
        <v>1</v>
      </c>
      <c r="H67" t="b">
        <f t="shared" si="22"/>
        <v>1</v>
      </c>
      <c r="I67" t="b">
        <f t="shared" si="22"/>
        <v>1</v>
      </c>
      <c r="J67" t="b">
        <f t="shared" si="22"/>
        <v>1</v>
      </c>
      <c r="K67" t="b">
        <f t="shared" si="22"/>
        <v>1</v>
      </c>
      <c r="L67" t="b">
        <f t="shared" si="22"/>
        <v>1</v>
      </c>
      <c r="M67" t="b">
        <f t="shared" si="22"/>
        <v>1</v>
      </c>
    </row>
    <row r="70" spans="1:14" x14ac:dyDescent="0.3">
      <c r="A70" t="s">
        <v>82</v>
      </c>
      <c r="B70" s="45" t="s">
        <v>138</v>
      </c>
      <c r="C70" s="45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</row>
    <row r="71" spans="1:14" x14ac:dyDescent="0.3">
      <c r="B71" s="2" t="s">
        <v>139</v>
      </c>
    </row>
    <row r="72" spans="1:14" x14ac:dyDescent="0.3">
      <c r="B72" t="s">
        <v>111</v>
      </c>
      <c r="D72" s="24">
        <f>IFERROR('Cash Flow Data'!E4,0)</f>
        <v>43397</v>
      </c>
      <c r="E72" s="24">
        <f>IFERROR('Cash Flow Data'!F4,0)</f>
        <v>38626</v>
      </c>
      <c r="F72" s="24">
        <f>IFERROR('Cash Flow Data'!G4,0)</f>
        <v>28840</v>
      </c>
      <c r="G72" s="24">
        <f>IFERROR('Cash Flow Data'!H4,0)</f>
        <v>33312</v>
      </c>
      <c r="H72" s="24">
        <f>IFERROR('Cash Flow Data'!I4,0)</f>
        <v>28771</v>
      </c>
      <c r="I72" s="24">
        <f>IFERROR('Cash Flow Data'!J4,0)</f>
        <v>23352</v>
      </c>
      <c r="J72" s="24">
        <f>IFERROR('Cash Flow Data'!K4,0)</f>
        <v>31198</v>
      </c>
      <c r="K72" s="24">
        <f>IFERROR('Cash Flow Data'!L4,0)</f>
        <v>26943</v>
      </c>
      <c r="L72" s="24">
        <f>IFERROR('Cash Flow Data'!M4,0)</f>
        <v>41694</v>
      </c>
      <c r="M72" s="24">
        <f>IFERROR('Cash Flow Data'!N4,0)</f>
        <v>65106</v>
      </c>
    </row>
    <row r="73" spans="1:14" x14ac:dyDescent="0.3">
      <c r="B73" t="s">
        <v>67</v>
      </c>
      <c r="D73" s="24">
        <f>IFERROR('Cash Flow Data'!E5,0)</f>
        <v>-3179</v>
      </c>
      <c r="E73" s="24">
        <f>IFERROR('Cash Flow Data'!F5,0)</f>
        <v>-2223</v>
      </c>
      <c r="F73" s="24">
        <f>IFERROR('Cash Flow Data'!G5,0)</f>
        <v>-4152</v>
      </c>
      <c r="G73" s="24">
        <f>IFERROR('Cash Flow Data'!H5,0)</f>
        <v>-10688</v>
      </c>
      <c r="H73" s="24">
        <f>IFERROR('Cash Flow Data'!I5,0)</f>
        <v>-9109</v>
      </c>
      <c r="I73" s="24">
        <f>IFERROR('Cash Flow Data'!J5,0)</f>
        <v>9950</v>
      </c>
      <c r="J73" s="24">
        <f>IFERROR('Cash Flow Data'!K5,0)</f>
        <v>-5505</v>
      </c>
      <c r="K73" s="24">
        <f>IFERROR('Cash Flow Data'!L5,0)</f>
        <v>185</v>
      </c>
      <c r="L73" s="24">
        <f>IFERROR('Cash Flow Data'!M5,0)</f>
        <v>-2213</v>
      </c>
      <c r="M73" s="24">
        <f>IFERROR('Cash Flow Data'!N5,0)</f>
        <v>-1875</v>
      </c>
    </row>
    <row r="74" spans="1:14" x14ac:dyDescent="0.3">
      <c r="B74" t="s">
        <v>43</v>
      </c>
      <c r="D74" s="24">
        <f>IFERROR('Cash Flow Data'!E6,0)</f>
        <v>-3692</v>
      </c>
      <c r="E74" s="24">
        <f>IFERROR('Cash Flow Data'!F6,0)</f>
        <v>-5743</v>
      </c>
      <c r="F74" s="24">
        <f>IFERROR('Cash Flow Data'!G6,0)</f>
        <v>-6621</v>
      </c>
      <c r="G74" s="24">
        <f>IFERROR('Cash Flow Data'!H6,0)</f>
        <v>-3560</v>
      </c>
      <c r="H74" s="24">
        <f>IFERROR('Cash Flow Data'!I6,0)</f>
        <v>2069</v>
      </c>
      <c r="I74" s="24">
        <f>IFERROR('Cash Flow Data'!J6,0)</f>
        <v>2326</v>
      </c>
      <c r="J74" s="24">
        <f>IFERROR('Cash Flow Data'!K6,0)</f>
        <v>3814</v>
      </c>
      <c r="K74" s="24">
        <f>IFERROR('Cash Flow Data'!L6,0)</f>
        <v>472</v>
      </c>
      <c r="L74" s="24">
        <f>IFERROR('Cash Flow Data'!M6,0)</f>
        <v>-5665</v>
      </c>
      <c r="M74" s="24">
        <f>IFERROR('Cash Flow Data'!N6,0)</f>
        <v>-7265</v>
      </c>
    </row>
    <row r="75" spans="1:14" x14ac:dyDescent="0.3">
      <c r="B75" t="s">
        <v>112</v>
      </c>
      <c r="D75" s="24">
        <f>IFERROR('Cash Flow Data'!E7,0)</f>
        <v>3598</v>
      </c>
      <c r="E75" s="24">
        <f>IFERROR('Cash Flow Data'!F7,0)</f>
        <v>3947</v>
      </c>
      <c r="F75" s="24">
        <f>IFERROR('Cash Flow Data'!G7,0)</f>
        <v>9301</v>
      </c>
      <c r="G75" s="24">
        <f>IFERROR('Cash Flow Data'!H7,0)</f>
        <v>7320</v>
      </c>
      <c r="H75" s="24">
        <f>IFERROR('Cash Flow Data'!I7,0)</f>
        <v>-4692</v>
      </c>
      <c r="I75" s="24">
        <f>IFERROR('Cash Flow Data'!J7,0)</f>
        <v>-8085</v>
      </c>
      <c r="J75" s="24">
        <f>IFERROR('Cash Flow Data'!K7,0)</f>
        <v>5748</v>
      </c>
      <c r="K75" s="24">
        <f>IFERROR('Cash Flow Data'!L7,0)</f>
        <v>-7012</v>
      </c>
      <c r="L75" s="24">
        <f>IFERROR('Cash Flow Data'!M7,0)</f>
        <v>6945</v>
      </c>
      <c r="M75" s="24">
        <f>IFERROR('Cash Flow Data'!N7,0)</f>
        <v>13706</v>
      </c>
    </row>
    <row r="76" spans="1:14" x14ac:dyDescent="0.3">
      <c r="B76" t="s">
        <v>113</v>
      </c>
      <c r="D76" s="24">
        <f>IFERROR('Cash Flow Data'!E8,0)</f>
        <v>0</v>
      </c>
      <c r="E76" s="24">
        <f>IFERROR('Cash Flow Data'!F8,0)</f>
        <v>-520</v>
      </c>
      <c r="F76" s="24">
        <f>IFERROR('Cash Flow Data'!G8,0)</f>
        <v>0</v>
      </c>
      <c r="G76" s="24">
        <f>IFERROR('Cash Flow Data'!H8,0)</f>
        <v>0</v>
      </c>
      <c r="H76" s="24">
        <f>IFERROR('Cash Flow Data'!I8,0)</f>
        <v>0</v>
      </c>
      <c r="I76" s="24">
        <f>IFERROR('Cash Flow Data'!J8,0)</f>
        <v>0</v>
      </c>
      <c r="J76" s="24">
        <f>IFERROR('Cash Flow Data'!K8,0)</f>
        <v>0</v>
      </c>
      <c r="K76" s="24">
        <f>IFERROR('Cash Flow Data'!L8,0)</f>
        <v>0</v>
      </c>
      <c r="L76" s="24">
        <f>IFERROR('Cash Flow Data'!M8,0)</f>
        <v>0</v>
      </c>
      <c r="M76" s="24">
        <f>IFERROR('Cash Flow Data'!N8,0)</f>
        <v>0</v>
      </c>
    </row>
    <row r="77" spans="1:14" x14ac:dyDescent="0.3">
      <c r="B77" t="s">
        <v>114</v>
      </c>
      <c r="D77" s="24">
        <f>IFERROR('Cash Flow Data'!E9,0)</f>
        <v>-398</v>
      </c>
      <c r="E77" s="24">
        <f>IFERROR('Cash Flow Data'!F9,0)</f>
        <v>5852</v>
      </c>
      <c r="F77" s="24">
        <f>IFERROR('Cash Flow Data'!G9,0)</f>
        <v>4727</v>
      </c>
      <c r="G77" s="24">
        <f>IFERROR('Cash Flow Data'!H9,0)</f>
        <v>494</v>
      </c>
      <c r="H77" s="24">
        <f>IFERROR('Cash Flow Data'!I9,0)</f>
        <v>4512</v>
      </c>
      <c r="I77" s="24">
        <f>IFERROR('Cash Flow Data'!J9,0)</f>
        <v>875</v>
      </c>
      <c r="J77" s="24">
        <f>IFERROR('Cash Flow Data'!K9,0)</f>
        <v>-4150</v>
      </c>
      <c r="K77" s="24">
        <f>IFERROR('Cash Flow Data'!L9,0)</f>
        <v>-4396</v>
      </c>
      <c r="L77" s="24">
        <f>IFERROR('Cash Flow Data'!M9,0)</f>
        <v>-2194</v>
      </c>
      <c r="M77" s="24">
        <f>IFERROR('Cash Flow Data'!N9,0)</f>
        <v>2760</v>
      </c>
    </row>
    <row r="78" spans="1:14" x14ac:dyDescent="0.3">
      <c r="B78" t="s">
        <v>115</v>
      </c>
      <c r="D78" s="24">
        <f>IFERROR('Cash Flow Data'!E10,0)</f>
        <v>-3672</v>
      </c>
      <c r="E78" s="24">
        <f>IFERROR('Cash Flow Data'!F10,0)</f>
        <v>1313</v>
      </c>
      <c r="F78" s="24">
        <f>IFERROR('Cash Flow Data'!G10,0)</f>
        <v>3254</v>
      </c>
      <c r="G78" s="24">
        <f>IFERROR('Cash Flow Data'!H10,0)</f>
        <v>-6434</v>
      </c>
      <c r="H78" s="24">
        <f>IFERROR('Cash Flow Data'!I10,0)</f>
        <v>-7221</v>
      </c>
      <c r="I78" s="24">
        <f>IFERROR('Cash Flow Data'!J10,0)</f>
        <v>5065</v>
      </c>
      <c r="J78" s="24">
        <f>IFERROR('Cash Flow Data'!K10,0)</f>
        <v>-93</v>
      </c>
      <c r="K78" s="24">
        <f>IFERROR('Cash Flow Data'!L10,0)</f>
        <v>-10750</v>
      </c>
      <c r="L78" s="24">
        <f>IFERROR('Cash Flow Data'!M10,0)</f>
        <v>-3127</v>
      </c>
      <c r="M78" s="24">
        <f>IFERROR('Cash Flow Data'!N10,0)</f>
        <v>7325</v>
      </c>
    </row>
    <row r="79" spans="1:14" x14ac:dyDescent="0.3">
      <c r="B79" t="s">
        <v>116</v>
      </c>
      <c r="D79" s="24">
        <f>IFERROR('Cash Flow Data'!E11,0)</f>
        <v>-4194</v>
      </c>
      <c r="E79" s="24">
        <f>IFERROR('Cash Flow Data'!F11,0)</f>
        <v>-2040</v>
      </c>
      <c r="F79" s="24">
        <f>IFERROR('Cash Flow Data'!G11,0)</f>
        <v>-1895</v>
      </c>
      <c r="G79" s="24">
        <f>IFERROR('Cash Flow Data'!H11,0)</f>
        <v>-3021</v>
      </c>
      <c r="H79" s="24">
        <f>IFERROR('Cash Flow Data'!I11,0)</f>
        <v>-2659</v>
      </c>
      <c r="I79" s="24">
        <f>IFERROR('Cash Flow Data'!J11,0)</f>
        <v>-1785</v>
      </c>
      <c r="J79" s="24">
        <f>IFERROR('Cash Flow Data'!K11,0)</f>
        <v>-2105</v>
      </c>
      <c r="K79" s="24">
        <f>IFERROR('Cash Flow Data'!L11,0)</f>
        <v>-1910</v>
      </c>
      <c r="L79" s="24">
        <f>IFERROR('Cash Flow Data'!M11,0)</f>
        <v>-3179</v>
      </c>
      <c r="M79" s="24">
        <f>IFERROR('Cash Flow Data'!N11,0)</f>
        <v>-4516</v>
      </c>
    </row>
    <row r="80" spans="1:14" x14ac:dyDescent="0.3">
      <c r="B80" s="47" t="s">
        <v>137</v>
      </c>
      <c r="C80" s="51"/>
      <c r="D80" s="49">
        <f>IFERROR(SUM(D72:D79),0)</f>
        <v>31860</v>
      </c>
      <c r="E80" s="49">
        <f t="shared" ref="E80:M80" si="23">IFERROR(SUM(E72:E79),0)</f>
        <v>39212</v>
      </c>
      <c r="F80" s="49">
        <f t="shared" si="23"/>
        <v>33454</v>
      </c>
      <c r="G80" s="49">
        <f t="shared" si="23"/>
        <v>17423</v>
      </c>
      <c r="H80" s="49">
        <f t="shared" si="23"/>
        <v>11671</v>
      </c>
      <c r="I80" s="49">
        <f t="shared" si="23"/>
        <v>31698</v>
      </c>
      <c r="J80" s="49">
        <f t="shared" si="23"/>
        <v>28907</v>
      </c>
      <c r="K80" s="49">
        <f t="shared" si="23"/>
        <v>3532</v>
      </c>
      <c r="L80" s="49">
        <f t="shared" si="23"/>
        <v>32261</v>
      </c>
      <c r="M80" s="49">
        <f t="shared" si="23"/>
        <v>75241</v>
      </c>
    </row>
    <row r="82" spans="2:13" x14ac:dyDescent="0.3">
      <c r="B82" s="2" t="s">
        <v>140</v>
      </c>
    </row>
    <row r="83" spans="2:13" x14ac:dyDescent="0.3">
      <c r="B83" t="s">
        <v>117</v>
      </c>
      <c r="D83" s="24">
        <f>IFERROR('Cash Flow Data'!E13,0)</f>
        <v>-31962</v>
      </c>
      <c r="E83" s="24">
        <f>IFERROR('Cash Flow Data'!F13,0)</f>
        <v>-31503</v>
      </c>
      <c r="F83" s="24">
        <f>IFERROR('Cash Flow Data'!G13,0)</f>
        <v>-16072</v>
      </c>
      <c r="G83" s="24">
        <f>IFERROR('Cash Flow Data'!H13,0)</f>
        <v>-35079</v>
      </c>
      <c r="H83" s="24">
        <f>IFERROR('Cash Flow Data'!I13,0)</f>
        <v>-35304</v>
      </c>
      <c r="I83" s="24">
        <f>IFERROR('Cash Flow Data'!J13,0)</f>
        <v>-29702</v>
      </c>
      <c r="J83" s="24">
        <f>IFERROR('Cash Flow Data'!K13,0)</f>
        <v>-20205</v>
      </c>
      <c r="K83" s="24">
        <f>IFERROR('Cash Flow Data'!L13,0)</f>
        <v>-15168</v>
      </c>
      <c r="L83" s="24">
        <f>IFERROR('Cash Flow Data'!M13,0)</f>
        <v>-19230</v>
      </c>
      <c r="M83" s="24">
        <f>IFERROR('Cash Flow Data'!N13,0)</f>
        <v>-31414</v>
      </c>
    </row>
    <row r="84" spans="2:13" x14ac:dyDescent="0.3">
      <c r="B84" t="s">
        <v>118</v>
      </c>
      <c r="D84" s="24">
        <f>IFERROR('Cash Flow Data'!E14,0)</f>
        <v>74</v>
      </c>
      <c r="E84" s="24">
        <f>IFERROR('Cash Flow Data'!F14,0)</f>
        <v>59</v>
      </c>
      <c r="F84" s="24">
        <f>IFERROR('Cash Flow Data'!G14,0)</f>
        <v>53</v>
      </c>
      <c r="G84" s="24">
        <f>IFERROR('Cash Flow Data'!H14,0)</f>
        <v>30</v>
      </c>
      <c r="H84" s="24">
        <f>IFERROR('Cash Flow Data'!I14,0)</f>
        <v>67</v>
      </c>
      <c r="I84" s="24">
        <f>IFERROR('Cash Flow Data'!J14,0)</f>
        <v>171</v>
      </c>
      <c r="J84" s="24">
        <f>IFERROR('Cash Flow Data'!K14,0)</f>
        <v>351</v>
      </c>
      <c r="K84" s="24">
        <f>IFERROR('Cash Flow Data'!L14,0)</f>
        <v>230</v>
      </c>
      <c r="L84" s="24">
        <f>IFERROR('Cash Flow Data'!M14,0)</f>
        <v>285</v>
      </c>
      <c r="M84" s="24">
        <f>IFERROR('Cash Flow Data'!N14,0)</f>
        <v>231</v>
      </c>
    </row>
    <row r="85" spans="2:13" x14ac:dyDescent="0.3">
      <c r="B85" t="s">
        <v>119</v>
      </c>
      <c r="D85" s="24">
        <f>IFERROR('Cash Flow Data'!E15,0)</f>
        <v>-5461</v>
      </c>
      <c r="E85" s="24">
        <f>IFERROR('Cash Flow Data'!F15,0)</f>
        <v>-4728</v>
      </c>
      <c r="F85" s="24">
        <f>IFERROR('Cash Flow Data'!G15,0)</f>
        <v>-6</v>
      </c>
      <c r="G85" s="24">
        <f>IFERROR('Cash Flow Data'!H15,0)</f>
        <v>-329</v>
      </c>
      <c r="H85" s="24">
        <f>IFERROR('Cash Flow Data'!I15,0)</f>
        <v>-130</v>
      </c>
      <c r="I85" s="24">
        <f>IFERROR('Cash Flow Data'!J15,0)</f>
        <v>-1439</v>
      </c>
      <c r="J85" s="24">
        <f>IFERROR('Cash Flow Data'!K15,0)</f>
        <v>-7530</v>
      </c>
      <c r="K85" s="24">
        <f>IFERROR('Cash Flow Data'!L15,0)</f>
        <v>-3008</v>
      </c>
      <c r="L85" s="24">
        <f>IFERROR('Cash Flow Data'!M15,0)</f>
        <v>-50</v>
      </c>
      <c r="M85" s="24">
        <f>IFERROR('Cash Flow Data'!N15,0)</f>
        <v>-74</v>
      </c>
    </row>
    <row r="86" spans="2:13" x14ac:dyDescent="0.3">
      <c r="B86" t="s">
        <v>120</v>
      </c>
      <c r="D86" s="24">
        <f>IFERROR('Cash Flow Data'!E16,0)</f>
        <v>42</v>
      </c>
      <c r="E86" s="24">
        <f>IFERROR('Cash Flow Data'!F16,0)</f>
        <v>89</v>
      </c>
      <c r="F86" s="24">
        <f>IFERROR('Cash Flow Data'!G16,0)</f>
        <v>1965</v>
      </c>
      <c r="G86" s="24">
        <f>IFERROR('Cash Flow Data'!H16,0)</f>
        <v>2381</v>
      </c>
      <c r="H86" s="24">
        <f>IFERROR('Cash Flow Data'!I16,0)</f>
        <v>5644</v>
      </c>
      <c r="I86" s="24">
        <f>IFERROR('Cash Flow Data'!J16,0)</f>
        <v>21</v>
      </c>
      <c r="J86" s="24">
        <f>IFERROR('Cash Flow Data'!K16,0)</f>
        <v>226</v>
      </c>
      <c r="K86" s="24">
        <f>IFERROR('Cash Flow Data'!L16,0)</f>
        <v>104</v>
      </c>
      <c r="L86" s="24">
        <f>IFERROR('Cash Flow Data'!M16,0)</f>
        <v>6895</v>
      </c>
      <c r="M86" s="24">
        <f>IFERROR('Cash Flow Data'!N16,0)</f>
        <v>10820</v>
      </c>
    </row>
    <row r="87" spans="2:13" x14ac:dyDescent="0.3">
      <c r="B87" t="s">
        <v>121</v>
      </c>
      <c r="D87" s="24">
        <f>IFERROR('Cash Flow Data'!E17,0)</f>
        <v>698</v>
      </c>
      <c r="E87" s="24">
        <f>IFERROR('Cash Flow Data'!F17,0)</f>
        <v>731</v>
      </c>
      <c r="F87" s="24">
        <f>IFERROR('Cash Flow Data'!G17,0)</f>
        <v>638</v>
      </c>
      <c r="G87" s="24">
        <f>IFERROR('Cash Flow Data'!H17,0)</f>
        <v>690</v>
      </c>
      <c r="H87" s="24">
        <f>IFERROR('Cash Flow Data'!I17,0)</f>
        <v>761</v>
      </c>
      <c r="I87" s="24">
        <f>IFERROR('Cash Flow Data'!J17,0)</f>
        <v>1104</v>
      </c>
      <c r="J87" s="24">
        <f>IFERROR('Cash Flow Data'!K17,0)</f>
        <v>428</v>
      </c>
      <c r="K87" s="24">
        <f>IFERROR('Cash Flow Data'!L17,0)</f>
        <v>653</v>
      </c>
      <c r="L87" s="24">
        <f>IFERROR('Cash Flow Data'!M17,0)</f>
        <v>973</v>
      </c>
      <c r="M87" s="24">
        <f>IFERROR('Cash Flow Data'!N17,0)</f>
        <v>2493</v>
      </c>
    </row>
    <row r="88" spans="2:13" x14ac:dyDescent="0.3">
      <c r="B88" t="s">
        <v>122</v>
      </c>
      <c r="D88" s="24">
        <f>IFERROR('Cash Flow Data'!E18,0)</f>
        <v>80</v>
      </c>
      <c r="E88" s="24">
        <f>IFERROR('Cash Flow Data'!F18,0)</f>
        <v>58</v>
      </c>
      <c r="F88" s="24">
        <f>IFERROR('Cash Flow Data'!G18,0)</f>
        <v>620</v>
      </c>
      <c r="G88" s="24">
        <f>IFERROR('Cash Flow Data'!H18,0)</f>
        <v>1797</v>
      </c>
      <c r="H88" s="24">
        <f>IFERROR('Cash Flow Data'!I18,0)</f>
        <v>232</v>
      </c>
      <c r="I88" s="24">
        <f>IFERROR('Cash Flow Data'!J18,0)</f>
        <v>21</v>
      </c>
      <c r="J88" s="24">
        <f>IFERROR('Cash Flow Data'!K18,0)</f>
        <v>18</v>
      </c>
      <c r="K88" s="24">
        <f>IFERROR('Cash Flow Data'!L18,0)</f>
        <v>32</v>
      </c>
      <c r="L88" s="24">
        <f>IFERROR('Cash Flow Data'!M18,0)</f>
        <v>46</v>
      </c>
      <c r="M88" s="24">
        <f>IFERROR('Cash Flow Data'!N18,0)</f>
        <v>47</v>
      </c>
    </row>
    <row r="89" spans="2:13" x14ac:dyDescent="0.3">
      <c r="B89" t="s">
        <v>123</v>
      </c>
      <c r="D89" s="24">
        <f>IFERROR('Cash Flow Data'!E19,0)</f>
        <v>-160</v>
      </c>
      <c r="E89" s="24">
        <f>IFERROR('Cash Flow Data'!F19,0)</f>
        <v>0</v>
      </c>
      <c r="F89" s="24">
        <f>IFERROR('Cash Flow Data'!G19,0)</f>
        <v>-107</v>
      </c>
      <c r="G89" s="24">
        <f>IFERROR('Cash Flow Data'!H19,0)</f>
        <v>-4</v>
      </c>
      <c r="H89" s="24">
        <f>IFERROR('Cash Flow Data'!I19,0)</f>
        <v>-9</v>
      </c>
      <c r="I89" s="24">
        <f>IFERROR('Cash Flow Data'!J19,0)</f>
        <v>-606</v>
      </c>
      <c r="J89" s="24">
        <f>IFERROR('Cash Flow Data'!K19,0)</f>
        <v>-10</v>
      </c>
      <c r="K89" s="24">
        <f>IFERROR('Cash Flow Data'!L19,0)</f>
        <v>0</v>
      </c>
      <c r="L89" s="24">
        <f>IFERROR('Cash Flow Data'!M19,0)</f>
        <v>0</v>
      </c>
      <c r="M89" s="24">
        <f>IFERROR('Cash Flow Data'!N19,0)</f>
        <v>-150</v>
      </c>
    </row>
    <row r="90" spans="2:13" x14ac:dyDescent="0.3">
      <c r="B90" t="s">
        <v>124</v>
      </c>
      <c r="D90" s="24">
        <f>IFERROR('Cash Flow Data'!E20,0)</f>
        <v>0</v>
      </c>
      <c r="E90" s="24">
        <f>IFERROR('Cash Flow Data'!F20,0)</f>
        <v>0</v>
      </c>
      <c r="F90" s="24">
        <f>IFERROR('Cash Flow Data'!G20,0)</f>
        <v>0</v>
      </c>
      <c r="G90" s="24">
        <f>IFERROR('Cash Flow Data'!H20,0)</f>
        <v>14</v>
      </c>
      <c r="H90" s="24">
        <f>IFERROR('Cash Flow Data'!I20,0)</f>
        <v>533</v>
      </c>
      <c r="I90" s="24">
        <f>IFERROR('Cash Flow Data'!J20,0)</f>
        <v>0</v>
      </c>
      <c r="J90" s="24">
        <f>IFERROR('Cash Flow Data'!K20,0)</f>
        <v>0</v>
      </c>
      <c r="K90" s="24">
        <f>IFERROR('Cash Flow Data'!L20,0)</f>
        <v>0</v>
      </c>
      <c r="L90" s="24">
        <f>IFERROR('Cash Flow Data'!M20,0)</f>
        <v>19</v>
      </c>
      <c r="M90" s="24">
        <f>IFERROR('Cash Flow Data'!N20,0)</f>
        <v>108</v>
      </c>
    </row>
    <row r="91" spans="2:13" x14ac:dyDescent="0.3">
      <c r="B91" t="s">
        <v>125</v>
      </c>
      <c r="D91" s="24">
        <f>IFERROR('Cash Flow Data'!E21,0)</f>
        <v>0</v>
      </c>
      <c r="E91" s="24">
        <f>IFERROR('Cash Flow Data'!F21,0)</f>
        <v>-111</v>
      </c>
      <c r="F91" s="24">
        <f>IFERROR('Cash Flow Data'!G21,0)</f>
        <v>0</v>
      </c>
      <c r="G91" s="24">
        <f>IFERROR('Cash Flow Data'!H21,0)</f>
        <v>0</v>
      </c>
      <c r="H91" s="24">
        <f>IFERROR('Cash Flow Data'!I21,0)</f>
        <v>-8</v>
      </c>
      <c r="I91" s="24">
        <f>IFERROR('Cash Flow Data'!J21,0)</f>
        <v>-27</v>
      </c>
      <c r="J91" s="24">
        <f>IFERROR('Cash Flow Data'!K21,0)</f>
        <v>0</v>
      </c>
      <c r="K91" s="24">
        <f>IFERROR('Cash Flow Data'!L21,0)</f>
        <v>-98</v>
      </c>
      <c r="L91" s="24">
        <f>IFERROR('Cash Flow Data'!M21,0)</f>
        <v>0</v>
      </c>
      <c r="M91" s="24">
        <f>IFERROR('Cash Flow Data'!N21,0)</f>
        <v>0</v>
      </c>
    </row>
    <row r="92" spans="2:13" x14ac:dyDescent="0.3">
      <c r="B92" t="s">
        <v>126</v>
      </c>
      <c r="D92" s="24">
        <f>IFERROR('Cash Flow Data'!E22,0)</f>
        <v>0</v>
      </c>
      <c r="E92" s="24">
        <f>IFERROR('Cash Flow Data'!F22,0)</f>
        <v>0</v>
      </c>
      <c r="F92" s="24">
        <f>IFERROR('Cash Flow Data'!G22,0)</f>
        <v>0</v>
      </c>
      <c r="G92" s="24">
        <f>IFERROR('Cash Flow Data'!H22,0)</f>
        <v>0</v>
      </c>
      <c r="H92" s="24">
        <f>IFERROR('Cash Flow Data'!I22,0)</f>
        <v>0</v>
      </c>
      <c r="I92" s="24">
        <f>IFERROR('Cash Flow Data'!J22,0)</f>
        <v>0</v>
      </c>
      <c r="J92" s="24">
        <f>IFERROR('Cash Flow Data'!K22,0)</f>
        <v>0</v>
      </c>
      <c r="K92" s="24">
        <f>IFERROR('Cash Flow Data'!L22,0)</f>
        <v>0</v>
      </c>
      <c r="L92" s="24">
        <f>IFERROR('Cash Flow Data'!M22,0)</f>
        <v>0</v>
      </c>
      <c r="M92" s="24">
        <f>IFERROR('Cash Flow Data'!N22,0)</f>
        <v>-24</v>
      </c>
    </row>
    <row r="93" spans="2:13" x14ac:dyDescent="0.3">
      <c r="B93" t="s">
        <v>127</v>
      </c>
      <c r="D93" s="24">
        <f>IFERROR('Cash Flow Data'!E23,0)</f>
        <v>456</v>
      </c>
      <c r="E93" s="24">
        <f>IFERROR('Cash Flow Data'!F23,0)</f>
        <v>-1289</v>
      </c>
      <c r="F93" s="24">
        <f>IFERROR('Cash Flow Data'!G23,0)</f>
        <v>-26663</v>
      </c>
      <c r="G93" s="24">
        <f>IFERROR('Cash Flow Data'!H23,0)</f>
        <v>5360</v>
      </c>
      <c r="H93" s="24">
        <f>IFERROR('Cash Flow Data'!I23,0)</f>
        <v>7335</v>
      </c>
      <c r="I93" s="24">
        <f>IFERROR('Cash Flow Data'!J23,0)</f>
        <v>-2659</v>
      </c>
      <c r="J93" s="24">
        <f>IFERROR('Cash Flow Data'!K23,0)</f>
        <v>1051</v>
      </c>
      <c r="K93" s="24">
        <f>IFERROR('Cash Flow Data'!L23,0)</f>
        <v>12813</v>
      </c>
      <c r="L93" s="24">
        <f>IFERROR('Cash Flow Data'!M23,0)</f>
        <v>-4357</v>
      </c>
      <c r="M93" s="24">
        <f>IFERROR('Cash Flow Data'!N23,0)</f>
        <v>-4817</v>
      </c>
    </row>
    <row r="94" spans="2:13" x14ac:dyDescent="0.3">
      <c r="B94" s="47" t="s">
        <v>141</v>
      </c>
      <c r="C94" s="51"/>
      <c r="D94" s="49">
        <f>SUM(D83:D93)</f>
        <v>-36233</v>
      </c>
      <c r="E94" s="49">
        <f t="shared" ref="E94:M94" si="24">SUM(E83:E93)</f>
        <v>-36694</v>
      </c>
      <c r="F94" s="49">
        <f t="shared" si="24"/>
        <v>-39572</v>
      </c>
      <c r="G94" s="49">
        <f t="shared" si="24"/>
        <v>-25140</v>
      </c>
      <c r="H94" s="49">
        <f t="shared" si="24"/>
        <v>-20879</v>
      </c>
      <c r="I94" s="49">
        <f t="shared" si="24"/>
        <v>-33116</v>
      </c>
      <c r="J94" s="49">
        <f t="shared" si="24"/>
        <v>-25671</v>
      </c>
      <c r="K94" s="49">
        <f t="shared" si="24"/>
        <v>-4442</v>
      </c>
      <c r="L94" s="49">
        <f t="shared" si="24"/>
        <v>-15419</v>
      </c>
      <c r="M94" s="49">
        <f t="shared" si="24"/>
        <v>-22780</v>
      </c>
    </row>
    <row r="96" spans="2:13" x14ac:dyDescent="0.3">
      <c r="B96" s="2" t="s">
        <v>142</v>
      </c>
    </row>
    <row r="97" spans="2:13" x14ac:dyDescent="0.3">
      <c r="B97" t="s">
        <v>128</v>
      </c>
      <c r="D97" s="24">
        <f>IFERROR('Cash Flow Data'!E25,0)</f>
        <v>0</v>
      </c>
      <c r="E97" s="24">
        <f>IFERROR('Cash Flow Data'!F25,0)</f>
        <v>7433</v>
      </c>
      <c r="F97" s="24">
        <f>IFERROR('Cash Flow Data'!G25,0)</f>
        <v>5</v>
      </c>
      <c r="G97" s="24">
        <f>IFERROR('Cash Flow Data'!H25,0)</f>
        <v>0</v>
      </c>
      <c r="H97" s="24">
        <f>IFERROR('Cash Flow Data'!I25,0)</f>
        <v>0</v>
      </c>
      <c r="I97" s="24">
        <f>IFERROR('Cash Flow Data'!J25,0)</f>
        <v>3889</v>
      </c>
      <c r="J97" s="24">
        <f>IFERROR('Cash Flow Data'!K25,0)</f>
        <v>2603</v>
      </c>
      <c r="K97" s="24">
        <f>IFERROR('Cash Flow Data'!L25,0)</f>
        <v>19</v>
      </c>
      <c r="L97" s="24">
        <f>IFERROR('Cash Flow Data'!M25,0)</f>
        <v>20</v>
      </c>
      <c r="M97" s="24">
        <f>IFERROR('Cash Flow Data'!N25,0)</f>
        <v>82</v>
      </c>
    </row>
    <row r="98" spans="2:13" x14ac:dyDescent="0.3">
      <c r="B98" t="s">
        <v>129</v>
      </c>
      <c r="D98" s="24">
        <f>IFERROR('Cash Flow Data'!E26,0)</f>
        <v>-744</v>
      </c>
      <c r="E98" s="24">
        <f>IFERROR('Cash Flow Data'!F26,0)</f>
        <v>0</v>
      </c>
      <c r="F98" s="24">
        <f>IFERROR('Cash Flow Data'!G26,0)</f>
        <v>0</v>
      </c>
      <c r="G98" s="24">
        <f>IFERROR('Cash Flow Data'!H26,0)</f>
        <v>0</v>
      </c>
      <c r="H98" s="24">
        <f>IFERROR('Cash Flow Data'!I26,0)</f>
        <v>0</v>
      </c>
      <c r="I98" s="24">
        <f>IFERROR('Cash Flow Data'!J26,0)</f>
        <v>0</v>
      </c>
      <c r="J98" s="24">
        <f>IFERROR('Cash Flow Data'!K26,0)</f>
        <v>0</v>
      </c>
      <c r="K98" s="24">
        <f>IFERROR('Cash Flow Data'!L26,0)</f>
        <v>0</v>
      </c>
      <c r="L98" s="24">
        <f>IFERROR('Cash Flow Data'!M26,0)</f>
        <v>0</v>
      </c>
      <c r="M98" s="24">
        <f>IFERROR('Cash Flow Data'!N26,0)</f>
        <v>0</v>
      </c>
    </row>
    <row r="99" spans="2:13" x14ac:dyDescent="0.3">
      <c r="B99" t="s">
        <v>130</v>
      </c>
      <c r="D99" s="24">
        <f>IFERROR('Cash Flow Data'!E27,0)</f>
        <v>36363</v>
      </c>
      <c r="E99" s="24">
        <f>IFERROR('Cash Flow Data'!F27,0)</f>
        <v>19519</v>
      </c>
      <c r="F99" s="24">
        <f>IFERROR('Cash Flow Data'!G27,0)</f>
        <v>33390</v>
      </c>
      <c r="G99" s="24">
        <f>IFERROR('Cash Flow Data'!H27,0)</f>
        <v>37482</v>
      </c>
      <c r="H99" s="24">
        <f>IFERROR('Cash Flow Data'!I27,0)</f>
        <v>51128</v>
      </c>
      <c r="I99" s="24">
        <f>IFERROR('Cash Flow Data'!J27,0)</f>
        <v>38297</v>
      </c>
      <c r="J99" s="24">
        <f>IFERROR('Cash Flow Data'!K27,0)</f>
        <v>46641</v>
      </c>
      <c r="K99" s="24">
        <f>IFERROR('Cash Flow Data'!L27,0)</f>
        <v>46578</v>
      </c>
      <c r="L99" s="24">
        <f>IFERROR('Cash Flow Data'!M27,0)</f>
        <v>43934</v>
      </c>
      <c r="M99" s="24">
        <f>IFERROR('Cash Flow Data'!N27,0)</f>
        <v>18747</v>
      </c>
    </row>
    <row r="100" spans="2:13" x14ac:dyDescent="0.3">
      <c r="B100" t="s">
        <v>131</v>
      </c>
      <c r="D100" s="24">
        <f>IFERROR('Cash Flow Data'!E28,0)</f>
        <v>-23332</v>
      </c>
      <c r="E100" s="24">
        <f>IFERROR('Cash Flow Data'!F28,0)</f>
        <v>-24924</v>
      </c>
      <c r="F100" s="24">
        <f>IFERROR('Cash Flow Data'!G28,0)</f>
        <v>-21732</v>
      </c>
      <c r="G100" s="24">
        <f>IFERROR('Cash Flow Data'!H28,0)</f>
        <v>-29964</v>
      </c>
      <c r="H100" s="24">
        <f>IFERROR('Cash Flow Data'!I28,0)</f>
        <v>-35198</v>
      </c>
      <c r="I100" s="24">
        <f>IFERROR('Cash Flow Data'!J28,0)</f>
        <v>-29847</v>
      </c>
      <c r="J100" s="24">
        <f>IFERROR('Cash Flow Data'!K28,0)</f>
        <v>-29709</v>
      </c>
      <c r="K100" s="24">
        <f>IFERROR('Cash Flow Data'!L28,0)</f>
        <v>-42816</v>
      </c>
      <c r="L100" s="24">
        <f>IFERROR('Cash Flow Data'!M28,0)</f>
        <v>-62557</v>
      </c>
      <c r="M100" s="24">
        <f>IFERROR('Cash Flow Data'!N28,0)</f>
        <v>-47332</v>
      </c>
    </row>
    <row r="101" spans="2:13" x14ac:dyDescent="0.3">
      <c r="B101" t="s">
        <v>132</v>
      </c>
      <c r="D101" s="24">
        <f>IFERROR('Cash Flow Data'!E29,0)</f>
        <v>-6307</v>
      </c>
      <c r="E101" s="24">
        <f>IFERROR('Cash Flow Data'!F29,0)</f>
        <v>-5716</v>
      </c>
      <c r="F101" s="24">
        <f>IFERROR('Cash Flow Data'!G29,0)</f>
        <v>-5336</v>
      </c>
      <c r="G101" s="24">
        <f>IFERROR('Cash Flow Data'!H29,0)</f>
        <v>-5411</v>
      </c>
      <c r="H101" s="24">
        <f>IFERROR('Cash Flow Data'!I29,0)</f>
        <v>-7005</v>
      </c>
      <c r="I101" s="24">
        <f>IFERROR('Cash Flow Data'!J29,0)</f>
        <v>-7518</v>
      </c>
      <c r="J101" s="24">
        <f>IFERROR('Cash Flow Data'!K29,0)</f>
        <v>-8123</v>
      </c>
      <c r="K101" s="24">
        <f>IFERROR('Cash Flow Data'!L29,0)</f>
        <v>-9251</v>
      </c>
      <c r="L101" s="24">
        <f>IFERROR('Cash Flow Data'!M29,0)</f>
        <v>-9336</v>
      </c>
      <c r="M101" s="24">
        <f>IFERROR('Cash Flow Data'!N29,0)</f>
        <v>-9332</v>
      </c>
    </row>
    <row r="102" spans="2:13" x14ac:dyDescent="0.3">
      <c r="B102" t="s">
        <v>133</v>
      </c>
      <c r="D102" s="24">
        <f>IFERROR('Cash Flow Data'!E30,0)</f>
        <v>-720</v>
      </c>
      <c r="E102" s="24">
        <f>IFERROR('Cash Flow Data'!F30,0)</f>
        <v>-108</v>
      </c>
      <c r="F102" s="24">
        <f>IFERROR('Cash Flow Data'!G30,0)</f>
        <v>-121</v>
      </c>
      <c r="G102" s="24">
        <f>IFERROR('Cash Flow Data'!H30,0)</f>
        <v>-96</v>
      </c>
      <c r="H102" s="24">
        <f>IFERROR('Cash Flow Data'!I30,0)</f>
        <v>-95</v>
      </c>
      <c r="I102" s="24">
        <f>IFERROR('Cash Flow Data'!J30,0)</f>
        <v>-57</v>
      </c>
      <c r="J102" s="24">
        <f>IFERROR('Cash Flow Data'!K30,0)</f>
        <v>-30</v>
      </c>
      <c r="K102" s="24">
        <f>IFERROR('Cash Flow Data'!L30,0)</f>
        <v>-100</v>
      </c>
      <c r="L102" s="24">
        <f>IFERROR('Cash Flow Data'!M30,0)</f>
        <v>-141</v>
      </c>
      <c r="M102" s="24">
        <f>IFERROR('Cash Flow Data'!N30,0)</f>
        <v>-1059</v>
      </c>
    </row>
    <row r="103" spans="2:13" x14ac:dyDescent="0.3">
      <c r="B103" t="s">
        <v>134</v>
      </c>
      <c r="D103" s="24">
        <f>IFERROR('Cash Flow Data'!E31,0)</f>
        <v>0</v>
      </c>
      <c r="E103" s="24">
        <f>IFERROR('Cash Flow Data'!F31,0)</f>
        <v>0</v>
      </c>
      <c r="F103" s="24">
        <f>IFERROR('Cash Flow Data'!G31,0)</f>
        <v>0</v>
      </c>
      <c r="G103" s="24">
        <f>IFERROR('Cash Flow Data'!H31,0)</f>
        <v>0</v>
      </c>
      <c r="H103" s="24">
        <f>IFERROR('Cash Flow Data'!I31,0)</f>
        <v>0</v>
      </c>
      <c r="I103" s="24">
        <f>IFERROR('Cash Flow Data'!J31,0)</f>
        <v>-1346</v>
      </c>
      <c r="J103" s="24">
        <f>IFERROR('Cash Flow Data'!K31,0)</f>
        <v>-1477</v>
      </c>
      <c r="K103" s="24">
        <f>IFERROR('Cash Flow Data'!L31,0)</f>
        <v>-1559</v>
      </c>
      <c r="L103" s="24">
        <f>IFERROR('Cash Flow Data'!M31,0)</f>
        <v>-1517</v>
      </c>
      <c r="M103" s="24">
        <f>IFERROR('Cash Flow Data'!N31,0)</f>
        <v>-1924</v>
      </c>
    </row>
    <row r="104" spans="2:13" x14ac:dyDescent="0.3">
      <c r="B104" t="s">
        <v>135</v>
      </c>
      <c r="D104" s="24">
        <f>IFERROR('Cash Flow Data'!E32,0)</f>
        <v>-57</v>
      </c>
      <c r="E104" s="24">
        <f>IFERROR('Cash Flow Data'!F32,0)</f>
        <v>0</v>
      </c>
      <c r="F104" s="24">
        <f>IFERROR('Cash Flow Data'!G32,0)</f>
        <v>0</v>
      </c>
      <c r="G104" s="24">
        <f>IFERROR('Cash Flow Data'!H32,0)</f>
        <v>0</v>
      </c>
      <c r="H104" s="24">
        <f>IFERROR('Cash Flow Data'!I32,0)</f>
        <v>0</v>
      </c>
      <c r="I104" s="24">
        <f>IFERROR('Cash Flow Data'!J32,0)</f>
        <v>-29</v>
      </c>
      <c r="J104" s="24">
        <f>IFERROR('Cash Flow Data'!K32,0)</f>
        <v>0</v>
      </c>
      <c r="K104" s="24">
        <f>IFERROR('Cash Flow Data'!L32,0)</f>
        <v>3750</v>
      </c>
      <c r="L104" s="24">
        <f>IFERROR('Cash Flow Data'!M32,0)</f>
        <v>3355</v>
      </c>
      <c r="M104" s="24">
        <f>IFERROR('Cash Flow Data'!N32,0)</f>
        <v>3812</v>
      </c>
    </row>
    <row r="105" spans="2:13" x14ac:dyDescent="0.3">
      <c r="B105" s="47" t="s">
        <v>143</v>
      </c>
      <c r="C105" s="51"/>
      <c r="D105" s="49">
        <f>SUM(D97:D104)</f>
        <v>5203</v>
      </c>
      <c r="E105" s="49">
        <f t="shared" ref="E105:M105" si="25">SUM(E97:E104)</f>
        <v>-3796</v>
      </c>
      <c r="F105" s="49">
        <f t="shared" si="25"/>
        <v>6206</v>
      </c>
      <c r="G105" s="49">
        <f t="shared" si="25"/>
        <v>2011</v>
      </c>
      <c r="H105" s="49">
        <f t="shared" si="25"/>
        <v>8830</v>
      </c>
      <c r="I105" s="49">
        <f t="shared" si="25"/>
        <v>3389</v>
      </c>
      <c r="J105" s="49">
        <f t="shared" si="25"/>
        <v>9905</v>
      </c>
      <c r="K105" s="49">
        <f t="shared" si="25"/>
        <v>-3379</v>
      </c>
      <c r="L105" s="49">
        <f t="shared" si="25"/>
        <v>-26242</v>
      </c>
      <c r="M105" s="49">
        <f t="shared" si="25"/>
        <v>-37006</v>
      </c>
    </row>
    <row r="107" spans="2:13" ht="15" thickBot="1" x14ac:dyDescent="0.35">
      <c r="B107" s="56" t="s">
        <v>34</v>
      </c>
      <c r="C107" s="54"/>
      <c r="D107" s="55">
        <f>IFERROR(D105+D94+D80,0)</f>
        <v>830</v>
      </c>
      <c r="E107" s="55">
        <f t="shared" ref="E107:M107" si="26">IFERROR(E105+E94+E80,0)</f>
        <v>-1278</v>
      </c>
      <c r="F107" s="55">
        <f t="shared" si="26"/>
        <v>88</v>
      </c>
      <c r="G107" s="55">
        <f t="shared" si="26"/>
        <v>-5706</v>
      </c>
      <c r="H107" s="55">
        <f t="shared" si="26"/>
        <v>-378</v>
      </c>
      <c r="I107" s="55">
        <f t="shared" si="26"/>
        <v>1971</v>
      </c>
      <c r="J107" s="55">
        <f t="shared" si="26"/>
        <v>13141</v>
      </c>
      <c r="K107" s="55">
        <f t="shared" si="26"/>
        <v>-4289</v>
      </c>
      <c r="L107" s="55">
        <f t="shared" si="26"/>
        <v>-9400</v>
      </c>
      <c r="M107" s="55">
        <f t="shared" si="26"/>
        <v>15455</v>
      </c>
    </row>
  </sheetData>
  <mergeCells count="1">
    <mergeCell ref="B2:N2"/>
  </mergeCells>
  <pageMargins left="0.7" right="0.7" top="0.75" bottom="0.75" header="0.3" footer="0.3"/>
  <ignoredErrors>
    <ignoredError sqref="N5 D14:N14 N24 N30 N8 D8:M8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EBC5A-351F-4054-AF2B-AA937EA3E4E4}">
  <dimension ref="B2:N33"/>
  <sheetViews>
    <sheetView workbookViewId="0">
      <selection activeCell="E15" sqref="E15"/>
    </sheetView>
  </sheetViews>
  <sheetFormatPr defaultRowHeight="14.4" x14ac:dyDescent="0.3"/>
  <cols>
    <col min="2" max="2" width="27" customWidth="1"/>
  </cols>
  <sheetData>
    <row r="2" spans="2:14" x14ac:dyDescent="0.3">
      <c r="B2" t="s">
        <v>95</v>
      </c>
      <c r="C2" s="57">
        <v>41334</v>
      </c>
      <c r="D2" s="57">
        <v>41699</v>
      </c>
      <c r="E2" s="57">
        <v>42064</v>
      </c>
      <c r="F2" s="57">
        <v>42430</v>
      </c>
      <c r="G2" s="57">
        <v>42795</v>
      </c>
      <c r="H2" s="57">
        <v>43160</v>
      </c>
      <c r="I2" s="57">
        <v>43525</v>
      </c>
      <c r="J2" s="57">
        <v>43891</v>
      </c>
      <c r="K2" s="57">
        <v>44256</v>
      </c>
      <c r="L2" s="57">
        <v>44621</v>
      </c>
      <c r="M2" s="57">
        <v>44986</v>
      </c>
      <c r="N2" s="57">
        <v>45352</v>
      </c>
    </row>
    <row r="3" spans="2:14" x14ac:dyDescent="0.3">
      <c r="B3" t="s">
        <v>31</v>
      </c>
      <c r="C3" s="58">
        <v>22163</v>
      </c>
      <c r="D3" s="58">
        <v>36151</v>
      </c>
      <c r="E3" s="58">
        <v>35531</v>
      </c>
      <c r="F3" s="58">
        <v>37900</v>
      </c>
      <c r="G3" s="58">
        <v>30199</v>
      </c>
      <c r="H3" s="58">
        <v>23857</v>
      </c>
      <c r="I3" s="58">
        <v>18891</v>
      </c>
      <c r="J3" s="58">
        <v>26633</v>
      </c>
      <c r="K3" s="58">
        <v>29001</v>
      </c>
      <c r="L3" s="58">
        <v>14283</v>
      </c>
      <c r="M3" s="58">
        <v>35388</v>
      </c>
      <c r="N3" s="58">
        <v>67915</v>
      </c>
    </row>
    <row r="4" spans="2:14" x14ac:dyDescent="0.3">
      <c r="B4" t="s">
        <v>111</v>
      </c>
      <c r="C4" s="58">
        <v>24406</v>
      </c>
      <c r="D4" s="58">
        <v>36303</v>
      </c>
      <c r="E4" s="58">
        <v>43397</v>
      </c>
      <c r="F4" s="58">
        <v>38626</v>
      </c>
      <c r="G4" s="58">
        <v>28840</v>
      </c>
      <c r="H4" s="58">
        <v>33312</v>
      </c>
      <c r="I4" s="58">
        <v>28771</v>
      </c>
      <c r="J4" s="58">
        <v>23352</v>
      </c>
      <c r="K4" s="58">
        <v>31198</v>
      </c>
      <c r="L4" s="58">
        <v>26943</v>
      </c>
      <c r="M4" s="58">
        <v>41694</v>
      </c>
      <c r="N4" s="58">
        <v>65106</v>
      </c>
    </row>
    <row r="5" spans="2:14" x14ac:dyDescent="0.3">
      <c r="B5" t="s">
        <v>67</v>
      </c>
      <c r="C5" s="58">
        <v>-5177</v>
      </c>
      <c r="D5" s="59">
        <v>445</v>
      </c>
      <c r="E5" s="58">
        <v>-3179</v>
      </c>
      <c r="F5" s="58">
        <v>-2223</v>
      </c>
      <c r="G5" s="58">
        <v>-4152</v>
      </c>
      <c r="H5" s="58">
        <v>-10688</v>
      </c>
      <c r="I5" s="58">
        <v>-9109</v>
      </c>
      <c r="J5" s="58">
        <v>9950</v>
      </c>
      <c r="K5" s="58">
        <v>-5505</v>
      </c>
      <c r="L5" s="59">
        <v>185</v>
      </c>
      <c r="M5" s="58">
        <v>-2213</v>
      </c>
      <c r="N5" s="58">
        <v>-1875</v>
      </c>
    </row>
    <row r="6" spans="2:14" x14ac:dyDescent="0.3">
      <c r="B6" t="s">
        <v>43</v>
      </c>
      <c r="C6" s="58">
        <v>-2656</v>
      </c>
      <c r="D6" s="58">
        <v>-2853</v>
      </c>
      <c r="E6" s="58">
        <v>-3692</v>
      </c>
      <c r="F6" s="58">
        <v>-5743</v>
      </c>
      <c r="G6" s="58">
        <v>-6621</v>
      </c>
      <c r="H6" s="58">
        <v>-3560</v>
      </c>
      <c r="I6" s="58">
        <v>2069</v>
      </c>
      <c r="J6" s="58">
        <v>2326</v>
      </c>
      <c r="K6" s="58">
        <v>3814</v>
      </c>
      <c r="L6" s="59">
        <v>472</v>
      </c>
      <c r="M6" s="58">
        <v>-5665</v>
      </c>
      <c r="N6" s="58">
        <v>-7265</v>
      </c>
    </row>
    <row r="7" spans="2:14" x14ac:dyDescent="0.3">
      <c r="B7" t="s">
        <v>112</v>
      </c>
      <c r="C7" s="58">
        <v>8132</v>
      </c>
      <c r="D7" s="58">
        <v>4694</v>
      </c>
      <c r="E7" s="58">
        <v>3598</v>
      </c>
      <c r="F7" s="58">
        <v>3947</v>
      </c>
      <c r="G7" s="58">
        <v>9301</v>
      </c>
      <c r="H7" s="58">
        <v>7320</v>
      </c>
      <c r="I7" s="58">
        <v>-4692</v>
      </c>
      <c r="J7" s="58">
        <v>-8085</v>
      </c>
      <c r="K7" s="58">
        <v>5748</v>
      </c>
      <c r="L7" s="58">
        <v>-7012</v>
      </c>
      <c r="M7" s="58">
        <v>6945</v>
      </c>
      <c r="N7" s="58">
        <v>13706</v>
      </c>
    </row>
    <row r="8" spans="2:14" x14ac:dyDescent="0.3">
      <c r="B8" t="s">
        <v>113</v>
      </c>
      <c r="C8" s="59">
        <v>0</v>
      </c>
      <c r="D8" s="59">
        <v>0</v>
      </c>
      <c r="E8" s="59">
        <v>0</v>
      </c>
      <c r="F8" s="59">
        <v>-520</v>
      </c>
      <c r="G8" s="59">
        <v>0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</row>
    <row r="9" spans="2:14" x14ac:dyDescent="0.3">
      <c r="B9" t="s">
        <v>114</v>
      </c>
      <c r="C9" s="59">
        <v>-303</v>
      </c>
      <c r="D9" s="58">
        <v>1870</v>
      </c>
      <c r="E9" s="59">
        <v>-398</v>
      </c>
      <c r="F9" s="58">
        <v>5852</v>
      </c>
      <c r="G9" s="58">
        <v>4727</v>
      </c>
      <c r="H9" s="59">
        <v>494</v>
      </c>
      <c r="I9" s="58">
        <v>4512</v>
      </c>
      <c r="J9" s="59">
        <v>875</v>
      </c>
      <c r="K9" s="58">
        <v>-4150</v>
      </c>
      <c r="L9" s="58">
        <v>-4396</v>
      </c>
      <c r="M9" s="58">
        <v>-2194</v>
      </c>
      <c r="N9" s="58">
        <v>2760</v>
      </c>
    </row>
    <row r="10" spans="2:14" x14ac:dyDescent="0.3">
      <c r="B10" t="s">
        <v>115</v>
      </c>
      <c r="C10" s="59">
        <v>-3</v>
      </c>
      <c r="D10" s="58">
        <v>4157</v>
      </c>
      <c r="E10" s="58">
        <v>-3672</v>
      </c>
      <c r="F10" s="58">
        <v>1313</v>
      </c>
      <c r="G10" s="58">
        <v>3254</v>
      </c>
      <c r="H10" s="58">
        <v>-6434</v>
      </c>
      <c r="I10" s="58">
        <v>-7221</v>
      </c>
      <c r="J10" s="58">
        <v>5065</v>
      </c>
      <c r="K10" s="59">
        <v>-93</v>
      </c>
      <c r="L10" s="58">
        <v>-10750</v>
      </c>
      <c r="M10" s="58">
        <v>-3127</v>
      </c>
      <c r="N10" s="58">
        <v>7325</v>
      </c>
    </row>
    <row r="11" spans="2:14" x14ac:dyDescent="0.3">
      <c r="B11" t="s">
        <v>116</v>
      </c>
      <c r="C11" s="58">
        <v>-2240</v>
      </c>
      <c r="D11" s="58">
        <v>-4308</v>
      </c>
      <c r="E11" s="58">
        <v>-4194</v>
      </c>
      <c r="F11" s="58">
        <v>-2040</v>
      </c>
      <c r="G11" s="58">
        <v>-1895</v>
      </c>
      <c r="H11" s="58">
        <v>-3021</v>
      </c>
      <c r="I11" s="58">
        <v>-2659</v>
      </c>
      <c r="J11" s="58">
        <v>-1785</v>
      </c>
      <c r="K11" s="58">
        <v>-2105</v>
      </c>
      <c r="L11" s="58">
        <v>-1910</v>
      </c>
      <c r="M11" s="58">
        <v>-3179</v>
      </c>
      <c r="N11" s="58">
        <v>-4516</v>
      </c>
    </row>
    <row r="12" spans="2:14" x14ac:dyDescent="0.3">
      <c r="B12" t="s">
        <v>32</v>
      </c>
      <c r="C12" s="58">
        <v>-22969</v>
      </c>
      <c r="D12" s="58">
        <v>-27991</v>
      </c>
      <c r="E12" s="58">
        <v>-36232</v>
      </c>
      <c r="F12" s="58">
        <v>-36694</v>
      </c>
      <c r="G12" s="58">
        <v>-39571</v>
      </c>
      <c r="H12" s="58">
        <v>-25139</v>
      </c>
      <c r="I12" s="58">
        <v>-20878</v>
      </c>
      <c r="J12" s="58">
        <v>-33115</v>
      </c>
      <c r="K12" s="58">
        <v>-25672</v>
      </c>
      <c r="L12" s="58">
        <v>-4444</v>
      </c>
      <c r="M12" s="58">
        <v>-15417</v>
      </c>
      <c r="N12" s="58">
        <v>-22782</v>
      </c>
    </row>
    <row r="13" spans="2:14" x14ac:dyDescent="0.3">
      <c r="B13" t="s">
        <v>117</v>
      </c>
      <c r="C13" s="58">
        <v>-18863</v>
      </c>
      <c r="D13" s="58">
        <v>-26975</v>
      </c>
      <c r="E13" s="58">
        <v>-31962</v>
      </c>
      <c r="F13" s="58">
        <v>-31503</v>
      </c>
      <c r="G13" s="58">
        <v>-16072</v>
      </c>
      <c r="H13" s="58">
        <v>-35079</v>
      </c>
      <c r="I13" s="58">
        <v>-35304</v>
      </c>
      <c r="J13" s="58">
        <v>-29702</v>
      </c>
      <c r="K13" s="58">
        <v>-20205</v>
      </c>
      <c r="L13" s="58">
        <v>-15168</v>
      </c>
      <c r="M13" s="58">
        <v>-19230</v>
      </c>
      <c r="N13" s="58">
        <v>-31414</v>
      </c>
    </row>
    <row r="14" spans="2:14" x14ac:dyDescent="0.3">
      <c r="B14" t="s">
        <v>118</v>
      </c>
      <c r="C14" s="59">
        <v>37</v>
      </c>
      <c r="D14" s="59">
        <v>50</v>
      </c>
      <c r="E14" s="59">
        <v>74</v>
      </c>
      <c r="F14" s="59">
        <v>59</v>
      </c>
      <c r="G14" s="59">
        <v>53</v>
      </c>
      <c r="H14" s="59">
        <v>30</v>
      </c>
      <c r="I14" s="59">
        <v>67</v>
      </c>
      <c r="J14" s="59">
        <v>171</v>
      </c>
      <c r="K14" s="59">
        <v>351</v>
      </c>
      <c r="L14" s="59">
        <v>230</v>
      </c>
      <c r="M14" s="59">
        <v>285</v>
      </c>
      <c r="N14" s="59">
        <v>231</v>
      </c>
    </row>
    <row r="15" spans="2:14" x14ac:dyDescent="0.3">
      <c r="B15" t="s">
        <v>119</v>
      </c>
      <c r="C15" s="59">
        <v>73</v>
      </c>
      <c r="D15" s="59">
        <v>-429</v>
      </c>
      <c r="E15" s="58">
        <v>-5461</v>
      </c>
      <c r="F15" s="58">
        <v>-4728</v>
      </c>
      <c r="G15" s="59">
        <v>-6</v>
      </c>
      <c r="H15" s="59">
        <v>-329</v>
      </c>
      <c r="I15" s="59">
        <v>-130</v>
      </c>
      <c r="J15" s="58">
        <v>-1439</v>
      </c>
      <c r="K15" s="58">
        <v>-7530</v>
      </c>
      <c r="L15" s="58">
        <v>-3008</v>
      </c>
      <c r="M15" s="59">
        <v>-50</v>
      </c>
      <c r="N15" s="59">
        <v>-74</v>
      </c>
    </row>
    <row r="16" spans="2:14" x14ac:dyDescent="0.3">
      <c r="B16" t="s">
        <v>120</v>
      </c>
      <c r="C16" s="59">
        <v>34</v>
      </c>
      <c r="D16" s="59">
        <v>4</v>
      </c>
      <c r="E16" s="59">
        <v>42</v>
      </c>
      <c r="F16" s="59">
        <v>89</v>
      </c>
      <c r="G16" s="58">
        <v>1965</v>
      </c>
      <c r="H16" s="58">
        <v>2381</v>
      </c>
      <c r="I16" s="58">
        <v>5644</v>
      </c>
      <c r="J16" s="59">
        <v>21</v>
      </c>
      <c r="K16" s="59">
        <v>226</v>
      </c>
      <c r="L16" s="59">
        <v>104</v>
      </c>
      <c r="M16" s="58">
        <v>6895</v>
      </c>
      <c r="N16" s="58">
        <v>10820</v>
      </c>
    </row>
    <row r="17" spans="2:14" x14ac:dyDescent="0.3">
      <c r="B17" t="s">
        <v>121</v>
      </c>
      <c r="C17" s="59">
        <v>713</v>
      </c>
      <c r="D17" s="59">
        <v>653</v>
      </c>
      <c r="E17" s="59">
        <v>698</v>
      </c>
      <c r="F17" s="59">
        <v>731</v>
      </c>
      <c r="G17" s="59">
        <v>638</v>
      </c>
      <c r="H17" s="59">
        <v>690</v>
      </c>
      <c r="I17" s="59">
        <v>761</v>
      </c>
      <c r="J17" s="58">
        <v>1104</v>
      </c>
      <c r="K17" s="59">
        <v>428</v>
      </c>
      <c r="L17" s="59">
        <v>653</v>
      </c>
      <c r="M17" s="59">
        <v>973</v>
      </c>
      <c r="N17" s="58">
        <v>2493</v>
      </c>
    </row>
    <row r="18" spans="2:14" x14ac:dyDescent="0.3">
      <c r="B18" t="s">
        <v>122</v>
      </c>
      <c r="C18" s="59">
        <v>95</v>
      </c>
      <c r="D18" s="59">
        <v>40</v>
      </c>
      <c r="E18" s="59">
        <v>80</v>
      </c>
      <c r="F18" s="59">
        <v>58</v>
      </c>
      <c r="G18" s="59">
        <v>620</v>
      </c>
      <c r="H18" s="58">
        <v>1797</v>
      </c>
      <c r="I18" s="59">
        <v>232</v>
      </c>
      <c r="J18" s="59">
        <v>21</v>
      </c>
      <c r="K18" s="59">
        <v>18</v>
      </c>
      <c r="L18" s="59">
        <v>32</v>
      </c>
      <c r="M18" s="59">
        <v>46</v>
      </c>
      <c r="N18" s="59">
        <v>47</v>
      </c>
    </row>
    <row r="19" spans="2:14" x14ac:dyDescent="0.3">
      <c r="B19" t="s">
        <v>123</v>
      </c>
      <c r="C19" s="59">
        <v>0</v>
      </c>
      <c r="D19" s="59">
        <v>0</v>
      </c>
      <c r="E19" s="59">
        <v>-160</v>
      </c>
      <c r="F19" s="59">
        <v>0</v>
      </c>
      <c r="G19" s="59">
        <v>-107</v>
      </c>
      <c r="H19" s="59">
        <v>-4</v>
      </c>
      <c r="I19" s="59">
        <v>-9</v>
      </c>
      <c r="J19" s="59">
        <v>-606</v>
      </c>
      <c r="K19" s="59">
        <v>-10</v>
      </c>
      <c r="L19" s="59">
        <v>0</v>
      </c>
      <c r="M19" s="59">
        <v>0</v>
      </c>
      <c r="N19" s="59">
        <v>-150</v>
      </c>
    </row>
    <row r="20" spans="2:14" x14ac:dyDescent="0.3">
      <c r="B20" t="s">
        <v>124</v>
      </c>
      <c r="C20" s="59">
        <v>0</v>
      </c>
      <c r="D20" s="59">
        <v>0</v>
      </c>
      <c r="E20" s="59">
        <v>0</v>
      </c>
      <c r="F20" s="59">
        <v>0</v>
      </c>
      <c r="G20" s="59">
        <v>0</v>
      </c>
      <c r="H20" s="59">
        <v>14</v>
      </c>
      <c r="I20" s="59">
        <v>533</v>
      </c>
      <c r="J20" s="59">
        <v>0</v>
      </c>
      <c r="K20" s="59">
        <v>0</v>
      </c>
      <c r="L20" s="59">
        <v>0</v>
      </c>
      <c r="M20" s="59">
        <v>19</v>
      </c>
      <c r="N20" s="59">
        <v>108</v>
      </c>
    </row>
    <row r="21" spans="2:14" x14ac:dyDescent="0.3">
      <c r="B21" t="s">
        <v>125</v>
      </c>
      <c r="C21" s="59">
        <v>0</v>
      </c>
      <c r="D21" s="59">
        <v>-185</v>
      </c>
      <c r="E21" s="59">
        <v>0</v>
      </c>
      <c r="F21" s="59">
        <v>-111</v>
      </c>
      <c r="G21" s="59">
        <v>0</v>
      </c>
      <c r="H21" s="59">
        <v>0</v>
      </c>
      <c r="I21" s="59">
        <v>-8</v>
      </c>
      <c r="J21" s="59">
        <v>-27</v>
      </c>
      <c r="K21" s="59">
        <v>0</v>
      </c>
      <c r="L21" s="59">
        <v>-98</v>
      </c>
      <c r="M21" s="59">
        <v>0</v>
      </c>
      <c r="N21" s="59">
        <v>0</v>
      </c>
    </row>
    <row r="22" spans="2:14" x14ac:dyDescent="0.3">
      <c r="B22" t="s">
        <v>126</v>
      </c>
      <c r="C22" s="59">
        <v>45</v>
      </c>
      <c r="D22" s="59">
        <v>0</v>
      </c>
      <c r="E22" s="59">
        <v>0</v>
      </c>
      <c r="F22" s="59">
        <v>0</v>
      </c>
      <c r="G22" s="59">
        <v>0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-24</v>
      </c>
    </row>
    <row r="23" spans="2:14" x14ac:dyDescent="0.3">
      <c r="B23" t="s">
        <v>127</v>
      </c>
      <c r="C23" s="58">
        <v>-5103</v>
      </c>
      <c r="D23" s="58">
        <v>-1149</v>
      </c>
      <c r="E23" s="59">
        <v>456</v>
      </c>
      <c r="F23" s="58">
        <v>-1289</v>
      </c>
      <c r="G23" s="58">
        <v>-26663</v>
      </c>
      <c r="H23" s="58">
        <v>5360</v>
      </c>
      <c r="I23" s="58">
        <v>7335</v>
      </c>
      <c r="J23" s="58">
        <v>-2659</v>
      </c>
      <c r="K23" s="58">
        <v>1051</v>
      </c>
      <c r="L23" s="58">
        <v>12813</v>
      </c>
      <c r="M23" s="58">
        <v>-4357</v>
      </c>
      <c r="N23" s="58">
        <v>-4817</v>
      </c>
    </row>
    <row r="24" spans="2:14" x14ac:dyDescent="0.3">
      <c r="B24" t="s">
        <v>33</v>
      </c>
      <c r="C24" s="58">
        <v>-1692</v>
      </c>
      <c r="D24" s="58">
        <v>-3883</v>
      </c>
      <c r="E24" s="58">
        <v>5201</v>
      </c>
      <c r="F24" s="58">
        <v>-3795</v>
      </c>
      <c r="G24" s="58">
        <v>6205</v>
      </c>
      <c r="H24" s="58">
        <v>2012</v>
      </c>
      <c r="I24" s="58">
        <v>8830</v>
      </c>
      <c r="J24" s="58">
        <v>3390</v>
      </c>
      <c r="K24" s="58">
        <v>9904</v>
      </c>
      <c r="L24" s="58">
        <v>-3380</v>
      </c>
      <c r="M24" s="58">
        <v>-26243</v>
      </c>
      <c r="N24" s="58">
        <v>-37006</v>
      </c>
    </row>
    <row r="25" spans="2:14" x14ac:dyDescent="0.3">
      <c r="B25" t="s">
        <v>128</v>
      </c>
      <c r="C25" s="59">
        <v>1</v>
      </c>
      <c r="D25" s="59">
        <v>0</v>
      </c>
      <c r="E25" s="59">
        <v>0</v>
      </c>
      <c r="F25" s="58">
        <v>7433</v>
      </c>
      <c r="G25" s="59">
        <v>5</v>
      </c>
      <c r="H25" s="59">
        <v>0</v>
      </c>
      <c r="I25" s="59">
        <v>0</v>
      </c>
      <c r="J25" s="58">
        <v>3889</v>
      </c>
      <c r="K25" s="58">
        <v>2603</v>
      </c>
      <c r="L25" s="59">
        <v>19</v>
      </c>
      <c r="M25" s="59">
        <v>20</v>
      </c>
      <c r="N25" s="59">
        <v>82</v>
      </c>
    </row>
    <row r="26" spans="2:14" x14ac:dyDescent="0.3">
      <c r="B26" t="s">
        <v>129</v>
      </c>
      <c r="C26" s="59">
        <v>-97</v>
      </c>
      <c r="D26" s="59">
        <v>-658</v>
      </c>
      <c r="E26" s="59">
        <v>-744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</row>
    <row r="27" spans="2:14" x14ac:dyDescent="0.3">
      <c r="B27" t="s">
        <v>130</v>
      </c>
      <c r="C27" s="58">
        <v>27863</v>
      </c>
      <c r="D27" s="58">
        <v>33258</v>
      </c>
      <c r="E27" s="58">
        <v>36363</v>
      </c>
      <c r="F27" s="58">
        <v>19519</v>
      </c>
      <c r="G27" s="58">
        <v>33390</v>
      </c>
      <c r="H27" s="58">
        <v>37482</v>
      </c>
      <c r="I27" s="58">
        <v>51128</v>
      </c>
      <c r="J27" s="58">
        <v>38297</v>
      </c>
      <c r="K27" s="58">
        <v>46641</v>
      </c>
      <c r="L27" s="58">
        <v>46578</v>
      </c>
      <c r="M27" s="58">
        <v>43934</v>
      </c>
      <c r="N27" s="58">
        <v>18747</v>
      </c>
    </row>
    <row r="28" spans="2:14" x14ac:dyDescent="0.3">
      <c r="B28" t="s">
        <v>131</v>
      </c>
      <c r="C28" s="58">
        <v>-20395</v>
      </c>
      <c r="D28" s="58">
        <v>-29141</v>
      </c>
      <c r="E28" s="58">
        <v>-23332</v>
      </c>
      <c r="F28" s="58">
        <v>-24924</v>
      </c>
      <c r="G28" s="58">
        <v>-21732</v>
      </c>
      <c r="H28" s="58">
        <v>-29964</v>
      </c>
      <c r="I28" s="58">
        <v>-35198</v>
      </c>
      <c r="J28" s="58">
        <v>-29847</v>
      </c>
      <c r="K28" s="58">
        <v>-29709</v>
      </c>
      <c r="L28" s="58">
        <v>-42816</v>
      </c>
      <c r="M28" s="58">
        <v>-62557</v>
      </c>
      <c r="N28" s="58">
        <v>-47332</v>
      </c>
    </row>
    <row r="29" spans="2:14" x14ac:dyDescent="0.3">
      <c r="B29" t="s">
        <v>132</v>
      </c>
      <c r="C29" s="58">
        <v>-4666</v>
      </c>
      <c r="D29" s="58">
        <v>-6171</v>
      </c>
      <c r="E29" s="58">
        <v>-6307</v>
      </c>
      <c r="F29" s="58">
        <v>-5716</v>
      </c>
      <c r="G29" s="58">
        <v>-5336</v>
      </c>
      <c r="H29" s="58">
        <v>-5411</v>
      </c>
      <c r="I29" s="58">
        <v>-7005</v>
      </c>
      <c r="J29" s="58">
        <v>-7518</v>
      </c>
      <c r="K29" s="58">
        <v>-8123</v>
      </c>
      <c r="L29" s="58">
        <v>-9251</v>
      </c>
      <c r="M29" s="58">
        <v>-9336</v>
      </c>
      <c r="N29" s="58">
        <v>-9332</v>
      </c>
    </row>
    <row r="30" spans="2:14" x14ac:dyDescent="0.3">
      <c r="B30" t="s">
        <v>133</v>
      </c>
      <c r="C30" s="58">
        <v>-1551</v>
      </c>
      <c r="D30" s="59">
        <v>-722</v>
      </c>
      <c r="E30" s="59">
        <v>-720</v>
      </c>
      <c r="F30" s="59">
        <v>-108</v>
      </c>
      <c r="G30" s="59">
        <v>-121</v>
      </c>
      <c r="H30" s="59">
        <v>-96</v>
      </c>
      <c r="I30" s="59">
        <v>-95</v>
      </c>
      <c r="J30" s="59">
        <v>-57</v>
      </c>
      <c r="K30" s="59">
        <v>-30</v>
      </c>
      <c r="L30" s="59">
        <v>-100</v>
      </c>
      <c r="M30" s="59">
        <v>-141</v>
      </c>
      <c r="N30" s="58">
        <v>-1059</v>
      </c>
    </row>
    <row r="31" spans="2:14" x14ac:dyDescent="0.3">
      <c r="B31" t="s">
        <v>134</v>
      </c>
      <c r="C31" s="59">
        <v>0</v>
      </c>
      <c r="D31" s="59">
        <v>0</v>
      </c>
      <c r="E31" s="59">
        <v>0</v>
      </c>
      <c r="F31" s="59">
        <v>0</v>
      </c>
      <c r="G31" s="59">
        <v>0</v>
      </c>
      <c r="H31" s="59">
        <v>0</v>
      </c>
      <c r="I31" s="59">
        <v>0</v>
      </c>
      <c r="J31" s="58">
        <v>-1346</v>
      </c>
      <c r="K31" s="58">
        <v>-1477</v>
      </c>
      <c r="L31" s="58">
        <v>-1559</v>
      </c>
      <c r="M31" s="58">
        <v>-1517</v>
      </c>
      <c r="N31" s="58">
        <v>-1924</v>
      </c>
    </row>
    <row r="32" spans="2:14" x14ac:dyDescent="0.3">
      <c r="B32" t="s">
        <v>135</v>
      </c>
      <c r="C32" s="58">
        <v>-2849</v>
      </c>
      <c r="D32" s="59">
        <v>-450</v>
      </c>
      <c r="E32" s="59">
        <v>-57</v>
      </c>
      <c r="F32" s="59">
        <v>0</v>
      </c>
      <c r="G32" s="59">
        <v>0</v>
      </c>
      <c r="H32" s="59">
        <v>0</v>
      </c>
      <c r="I32" s="59">
        <v>0</v>
      </c>
      <c r="J32" s="59">
        <v>-29</v>
      </c>
      <c r="K32" s="59">
        <v>0</v>
      </c>
      <c r="L32" s="58">
        <v>3750</v>
      </c>
      <c r="M32" s="58">
        <v>3355</v>
      </c>
      <c r="N32" s="58">
        <v>3812</v>
      </c>
    </row>
    <row r="33" spans="2:14" x14ac:dyDescent="0.3">
      <c r="B33" t="s">
        <v>136</v>
      </c>
      <c r="C33" s="58">
        <v>-2499</v>
      </c>
      <c r="D33" s="58">
        <v>4277</v>
      </c>
      <c r="E33" s="58">
        <v>4500</v>
      </c>
      <c r="F33" s="58">
        <v>-2589</v>
      </c>
      <c r="G33" s="58">
        <v>-3167</v>
      </c>
      <c r="H33" s="59">
        <v>730</v>
      </c>
      <c r="I33" s="58">
        <v>6843</v>
      </c>
      <c r="J33" s="58">
        <v>-3092</v>
      </c>
      <c r="K33" s="58">
        <v>13232</v>
      </c>
      <c r="L33" s="58">
        <v>6459</v>
      </c>
      <c r="M33" s="58">
        <v>-6272</v>
      </c>
      <c r="N33" s="58">
        <v>8128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C7AD4-A091-4065-A2ED-7AE3A4842C57}">
  <dimension ref="B2:P40"/>
  <sheetViews>
    <sheetView showGridLines="0" workbookViewId="0">
      <pane ySplit="3" topLeftCell="A4" activePane="bottomLeft" state="frozen"/>
      <selection pane="bottomLeft" activeCell="K6" sqref="K6"/>
    </sheetView>
  </sheetViews>
  <sheetFormatPr defaultRowHeight="14.4" x14ac:dyDescent="0.3"/>
  <cols>
    <col min="1" max="1" width="1.88671875" customWidth="1"/>
    <col min="2" max="2" width="16.77734375" customWidth="1"/>
    <col min="4" max="8" width="9" bestFit="1" customWidth="1"/>
    <col min="9" max="9" width="10" bestFit="1" customWidth="1"/>
    <col min="10" max="10" width="9.6640625" bestFit="1" customWidth="1"/>
    <col min="11" max="11" width="8" bestFit="1" customWidth="1"/>
    <col min="12" max="13" width="10" bestFit="1" customWidth="1"/>
    <col min="14" max="14" width="14.109375" customWidth="1"/>
  </cols>
  <sheetData>
    <row r="2" spans="2:16" x14ac:dyDescent="0.3">
      <c r="B2" s="70" t="str">
        <f>"Ratio Analysis of - "&amp;'Data Sheet'!B1</f>
        <v>Ratio Analysis of - DR LAL PATHLABS LTD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</row>
    <row r="3" spans="2:16" x14ac:dyDescent="0.3">
      <c r="B3" s="21" t="s">
        <v>79</v>
      </c>
      <c r="C3" s="21"/>
      <c r="D3" s="22">
        <f>'Data Sheet'!B16</f>
        <v>42460</v>
      </c>
      <c r="E3" s="22">
        <f>'Data Sheet'!C16</f>
        <v>42825</v>
      </c>
      <c r="F3" s="22">
        <f>'Data Sheet'!D16</f>
        <v>43190</v>
      </c>
      <c r="G3" s="22">
        <f>'Data Sheet'!E16</f>
        <v>43555</v>
      </c>
      <c r="H3" s="22">
        <f>'Data Sheet'!F16</f>
        <v>43921</v>
      </c>
      <c r="I3" s="22">
        <f>'Data Sheet'!G16</f>
        <v>44286</v>
      </c>
      <c r="J3" s="22">
        <f>'Data Sheet'!H16</f>
        <v>44651</v>
      </c>
      <c r="K3" s="22">
        <f>'Data Sheet'!I16</f>
        <v>45016</v>
      </c>
      <c r="L3" s="22">
        <f>'Data Sheet'!J16</f>
        <v>45382</v>
      </c>
      <c r="M3" s="22">
        <f>'Data Sheet'!K16</f>
        <v>45747</v>
      </c>
      <c r="N3" s="23" t="s">
        <v>174</v>
      </c>
      <c r="O3" s="38" t="s">
        <v>172</v>
      </c>
      <c r="P3" s="38" t="s">
        <v>173</v>
      </c>
    </row>
    <row r="5" spans="2:16" x14ac:dyDescent="0.3">
      <c r="B5" s="60" t="s">
        <v>21</v>
      </c>
      <c r="C5" s="60"/>
      <c r="D5" s="60"/>
      <c r="E5" s="61">
        <f>IFERROR('Historical FS'!E6,0)</f>
        <v>0.15298488601324367</v>
      </c>
      <c r="F5" s="61">
        <f>IFERROR('Historical FS'!F6,0)</f>
        <v>0.15842083342466973</v>
      </c>
      <c r="G5" s="61">
        <f>IFERROR('Historical FS'!G6,0)</f>
        <v>0.13861030163115462</v>
      </c>
      <c r="H5" s="61">
        <f>IFERROR('Historical FS'!H6,0)</f>
        <v>0.10548270761662581</v>
      </c>
      <c r="I5" s="61">
        <f>IFERROR('Historical FS'!I6,0)</f>
        <v>0.18860308487928079</v>
      </c>
      <c r="J5" s="61">
        <f>IFERROR('Historical FS'!J6,0)</f>
        <v>0.3200844890499408</v>
      </c>
      <c r="K5" s="61">
        <f>IFERROR('Historical FS'!K6,0)</f>
        <v>-3.3788283087653914E-2</v>
      </c>
      <c r="L5" s="61">
        <f>IFERROR('Historical FS'!L6,0)</f>
        <v>0.1040022212526277</v>
      </c>
      <c r="M5" s="61">
        <f>IFERROR('Historical FS'!M6,0)</f>
        <v>0.1054324003880287</v>
      </c>
      <c r="N5" s="32"/>
      <c r="O5" s="32">
        <f>IFERROR(AVERAGE(E5:M5),0)</f>
        <v>0.13775918235199089</v>
      </c>
      <c r="P5" s="5">
        <f>IFERROR(MEDIAN(E5:M5),0)</f>
        <v>0.13861030163115462</v>
      </c>
    </row>
    <row r="6" spans="2:16" x14ac:dyDescent="0.3">
      <c r="B6" s="52" t="s">
        <v>145</v>
      </c>
      <c r="C6" s="52"/>
      <c r="D6" s="52"/>
      <c r="E6" s="33">
        <f>IFERROR('Historical FS'!E17/'Historical FS'!D17-1,0)</f>
        <v>0.13388642540409057</v>
      </c>
      <c r="F6" s="33">
        <f>IFERROR('Historical FS'!F17/'Historical FS'!E17-1,0)</f>
        <v>0.11050838905008287</v>
      </c>
      <c r="G6" s="33">
        <f>IFERROR('Historical FS'!G17/'Historical FS'!F17-1,0)</f>
        <v>0.11196940436972191</v>
      </c>
      <c r="H6" s="33">
        <f>IFERROR('Historical FS'!H17/'Historical FS'!G17-1,0)</f>
        <v>0.16995845535653409</v>
      </c>
      <c r="I6" s="33">
        <f>IFERROR('Historical FS'!I17/'Historical FS'!H17-1,0)</f>
        <v>0.27033792240300425</v>
      </c>
      <c r="J6" s="33">
        <f>IFERROR('Historical FS'!J17/'Historical FS'!I17-1,0)</f>
        <v>0.28610379195784152</v>
      </c>
      <c r="K6" s="33">
        <f>IFERROR('Historical FS'!K17/'Historical FS'!J17-1,0)</f>
        <v>-0.12736050737547178</v>
      </c>
      <c r="L6" s="33">
        <f>IFERROR('Historical FS'!L17/'Historical FS'!K17-1,0)</f>
        <v>0.244227589163587</v>
      </c>
      <c r="M6" s="33">
        <f>IFERROR('Historical FS'!M17/'Historical FS'!L17-1,0)</f>
        <v>0.14486594690381693</v>
      </c>
      <c r="N6" s="32"/>
      <c r="O6" s="32">
        <f t="shared" ref="O6:O9" si="0">IFERROR(AVERAGE(E6:M6),0)</f>
        <v>0.14938860191480083</v>
      </c>
      <c r="P6" s="5">
        <f t="shared" ref="P6:P9" si="1">IFERROR(MEDIAN(E6:M6),0)</f>
        <v>0.14486594690381693</v>
      </c>
    </row>
    <row r="7" spans="2:16" x14ac:dyDescent="0.3">
      <c r="B7" s="52" t="s">
        <v>170</v>
      </c>
      <c r="C7" s="52"/>
      <c r="D7" s="52"/>
      <c r="E7" s="33">
        <f>IFERROR('Historical FS'!E27/'Historical FS'!D27-1,0)</f>
        <v>0.15816523901630242</v>
      </c>
      <c r="F7" s="33">
        <f>IFERROR('Historical FS'!F27/'Historical FS'!E27-1,0)</f>
        <v>9.839194541203522E-2</v>
      </c>
      <c r="G7" s="33">
        <f>IFERROR('Historical FS'!G27/'Historical FS'!F27-1,0)</f>
        <v>0.10604283418045912</v>
      </c>
      <c r="H7" s="33">
        <f>IFERROR('Historical FS'!H27/'Historical FS'!G27-1,0)</f>
        <v>3.3385703063621985E-3</v>
      </c>
      <c r="I7" s="33">
        <f>IFERROR('Historical FS'!I27/'Historical FS'!H27-1,0)</f>
        <v>0.34370718340184059</v>
      </c>
      <c r="J7" s="33">
        <f>IFERROR('Historical FS'!J27/'Historical FS'!I27-1,0)</f>
        <v>0.23242534595775655</v>
      </c>
      <c r="K7" s="33">
        <f>IFERROR('Historical FS'!K27/'Historical FS'!J27-1,0)</f>
        <v>-0.28584261163510838</v>
      </c>
      <c r="L7" s="33">
        <f>IFERROR('Historical FS'!L27/'Historical FS'!K27-1,0)</f>
        <v>0.44483797292376925</v>
      </c>
      <c r="M7" s="33">
        <f>IFERROR('Historical FS'!M27/'Historical FS'!L27-1,0)</f>
        <v>0.22226804123711408</v>
      </c>
      <c r="N7" s="32"/>
      <c r="O7" s="32">
        <f t="shared" si="0"/>
        <v>0.14703716897783678</v>
      </c>
      <c r="P7" s="5">
        <f t="shared" si="1"/>
        <v>0.15816523901630242</v>
      </c>
    </row>
    <row r="8" spans="2:16" x14ac:dyDescent="0.3">
      <c r="B8" s="52" t="s">
        <v>146</v>
      </c>
      <c r="C8" s="52"/>
      <c r="D8" s="52"/>
      <c r="E8" s="33">
        <f>IFERROR('Historical FS'!E33/'Historical FS'!D33-1,0)</f>
        <v>0.13104785405834063</v>
      </c>
      <c r="F8" s="33">
        <f>IFERROR('Historical FS'!F33/'Historical FS'!E33-1,0)</f>
        <v>9.5683341125138099E-2</v>
      </c>
      <c r="G8" s="33">
        <f>IFERROR('Historical FS'!G33/'Historical FS'!F33-1,0)</f>
        <v>9.884795903854271E-2</v>
      </c>
      <c r="H8" s="33">
        <f>IFERROR('Historical FS'!H33/'Historical FS'!G33-1,0)</f>
        <v>0.11661920786953006</v>
      </c>
      <c r="I8" s="33">
        <f>IFERROR('Historical FS'!I33/'Historical FS'!H33-1,0)</f>
        <v>0.42181523125072551</v>
      </c>
      <c r="J8" s="33">
        <f>IFERROR('Historical FS'!J33/'Historical FS'!I33-1,0)</f>
        <v>0.21612587640632608</v>
      </c>
      <c r="K8" s="33">
        <f>IFERROR('Historical FS'!K33/'Historical FS'!J33-1,0)</f>
        <v>-0.33176912247770962</v>
      </c>
      <c r="L8" s="33">
        <f>IFERROR('Historical FS'!L33/'Historical FS'!K33-1,0)</f>
        <v>0.47140850722311356</v>
      </c>
      <c r="M8" s="33">
        <f>IFERROR('Historical FS'!M33/'Historical FS'!L33-1,0)</f>
        <v>0.36691211563373671</v>
      </c>
      <c r="N8" s="32"/>
      <c r="O8" s="32">
        <f t="shared" si="0"/>
        <v>0.17629899668086041</v>
      </c>
      <c r="P8" s="5">
        <f t="shared" si="1"/>
        <v>0.13104785405834063</v>
      </c>
    </row>
    <row r="9" spans="2:16" x14ac:dyDescent="0.3">
      <c r="B9" s="62" t="s">
        <v>147</v>
      </c>
      <c r="C9" s="62"/>
      <c r="D9" s="62"/>
      <c r="E9" s="63">
        <f>IFERROR('Historical FS'!E41/'Historical FS'!D41-1,0)</f>
        <v>0.2240892465339277</v>
      </c>
      <c r="F9" s="63">
        <f>IFERROR('Historical FS'!F41/'Historical FS'!E41-1,0)</f>
        <v>0.5012024071265746</v>
      </c>
      <c r="G9" s="63">
        <f>IFERROR('Historical FS'!G41/'Historical FS'!F41-1,0)</f>
        <v>0.33333333333333304</v>
      </c>
      <c r="H9" s="63">
        <f>IFERROR('Historical FS'!H41/'Historical FS'!G41-1,0)</f>
        <v>1.0004</v>
      </c>
      <c r="I9" s="63">
        <f>IFERROR('Historical FS'!I41/'Historical FS'!H41-1,0)</f>
        <v>0.66666666666666652</v>
      </c>
      <c r="J9" s="63">
        <f>IFERROR('Historical FS'!J41/'Historical FS'!I41-1,0)</f>
        <v>-0.4</v>
      </c>
      <c r="K9" s="63">
        <f>IFERROR('Historical FS'!K41/'Historical FS'!J41-1,0)</f>
        <v>-0.50049966025979442</v>
      </c>
      <c r="L9" s="63">
        <f>IFERROR('Historical FS'!L41/'Historical FS'!K41-1,0)</f>
        <v>-1</v>
      </c>
      <c r="M9" s="63">
        <f>IFERROR('Historical FS'!M41/'Historical FS'!L41-1,0)</f>
        <v>0</v>
      </c>
      <c r="N9" s="32"/>
      <c r="O9" s="32">
        <f t="shared" si="0"/>
        <v>9.1687999266745257E-2</v>
      </c>
      <c r="P9" s="5">
        <f t="shared" si="1"/>
        <v>0.2240892465339277</v>
      </c>
    </row>
    <row r="11" spans="2:16" x14ac:dyDescent="0.3">
      <c r="B11" s="60" t="s">
        <v>144</v>
      </c>
      <c r="C11" s="60"/>
      <c r="D11" s="61">
        <f>IFERROR('Historical FS'!D12,0)</f>
        <v>0.44308244452307533</v>
      </c>
      <c r="E11" s="61">
        <f>IFERROR('Historical FS'!E12,0)</f>
        <v>0.45278283171485562</v>
      </c>
      <c r="F11" s="61">
        <f>IFERROR('Historical FS'!F12,0)</f>
        <v>0.4441017295537979</v>
      </c>
      <c r="G11" s="61">
        <f>IFERROR('Historical FS'!G12,0)</f>
        <v>0.44848847451430091</v>
      </c>
      <c r="H11" s="61">
        <f>IFERROR('Historical FS'!H12,0)</f>
        <v>0.42570432063501595</v>
      </c>
      <c r="I11" s="61">
        <f>IFERROR('Historical FS'!I12,0)</f>
        <v>0.41239004091647846</v>
      </c>
      <c r="J11" s="61">
        <f>IFERROR('Historical FS'!J12,0)</f>
        <v>0.41160097920389377</v>
      </c>
      <c r="K11" s="61">
        <f>IFERROR('Historical FS'!K12,0)</f>
        <v>0.40507119907976674</v>
      </c>
      <c r="L11" s="61">
        <f>IFERROR('Historical FS'!L12,0)</f>
        <v>0.42208439622031402</v>
      </c>
      <c r="M11" s="61">
        <f>IFERROR('Historical FS'!M12,0)</f>
        <v>0.42873974161046563</v>
      </c>
      <c r="O11" s="32">
        <f>IFERROR(AVERAGE(D11:M11),0)</f>
        <v>0.42940461579719641</v>
      </c>
      <c r="P11" s="5">
        <f>IFERROR(MEDIAN(D11:M11),0)</f>
        <v>0.42722203112274082</v>
      </c>
    </row>
    <row r="12" spans="2:16" x14ac:dyDescent="0.3">
      <c r="B12" s="52" t="s">
        <v>148</v>
      </c>
      <c r="C12" s="52"/>
      <c r="D12" s="33">
        <f>IFERROR('Historical FS'!D18,0)</f>
        <v>0.26503816408027092</v>
      </c>
      <c r="E12" s="33">
        <f>IFERROR('Historical FS'!E18,0)</f>
        <v>0.26064797562419162</v>
      </c>
      <c r="F12" s="33">
        <f>IFERROR('Historical FS'!F18,0)</f>
        <v>0.24986753964349254</v>
      </c>
      <c r="G12" s="33">
        <f>IFERROR('Historical FS'!G18,0)</f>
        <v>0.24402120622891427</v>
      </c>
      <c r="H12" s="33">
        <f>IFERROR('Historical FS'!H18,0)</f>
        <v>0.25825340509335809</v>
      </c>
      <c r="I12" s="33">
        <f>IFERROR('Historical FS'!I18,0)</f>
        <v>0.27601231921177277</v>
      </c>
      <c r="J12" s="33">
        <f>IFERROR('Historical FS'!J18,0)</f>
        <v>0.26890740199577462</v>
      </c>
      <c r="K12" s="33">
        <f>IFERROR('Historical FS'!K18,0)</f>
        <v>0.24286521756376186</v>
      </c>
      <c r="L12" s="33">
        <f>IFERROR('Historical FS'!L18,0)</f>
        <v>0.27371285883663277</v>
      </c>
      <c r="M12" s="33">
        <f>IFERROR('Historical FS'!M18,0)</f>
        <v>0.28347688307467306</v>
      </c>
      <c r="O12" s="32">
        <f t="shared" ref="O12:O15" si="2">IFERROR(AVERAGE(D12:M12),0)</f>
        <v>0.26228029713528428</v>
      </c>
      <c r="P12" s="5">
        <f t="shared" ref="P12:P15" si="3">IFERROR(MEDIAN(D12:M12),0)</f>
        <v>0.26284306985223127</v>
      </c>
    </row>
    <row r="13" spans="2:16" x14ac:dyDescent="0.3">
      <c r="B13" s="52" t="s">
        <v>149</v>
      </c>
      <c r="C13" s="52"/>
      <c r="D13" s="33">
        <f>IFERROR(('Historical FS'!D17-'Historical FS'!D24)/'Historical FS'!D5,0)</f>
        <v>0.22930040944245059</v>
      </c>
      <c r="E13" s="33">
        <f>IFERROR(('Historical FS'!E17-'Historical FS'!E24)/'Historical FS'!E5,0)</f>
        <v>0.23046318419956591</v>
      </c>
      <c r="F13" s="33">
        <f>IFERROR(('Historical FS'!F17-'Historical FS'!F24)/'Historical FS'!F5,0)</f>
        <v>0.21858797259962923</v>
      </c>
      <c r="G13" s="33">
        <f>IFERROR(('Historical FS'!G17-'Historical FS'!G24)/'Historical FS'!G5,0)</f>
        <v>0.21226172076249356</v>
      </c>
      <c r="H13" s="33">
        <f>IFERROR(('Historical FS'!H17-'Historical FS'!H24)/'Historical FS'!H5,0)</f>
        <v>0.20352385820379434</v>
      </c>
      <c r="I13" s="33">
        <f>IFERROR(('Historical FS'!I17-'Historical FS'!I24)/'Historical FS'!I5,0)</f>
        <v>0.22719080232977287</v>
      </c>
      <c r="J13" s="33">
        <f>IFERROR(('Historical FS'!J17-'Historical FS'!J24)/'Historical FS'!J5,0)</f>
        <v>0.21711594751390473</v>
      </c>
      <c r="K13" s="33">
        <f>IFERROR(('Historical FS'!K17-'Historical FS'!K24)/'Historical FS'!K5,0)</f>
        <v>0.16839871484669391</v>
      </c>
      <c r="L13" s="33">
        <f>IFERROR(('Historical FS'!L17-'Historical FS'!L24)/'Historical FS'!L5,0)</f>
        <v>0.20922106851579059</v>
      </c>
      <c r="M13" s="33">
        <f>IFERROR(('Historical FS'!M17-'Historical FS'!M24)/'Historical FS'!M5,0)</f>
        <v>0.22581863979848876</v>
      </c>
      <c r="O13" s="32">
        <f t="shared" si="2"/>
        <v>0.2141882318212584</v>
      </c>
      <c r="P13" s="5">
        <f t="shared" si="3"/>
        <v>0.21785196005676699</v>
      </c>
    </row>
    <row r="14" spans="2:16" x14ac:dyDescent="0.3">
      <c r="B14" s="52" t="s">
        <v>150</v>
      </c>
      <c r="C14" s="52"/>
      <c r="D14" s="33">
        <f>IFERROR('Historical FS'!D28,0)</f>
        <v>0.22866855380882575</v>
      </c>
      <c r="E14" s="33">
        <f>IFERROR('Historical FS'!E28,0)</f>
        <v>0.22969596001665965</v>
      </c>
      <c r="F14" s="33">
        <f>IFERROR('Historical FS'!F28,0)</f>
        <v>0.2177932104605837</v>
      </c>
      <c r="G14" s="33">
        <f>IFERROR('Historical FS'!G28,0)</f>
        <v>0.2115637100929019</v>
      </c>
      <c r="H14" s="33">
        <f>IFERROR('Historical FS'!H28,0)</f>
        <v>0.19201569499984955</v>
      </c>
      <c r="I14" s="33">
        <f>IFERROR('Historical FS'!I28,0)</f>
        <v>0.21707235323505786</v>
      </c>
      <c r="J14" s="33">
        <f>IFERROR('Historical FS'!J28,0)</f>
        <v>0.20265783914037008</v>
      </c>
      <c r="K14" s="33">
        <f>IFERROR('Historical FS'!K28,0)</f>
        <v>0.14979076593550433</v>
      </c>
      <c r="L14" s="33">
        <f>IFERROR('Historical FS'!L28,0)</f>
        <v>0.19603528185966299</v>
      </c>
      <c r="M14" s="33">
        <f>IFERROR('Historical FS'!M28,0)</f>
        <v>0.21675469245145046</v>
      </c>
      <c r="O14" s="32">
        <f t="shared" si="2"/>
        <v>0.2062048062000866</v>
      </c>
      <c r="P14" s="5">
        <f t="shared" si="3"/>
        <v>0.21415920127217619</v>
      </c>
    </row>
    <row r="15" spans="2:16" x14ac:dyDescent="0.3">
      <c r="B15" s="62" t="s">
        <v>151</v>
      </c>
      <c r="C15" s="62"/>
      <c r="D15" s="63">
        <f>IFERROR('Historical FS'!D34,0)</f>
        <v>0.14339331749481879</v>
      </c>
      <c r="E15" s="63">
        <f>IFERROR('Historical FS'!E34,0)</f>
        <v>0.14066507376312493</v>
      </c>
      <c r="F15" s="63">
        <f>IFERROR('Historical FS'!F34,0)</f>
        <v>0.13304696665783611</v>
      </c>
      <c r="G15" s="63">
        <f>IFERROR('Historical FS'!G34,0)</f>
        <v>0.12840072460155227</v>
      </c>
      <c r="H15" s="63">
        <f>IFERROR('Historical FS'!H34,0)</f>
        <v>0.1296942181063771</v>
      </c>
      <c r="I15" s="63">
        <f>IFERROR('Historical FS'!I34,0)</f>
        <v>0.15514112074471781</v>
      </c>
      <c r="J15" s="63">
        <f>IFERROR('Historical FS'!J34,0)</f>
        <v>0.142923527241893</v>
      </c>
      <c r="K15" s="63">
        <f>IFERROR('Historical FS'!K34,0)</f>
        <v>9.8845741938042922E-2</v>
      </c>
      <c r="L15" s="63">
        <f>IFERROR('Historical FS'!L34,0)</f>
        <v>0.13174109869579273</v>
      </c>
      <c r="M15" s="63">
        <f>IFERROR('Historical FS'!M34,0)</f>
        <v>0.1629032258064517</v>
      </c>
      <c r="O15" s="32">
        <f t="shared" si="2"/>
        <v>0.13667550150506075</v>
      </c>
      <c r="P15" s="5">
        <f t="shared" si="3"/>
        <v>0.13685602021048052</v>
      </c>
    </row>
    <row r="17" spans="2:16" x14ac:dyDescent="0.3">
      <c r="B17" s="60" t="s">
        <v>152</v>
      </c>
      <c r="C17" s="60"/>
      <c r="D17" s="61">
        <f>IFERROR('Historical FS'!D15,0)</f>
        <v>0.1780442804428044</v>
      </c>
      <c r="E17" s="61">
        <f>IFERROR('Historical FS'!E15,0)</f>
        <v>0.192134856090664</v>
      </c>
      <c r="F17" s="61">
        <f>IFERROR('Historical FS'!F15,0)</f>
        <v>0.19423418991030539</v>
      </c>
      <c r="G17" s="61">
        <f>IFERROR('Historical FS'!G15,0)</f>
        <v>0.20446726828538664</v>
      </c>
      <c r="H17" s="61">
        <f>IFERROR('Historical FS'!H15,0)</f>
        <v>0.16745091554165792</v>
      </c>
      <c r="I17" s="61">
        <f>IFERROR('Historical FS'!I15,0)</f>
        <v>0.13637772170470572</v>
      </c>
      <c r="J17" s="61">
        <f>IFERROR('Historical FS'!J15,0)</f>
        <v>0.14269357720811918</v>
      </c>
      <c r="K17" s="61">
        <f>IFERROR('Historical FS'!K15,0)</f>
        <v>0.1622059815160049</v>
      </c>
      <c r="L17" s="61">
        <f>IFERROR('Historical FS'!L15,0)</f>
        <v>0.14837153738368125</v>
      </c>
      <c r="M17" s="61">
        <f>IFERROR('Historical FS'!M15,0)</f>
        <v>0.14526285853579263</v>
      </c>
      <c r="O17" s="32">
        <f>IFERROR(AVERAGE(D17:M17),0)</f>
        <v>0.16712431866191221</v>
      </c>
      <c r="P17" s="5">
        <f t="shared" ref="P17:P18" si="4">IFERROR(MEDIAN(D17:M17),0)</f>
        <v>0.16482844852883141</v>
      </c>
    </row>
    <row r="18" spans="2:16" x14ac:dyDescent="0.3">
      <c r="B18" s="52" t="s">
        <v>153</v>
      </c>
      <c r="C18" s="52"/>
      <c r="D18" s="33">
        <f>IFERROR('Historical FS'!D25,0)</f>
        <v>3.5737754637820349E-2</v>
      </c>
      <c r="E18" s="33">
        <f>IFERROR('Historical FS'!E25,0)</f>
        <v>3.0184791424625705E-2</v>
      </c>
      <c r="F18" s="33">
        <f>IFERROR('Historical FS'!F25,0)</f>
        <v>3.1279567043863303E-2</v>
      </c>
      <c r="G18" s="33">
        <f>IFERROR('Historical FS'!G25,0)</f>
        <v>3.1759485466420698E-2</v>
      </c>
      <c r="H18" s="33">
        <f>IFERROR('Historical FS'!H25,0)</f>
        <v>5.4729546889563732E-2</v>
      </c>
      <c r="I18" s="33">
        <f>IFERROR('Historical FS'!I25,0)</f>
        <v>4.8821516881999913E-2</v>
      </c>
      <c r="J18" s="33">
        <f>IFERROR('Historical FS'!J25,0)</f>
        <v>5.1791454481869878E-2</v>
      </c>
      <c r="K18" s="33">
        <f>IFERROR('Historical FS'!K25,0)</f>
        <v>7.4466502717067937E-2</v>
      </c>
      <c r="L18" s="33">
        <f>IFERROR('Historical FS'!L25,0)</f>
        <v>6.4491790320842166E-2</v>
      </c>
      <c r="M18" s="33">
        <f>IFERROR('Historical FS'!M25,0)</f>
        <v>5.7658243276184275E-2</v>
      </c>
      <c r="O18" s="32">
        <f t="shared" ref="O18:O19" si="5">IFERROR(AVERAGE(D18:M18),0)</f>
        <v>4.8092065314025802E-2</v>
      </c>
      <c r="P18" s="5">
        <f t="shared" si="4"/>
        <v>5.0306485681934895E-2</v>
      </c>
    </row>
    <row r="19" spans="2:16" x14ac:dyDescent="0.3">
      <c r="B19" s="62" t="s">
        <v>154</v>
      </c>
      <c r="C19" s="62"/>
      <c r="D19" s="63">
        <f>D13</f>
        <v>0.22930040944245059</v>
      </c>
      <c r="E19" s="63">
        <f t="shared" ref="E19:M19" si="6">E13</f>
        <v>0.23046318419956591</v>
      </c>
      <c r="F19" s="63">
        <f t="shared" si="6"/>
        <v>0.21858797259962923</v>
      </c>
      <c r="G19" s="63">
        <f t="shared" si="6"/>
        <v>0.21226172076249356</v>
      </c>
      <c r="H19" s="63">
        <f t="shared" si="6"/>
        <v>0.20352385820379434</v>
      </c>
      <c r="I19" s="63">
        <f t="shared" si="6"/>
        <v>0.22719080232977287</v>
      </c>
      <c r="J19" s="63">
        <f t="shared" si="6"/>
        <v>0.21711594751390473</v>
      </c>
      <c r="K19" s="63">
        <f t="shared" si="6"/>
        <v>0.16839871484669391</v>
      </c>
      <c r="L19" s="63">
        <f t="shared" si="6"/>
        <v>0.20922106851579059</v>
      </c>
      <c r="M19" s="63">
        <f t="shared" si="6"/>
        <v>0.22581863979848876</v>
      </c>
      <c r="O19" s="32">
        <f t="shared" si="5"/>
        <v>0.2141882318212584</v>
      </c>
      <c r="P19" s="5">
        <f>IFERROR(MEDIAN(D19:M19),0)</f>
        <v>0.21785196005676699</v>
      </c>
    </row>
    <row r="21" spans="2:16" x14ac:dyDescent="0.3">
      <c r="B21" s="60" t="s">
        <v>155</v>
      </c>
      <c r="C21" s="60"/>
      <c r="D21" s="61">
        <f>IFERROR(('Historical FS'!D17-'Historical FS'!D24)/SUM('Historical FS'!D48:D50),0)</f>
        <v>0.35764265300088699</v>
      </c>
      <c r="E21" s="61">
        <f>IFERROR(('Historical FS'!E17-'Historical FS'!E24)/SUM('Historical FS'!E48:E50),0)</f>
        <v>0.35308637829124118</v>
      </c>
      <c r="F21" s="61">
        <f>IFERROR(('Historical FS'!F17-'Historical FS'!F24)/SUM('Historical FS'!F48:F50),0)</f>
        <v>0.2932410991940092</v>
      </c>
      <c r="G21" s="61">
        <f>IFERROR(('Historical FS'!G17-'Historical FS'!G24)/SUM('Historical FS'!G48:G50),0)</f>
        <v>0.27016679182222975</v>
      </c>
      <c r="H21" s="61">
        <f>IFERROR(('Historical FS'!H17-'Historical FS'!H24)/SUM('Historical FS'!H48:H50),0)</f>
        <v>0.26215603880637461</v>
      </c>
      <c r="I21" s="61">
        <f>IFERROR(('Historical FS'!I17-'Historical FS'!I24)/SUM('Historical FS'!I48:I50),0)</f>
        <v>0.25742538783991969</v>
      </c>
      <c r="J21" s="61">
        <f>IFERROR(('Historical FS'!J17-'Historical FS'!J24)/SUM('Historical FS'!J48:J50),0)</f>
        <v>0.22279739256113021</v>
      </c>
      <c r="K21" s="61">
        <f>IFERROR(('Historical FS'!K17-'Historical FS'!K24)/SUM('Historical FS'!K48:K50),0)</f>
        <v>0.16283440406558636</v>
      </c>
      <c r="L21" s="61">
        <f>IFERROR(('Historical FS'!L17-'Historical FS'!L24)/SUM('Historical FS'!L48:L50),0)</f>
        <v>0.22223812386104511</v>
      </c>
      <c r="M21" s="61">
        <f>IFERROR(('Historical FS'!M17-'Historical FS'!M24)/SUM('Historical FS'!M48:M50),0)</f>
        <v>0.2385393152342779</v>
      </c>
      <c r="O21" s="32">
        <f>IFERROR(AVERAGE(D21:M21),0)</f>
        <v>0.26401275846767008</v>
      </c>
      <c r="P21" s="5">
        <f>IFERROR(MEDIAN(D21:M21),0)</f>
        <v>0.25979071332314718</v>
      </c>
    </row>
    <row r="22" spans="2:16" x14ac:dyDescent="0.3">
      <c r="B22" s="52" t="s">
        <v>156</v>
      </c>
      <c r="C22" s="52"/>
      <c r="D22" s="33">
        <f>IFERROR('Historical FS'!D44,0)</f>
        <v>0.82145060368379308</v>
      </c>
      <c r="E22" s="33">
        <f>IFERROR('Historical FS'!E44,0)</f>
        <v>0.80582826866136803</v>
      </c>
      <c r="F22" s="33">
        <f>IFERROR('Historical FS'!F44,0)</f>
        <v>0.73332385151472068</v>
      </c>
      <c r="G22" s="33">
        <f>IFERROR('Historical FS'!G44,0)</f>
        <v>0.67641729225990166</v>
      </c>
      <c r="H22" s="33">
        <f>IFERROR('Historical FS'!H44,0)</f>
        <v>0.42030833429929226</v>
      </c>
      <c r="I22" s="33">
        <f>IFERROR('Historical FS'!I44,0)</f>
        <v>0.32047937387901504</v>
      </c>
      <c r="J22" s="33">
        <f>IFERROR('Historical FS'!J44,0)</f>
        <v>0.6647449219011865</v>
      </c>
      <c r="K22" s="33">
        <f>IFERROR('Historical FS'!K44,0)</f>
        <v>0.7490971107544141</v>
      </c>
      <c r="L22" s="33">
        <f>IFERROR('Historical FS'!L44,0)</f>
        <v>1</v>
      </c>
      <c r="M22" s="33">
        <f>IFERROR('Historical FS'!M44,0)</f>
        <v>1</v>
      </c>
      <c r="O22" s="32">
        <f t="shared" ref="O22:O24" si="7">IFERROR(AVERAGE(D22:M22),0)</f>
        <v>0.71916497569536908</v>
      </c>
      <c r="P22" s="5">
        <f t="shared" ref="P22:P24" si="8">IFERROR(MEDIAN(D22:M22),0)</f>
        <v>0.74121048113456744</v>
      </c>
    </row>
    <row r="23" spans="2:16" x14ac:dyDescent="0.3">
      <c r="B23" s="52" t="s">
        <v>157</v>
      </c>
      <c r="C23" s="52"/>
      <c r="D23" s="33">
        <f>IFERROR('Historical FS'!D33/SUM('Historical FS'!D48:D49),0)</f>
        <v>0.22365231102789004</v>
      </c>
      <c r="E23" s="33">
        <f>IFERROR('Historical FS'!E33/SUM('Historical FS'!E48:E49),0)</f>
        <v>0.21550913487372367</v>
      </c>
      <c r="F23" s="33">
        <f>IFERROR('Historical FS'!F33/SUM('Historical FS'!F48:F49),0)</f>
        <v>0.17848575236402886</v>
      </c>
      <c r="G23" s="33">
        <f>IFERROR('Historical FS'!G33/SUM('Historical FS'!G48:G49),0)</f>
        <v>0.1634284868163598</v>
      </c>
      <c r="H23" s="33">
        <f>IFERROR('Historical FS'!H33/SUM('Historical FS'!H48:H49),0)</f>
        <v>0.16705718324587038</v>
      </c>
      <c r="I23" s="33">
        <f>IFERROR('Historical FS'!I33/SUM('Historical FS'!I48:I49),0)</f>
        <v>0.1970346810595473</v>
      </c>
      <c r="J23" s="33">
        <f>IFERROR('Historical FS'!J33/SUM('Historical FS'!J48:J49),0)</f>
        <v>0.19868008337717508</v>
      </c>
      <c r="K23" s="33">
        <f>IFERROR('Historical FS'!K33/SUM('Historical FS'!K48:K49),0)</f>
        <v>0.11964232131068835</v>
      </c>
      <c r="L23" s="33">
        <f>IFERROR('Historical FS'!L33/SUM('Historical FS'!L48:L49),0)</f>
        <v>0.15862303911230793</v>
      </c>
      <c r="M23" s="33">
        <f>IFERROR('Historical FS'!M33/SUM('Historical FS'!M48:M49),0)</f>
        <v>0.18454832904529375</v>
      </c>
      <c r="O23" s="32">
        <f t="shared" si="7"/>
        <v>0.18066613222328853</v>
      </c>
      <c r="P23" s="5">
        <f t="shared" si="8"/>
        <v>0.18151704070466129</v>
      </c>
    </row>
    <row r="24" spans="2:16" x14ac:dyDescent="0.3">
      <c r="B24" s="52" t="s">
        <v>158</v>
      </c>
      <c r="C24" s="52"/>
      <c r="D24" s="33">
        <f>IFERROR(D22*D23,0)</f>
        <v>0.18371932590913573</v>
      </c>
      <c r="E24" s="33">
        <f t="shared" ref="E24:M24" si="9">IFERROR(E22*E23,0)</f>
        <v>0.173663353036002</v>
      </c>
      <c r="F24" s="33">
        <f t="shared" si="9"/>
        <v>0.13088785936409231</v>
      </c>
      <c r="G24" s="33">
        <f t="shared" si="9"/>
        <v>0.11054585453045512</v>
      </c>
      <c r="H24" s="33">
        <f t="shared" si="9"/>
        <v>7.0215526422803418E-2</v>
      </c>
      <c r="I24" s="33">
        <f t="shared" si="9"/>
        <v>6.3145551218415141E-2</v>
      </c>
      <c r="J24" s="33">
        <f t="shared" si="9"/>
        <v>0.13207157650788146</v>
      </c>
      <c r="K24" s="33">
        <f t="shared" si="9"/>
        <v>8.9623717217787904E-2</v>
      </c>
      <c r="L24" s="33">
        <f t="shared" si="9"/>
        <v>0.15862303911230793</v>
      </c>
      <c r="M24" s="33">
        <f t="shared" si="9"/>
        <v>0.18454832904529375</v>
      </c>
      <c r="O24" s="32">
        <f t="shared" si="7"/>
        <v>0.12970441323641752</v>
      </c>
      <c r="P24" s="5">
        <f t="shared" si="8"/>
        <v>0.1314797179359869</v>
      </c>
    </row>
    <row r="25" spans="2:16" x14ac:dyDescent="0.3">
      <c r="B25" s="62" t="s">
        <v>171</v>
      </c>
      <c r="C25" s="62"/>
      <c r="D25" s="64">
        <f>IFERROR(('Historical FS'!D17-'Historical FS'!D24)/'Historical FS'!D21,0)</f>
        <v>362.90000000000003</v>
      </c>
      <c r="E25" s="64">
        <f>IFERROR(('Historical FS'!E17-'Historical FS'!E24)/'Historical FS'!E21,0)</f>
        <v>300.38571428571424</v>
      </c>
      <c r="F25" s="64">
        <f>IFERROR(('Historical FS'!F17-'Historical FS'!F24)/'Historical FS'!F21,0)</f>
        <v>275.03571428571445</v>
      </c>
      <c r="G25" s="64">
        <f>IFERROR(('Historical FS'!G17-'Historical FS'!G24)/'Historical FS'!G21,0)</f>
        <v>304.09523809523813</v>
      </c>
      <c r="H25" s="64">
        <f>IFERROR(('Historical FS'!H17-'Historical FS'!H24)/'Historical FS'!H21,0)</f>
        <v>17.685173089483985</v>
      </c>
      <c r="I25" s="64">
        <f>IFERROR(('Historical FS'!I17-'Historical FS'!I24)/'Historical FS'!I21,0)</f>
        <v>22.453124999999996</v>
      </c>
      <c r="J25" s="64">
        <f>IFERROR(('Historical FS'!J17-'Historical FS'!J24)/'Historical FS'!J21,0)</f>
        <v>15.016898608349894</v>
      </c>
      <c r="K25" s="64">
        <f>IFERROR(('Historical FS'!K17-'Historical FS'!K24)/'Historical FS'!K21,0)</f>
        <v>9.0498268052224891</v>
      </c>
      <c r="L25" s="64">
        <f>IFERROR(('Historical FS'!L17-'Historical FS'!L24)/'Historical FS'!L21,0)</f>
        <v>15.867166212534057</v>
      </c>
      <c r="M25" s="64">
        <f>IFERROR(('Historical FS'!M17-'Historical FS'!M24)/'Historical FS'!M21,0)</f>
        <v>24.913939937247886</v>
      </c>
      <c r="O25" s="35">
        <f>IFERROR(AVERAGE(D25:M25),0)</f>
        <v>134.7402796319505</v>
      </c>
      <c r="P25" s="5">
        <f>IFERROR(MEDIAN(D25:M25),0)</f>
        <v>23.683532468623941</v>
      </c>
    </row>
    <row r="27" spans="2:16" x14ac:dyDescent="0.3">
      <c r="B27" s="60" t="s">
        <v>159</v>
      </c>
      <c r="C27" s="60"/>
      <c r="D27" s="65">
        <f>IFERROR('Historical FS'!D5/'Historical FS'!D60,0)</f>
        <v>21.793445331864501</v>
      </c>
      <c r="E27" s="65">
        <f>IFERROR('Historical FS'!E5/'Historical FS'!E60,0)</f>
        <v>21.827272727272728</v>
      </c>
      <c r="F27" s="65">
        <f>IFERROR('Historical FS'!F5/'Historical FS'!F60,0)</f>
        <v>25.678328474246847</v>
      </c>
      <c r="G27" s="65">
        <f>IFERROR('Historical FS'!G5/'Historical FS'!G60,0)</f>
        <v>22.612175873731683</v>
      </c>
      <c r="H27" s="65">
        <f>IFERROR('Historical FS'!H5/'Historical FS'!H60,0)</f>
        <v>25.887526756178243</v>
      </c>
      <c r="I27" s="65">
        <f>IFERROR('Historical FS'!I5/'Historical FS'!I60,0)</f>
        <v>23.707196401799099</v>
      </c>
      <c r="J27" s="65">
        <f>IFERROR('Historical FS'!J5/'Historical FS'!J60,0)</f>
        <v>24.442740046838406</v>
      </c>
      <c r="K27" s="65">
        <f>IFERROR('Historical FS'!K5/'Historical FS'!K60,0)</f>
        <v>28.478960745552108</v>
      </c>
      <c r="L27" s="65">
        <f>IFERROR('Historical FS'!L5/'Historical FS'!L60,0)</f>
        <v>28.767958656330745</v>
      </c>
      <c r="M27" s="65">
        <f>IFERROR('Historical FS'!M5/'Historical FS'!M60,0)</f>
        <v>27.932364956876985</v>
      </c>
      <c r="O27" s="35">
        <f>IFERROR(AVERAGE(D27:M27),0)</f>
        <v>25.112796997069136</v>
      </c>
      <c r="P27" s="36">
        <f>IFERROR(MEDIAN(D27:M27),0)</f>
        <v>25.060534260542624</v>
      </c>
    </row>
    <row r="28" spans="2:16" x14ac:dyDescent="0.3">
      <c r="B28" s="52" t="s">
        <v>160</v>
      </c>
      <c r="C28" s="52"/>
      <c r="D28" s="66">
        <f>IFERROR('Historical FS'!D5/'Historical FS'!D51,0)</f>
        <v>6.7129284017645068</v>
      </c>
      <c r="E28" s="66">
        <f>IFERROR('Historical FS'!E5/'Historical FS'!E51,0)</f>
        <v>9.6486886632825719</v>
      </c>
      <c r="F28" s="66">
        <f>IFERROR('Historical FS'!F5/'Historical FS'!F51,0)</f>
        <v>8.2765857478465161</v>
      </c>
      <c r="G28" s="66">
        <f>IFERROR('Historical FS'!G5/'Historical FS'!G51,0)</f>
        <v>8.2983036822507241</v>
      </c>
      <c r="H28" s="66">
        <f>IFERROR('Historical FS'!H5/'Historical FS'!H51,0)</f>
        <v>3.895750973674192</v>
      </c>
      <c r="I28" s="66">
        <f>IFERROR('Historical FS'!I5/'Historical FS'!I51,0)</f>
        <v>5.9666062938646141</v>
      </c>
      <c r="J28" s="66">
        <f>IFERROR('Historical FS'!J5/'Historical FS'!J51,0)</f>
        <v>6.7656629825300616</v>
      </c>
      <c r="K28" s="66">
        <f>IFERROR('Historical FS'!K5/'Historical FS'!K51,0)</f>
        <v>6.7949599083619709</v>
      </c>
      <c r="L28" s="66">
        <f>IFERROR('Historical FS'!L5/'Historical FS'!L51,0)</f>
        <v>6.2309780327410094</v>
      </c>
      <c r="M28" s="66">
        <f>IFERROR('Historical FS'!M5/'Historical FS'!M51,0)</f>
        <v>6.4219369651429767</v>
      </c>
      <c r="O28" s="35">
        <f t="shared" ref="O28:O31" si="10">IFERROR(AVERAGE(D28:M28),0)</f>
        <v>6.9012401651459143</v>
      </c>
      <c r="P28" s="36">
        <f t="shared" ref="P28:P31" si="11">IFERROR(MEDIAN(D28:M28),0)</f>
        <v>6.7392956921472837</v>
      </c>
    </row>
    <row r="29" spans="2:16" x14ac:dyDescent="0.3">
      <c r="B29" s="52" t="s">
        <v>161</v>
      </c>
      <c r="C29" s="52"/>
      <c r="D29" s="66">
        <f>IFERROR('Historical FS'!D5/'Historical FS'!D61,0)</f>
        <v>54.498622589531685</v>
      </c>
      <c r="E29" s="66">
        <f>IFERROR('Historical FS'!E5/'Historical FS'!E61,0)</f>
        <v>50.942490228922388</v>
      </c>
      <c r="F29" s="66">
        <f>IFERROR('Historical FS'!F5/'Historical FS'!F61,0)</f>
        <v>38.658376005852233</v>
      </c>
      <c r="G29" s="66">
        <f>IFERROR('Historical FS'!G5/'Historical FS'!G61,0)</f>
        <v>42.16608269096006</v>
      </c>
      <c r="H29" s="66">
        <f>IFERROR('Historical FS'!H5/'Historical FS'!H61,0)</f>
        <v>23.356039325842694</v>
      </c>
      <c r="I29" s="66">
        <f>IFERROR('Historical FS'!I5/'Historical FS'!I61,0)</f>
        <v>37.153900375939848</v>
      </c>
      <c r="J29" s="66">
        <f>IFERROR('Historical FS'!J5/'Historical FS'!J61,0)</f>
        <v>39.729920060905975</v>
      </c>
      <c r="K29" s="66">
        <f>IFERROR('Historical FS'!K5/'Historical FS'!K61,0)</f>
        <v>59.653356994971901</v>
      </c>
      <c r="L29" s="66">
        <f>IFERROR('Historical FS'!L5/'Historical FS'!L61,0)</f>
        <v>59.679442508710792</v>
      </c>
      <c r="M29" s="66">
        <f>IFERROR('Historical FS'!M5/'Historical FS'!M61,0)</f>
        <v>68.126210905065037</v>
      </c>
      <c r="O29" s="35">
        <f t="shared" si="10"/>
        <v>47.396444168670257</v>
      </c>
      <c r="P29" s="36">
        <f t="shared" si="11"/>
        <v>46.554286459941224</v>
      </c>
    </row>
    <row r="30" spans="2:16" x14ac:dyDescent="0.3">
      <c r="B30" s="52" t="s">
        <v>162</v>
      </c>
      <c r="C30" s="52"/>
      <c r="D30" s="66">
        <f>IFERROR('Historical FS'!D5/'Historical FS'!D54,0)</f>
        <v>4.7773484665539732</v>
      </c>
      <c r="E30" s="66">
        <f>IFERROR('Historical FS'!E5/'Historical FS'!E54,0)</f>
        <v>5.9855671455750175</v>
      </c>
      <c r="F30" s="66">
        <f>IFERROR('Historical FS'!F5/'Historical FS'!F54,0)</f>
        <v>5.0930994602929838</v>
      </c>
      <c r="G30" s="66">
        <f>IFERROR('Historical FS'!G5/'Historical FS'!G54,0)</f>
        <v>5.7673727595130844</v>
      </c>
      <c r="H30" s="66">
        <f>IFERROR('Historical FS'!H5/'Historical FS'!H54,0)</f>
        <v>3.2210546704760059</v>
      </c>
      <c r="I30" s="66">
        <f>IFERROR('Historical FS'!I5/'Historical FS'!I54,0)</f>
        <v>3.5354603586280913</v>
      </c>
      <c r="J30" s="66">
        <f>IFERROR('Historical FS'!J5/'Historical FS'!J54,0)</f>
        <v>1.524981553320037</v>
      </c>
      <c r="K30" s="66">
        <f>IFERROR('Historical FS'!K5/'Historical FS'!K54,0)</f>
        <v>1.5454308614163335</v>
      </c>
      <c r="L30" s="66">
        <f>IFERROR('Historical FS'!L5/'Historical FS'!L54,0)</f>
        <v>1.8139190080894152</v>
      </c>
      <c r="M30" s="66">
        <f>IFERROR('Historical FS'!M5/'Historical FS'!M54,0)</f>
        <v>2.1067317156673946</v>
      </c>
      <c r="O30" s="35">
        <f t="shared" si="10"/>
        <v>3.5370965999532329</v>
      </c>
      <c r="P30" s="36">
        <f t="shared" si="11"/>
        <v>3.3782575145520486</v>
      </c>
    </row>
    <row r="31" spans="2:16" x14ac:dyDescent="0.3">
      <c r="B31" s="62" t="s">
        <v>163</v>
      </c>
      <c r="C31" s="62"/>
      <c r="D31" s="64">
        <f>IFERROR('Historical FS'!D5/SUM('Historical FS'!D48:D49),0)</f>
        <v>1.5597122302158273</v>
      </c>
      <c r="E31" s="64">
        <f>IFERROR('Historical FS'!E5/SUM('Historical FS'!E48:E49),0)</f>
        <v>1.5320728103170338</v>
      </c>
      <c r="F31" s="64">
        <f>IFERROR('Historical FS'!F5/SUM('Historical FS'!F48:F49),0)</f>
        <v>1.3415244018531447</v>
      </c>
      <c r="G31" s="64">
        <f>IFERROR('Historical FS'!G5/SUM('Historical FS'!G48:G49),0)</f>
        <v>1.2728003469100679</v>
      </c>
      <c r="H31" s="64">
        <f>IFERROR('Historical FS'!H5/SUM('Historical FS'!H48:H49),0)</f>
        <v>1.2880850487016131</v>
      </c>
      <c r="I31" s="64">
        <f>IFERROR('Historical FS'!I5/SUM('Historical FS'!I48:I49),0)</f>
        <v>1.2700351790275168</v>
      </c>
      <c r="J31" s="64">
        <f>IFERROR('Historical FS'!J5/SUM('Historical FS'!J48:J49),0)</f>
        <v>1.3901146103182584</v>
      </c>
      <c r="K31" s="64">
        <f>IFERROR('Historical FS'!K5/SUM('Historical FS'!K48:K49),0)</f>
        <v>1.2103942867430835</v>
      </c>
      <c r="L31" s="64">
        <f>IFERROR('Historical FS'!L5/SUM('Historical FS'!L48:L49),0)</f>
        <v>1.2040512845470424</v>
      </c>
      <c r="M31" s="64">
        <f>IFERROR('Historical FS'!M5/SUM('Historical FS'!M48:M49),0)</f>
        <v>1.1328709307730898</v>
      </c>
      <c r="O31" s="35">
        <f t="shared" si="10"/>
        <v>1.3201661129406677</v>
      </c>
      <c r="P31" s="36">
        <f t="shared" si="11"/>
        <v>1.2804426978058405</v>
      </c>
    </row>
    <row r="33" spans="2:16" x14ac:dyDescent="0.3">
      <c r="B33" s="60" t="s">
        <v>44</v>
      </c>
      <c r="C33" s="60"/>
      <c r="D33" s="67">
        <f>IFERROR(365/D27,0)</f>
        <v>16.748154981549817</v>
      </c>
      <c r="E33" s="67">
        <f t="shared" ref="E33:M33" si="12">IFERROR(365/E27,0)</f>
        <v>16.722199083715118</v>
      </c>
      <c r="F33" s="67">
        <f t="shared" si="12"/>
        <v>14.214320856829275</v>
      </c>
      <c r="G33" s="67">
        <f t="shared" si="12"/>
        <v>16.141746023832077</v>
      </c>
      <c r="H33" s="67">
        <f t="shared" si="12"/>
        <v>14.099454283051205</v>
      </c>
      <c r="I33" s="67">
        <f t="shared" si="12"/>
        <v>15.396168902211516</v>
      </c>
      <c r="J33" s="67">
        <f t="shared" si="12"/>
        <v>14.932859380763723</v>
      </c>
      <c r="K33" s="67">
        <f t="shared" si="12"/>
        <v>12.816478917932647</v>
      </c>
      <c r="L33" s="67">
        <f t="shared" si="12"/>
        <v>12.687726799123345</v>
      </c>
      <c r="M33" s="67">
        <f t="shared" si="12"/>
        <v>13.067278784431625</v>
      </c>
      <c r="O33" s="34">
        <f>IFERROR(AVERAGE(D33:M33),0)</f>
        <v>14.682638801344035</v>
      </c>
      <c r="P33" s="37">
        <f>IFERROR(MEDIAN(D33:M33),0)</f>
        <v>14.573590118796499</v>
      </c>
    </row>
    <row r="34" spans="2:16" x14ac:dyDescent="0.3">
      <c r="B34" s="52" t="s">
        <v>164</v>
      </c>
      <c r="C34" s="52"/>
      <c r="D34" s="68">
        <f>IFERROR(365/D28,0)</f>
        <v>54.372693726937264</v>
      </c>
      <c r="E34" s="68">
        <f t="shared" ref="E34:M34" si="13">IFERROR(365/E28,0)</f>
        <v>37.828974769284727</v>
      </c>
      <c r="F34" s="68">
        <f t="shared" si="13"/>
        <v>44.100310335692384</v>
      </c>
      <c r="G34" s="68">
        <f t="shared" si="13"/>
        <v>43.984893054793837</v>
      </c>
      <c r="H34" s="68">
        <f t="shared" si="13"/>
        <v>93.691820259177973</v>
      </c>
      <c r="I34" s="68">
        <f t="shared" si="13"/>
        <v>61.173803335293783</v>
      </c>
      <c r="J34" s="68">
        <f t="shared" si="13"/>
        <v>53.948888814368047</v>
      </c>
      <c r="K34" s="68">
        <f t="shared" si="13"/>
        <v>53.716284558327708</v>
      </c>
      <c r="L34" s="68">
        <f t="shared" si="13"/>
        <v>58.578283871663139</v>
      </c>
      <c r="M34" s="68">
        <f t="shared" si="13"/>
        <v>56.836434549443403</v>
      </c>
      <c r="O34" s="34">
        <f t="shared" ref="O34:O36" si="14">IFERROR(AVERAGE(D34:M34),0)</f>
        <v>55.823238727498222</v>
      </c>
      <c r="P34" s="37">
        <f t="shared" ref="P34:P36" si="15">IFERROR(MEDIAN(D34:M34),0)</f>
        <v>54.160791270652652</v>
      </c>
    </row>
    <row r="35" spans="2:16" x14ac:dyDescent="0.3">
      <c r="B35" s="52" t="s">
        <v>165</v>
      </c>
      <c r="C35" s="52"/>
      <c r="D35" s="68">
        <f>IFERROR(365/D29,0)</f>
        <v>6.6974169741697409</v>
      </c>
      <c r="E35" s="68">
        <f t="shared" ref="E35:M35" si="16">IFERROR(365/E29,0)</f>
        <v>7.1649422389793731</v>
      </c>
      <c r="F35" s="68">
        <f t="shared" si="16"/>
        <v>9.4416795973205154</v>
      </c>
      <c r="G35" s="68">
        <f t="shared" si="16"/>
        <v>8.6562463645277621</v>
      </c>
      <c r="H35" s="68">
        <f t="shared" si="16"/>
        <v>15.62764965873899</v>
      </c>
      <c r="I35" s="68">
        <f t="shared" si="16"/>
        <v>9.824002226058802</v>
      </c>
      <c r="J35" s="68">
        <f t="shared" si="16"/>
        <v>9.1870308180951525</v>
      </c>
      <c r="K35" s="68">
        <f t="shared" si="16"/>
        <v>6.1186833128396332</v>
      </c>
      <c r="L35" s="68">
        <f t="shared" si="16"/>
        <v>6.1160088743577781</v>
      </c>
      <c r="M35" s="68">
        <f t="shared" si="16"/>
        <v>5.3577029332899979</v>
      </c>
      <c r="O35" s="34">
        <f t="shared" si="14"/>
        <v>8.4191362998377741</v>
      </c>
      <c r="P35" s="37">
        <f t="shared" si="15"/>
        <v>7.9105943017535676</v>
      </c>
    </row>
    <row r="36" spans="2:16" x14ac:dyDescent="0.3">
      <c r="B36" s="62" t="s">
        <v>166</v>
      </c>
      <c r="C36" s="62"/>
      <c r="D36" s="69">
        <f>IFERROR(SUM(D33,D35)-D34,0)</f>
        <v>-30.927121771217706</v>
      </c>
      <c r="E36" s="69">
        <f t="shared" ref="E36:M36" si="17">IFERROR(SUM(E33,E35)-E34,0)</f>
        <v>-13.941833446590238</v>
      </c>
      <c r="F36" s="69">
        <f t="shared" si="17"/>
        <v>-20.444309881542594</v>
      </c>
      <c r="G36" s="69">
        <f t="shared" si="17"/>
        <v>-19.186900666433999</v>
      </c>
      <c r="H36" s="69">
        <f t="shared" si="17"/>
        <v>-63.964716317387776</v>
      </c>
      <c r="I36" s="69">
        <f t="shared" si="17"/>
        <v>-35.953632207023468</v>
      </c>
      <c r="J36" s="69">
        <f t="shared" si="17"/>
        <v>-29.828998615509171</v>
      </c>
      <c r="K36" s="69">
        <f t="shared" si="17"/>
        <v>-34.781122327555423</v>
      </c>
      <c r="L36" s="69">
        <f t="shared" si="17"/>
        <v>-39.774548198182018</v>
      </c>
      <c r="M36" s="69">
        <f t="shared" si="17"/>
        <v>-38.411452831721782</v>
      </c>
      <c r="O36" s="34">
        <f t="shared" si="14"/>
        <v>-32.721463626316414</v>
      </c>
      <c r="P36" s="37">
        <f t="shared" si="15"/>
        <v>-32.854122049386561</v>
      </c>
    </row>
    <row r="38" spans="2:16" x14ac:dyDescent="0.3">
      <c r="B38" s="60" t="s">
        <v>167</v>
      </c>
      <c r="C38" s="60"/>
      <c r="D38" s="61">
        <f>IFERROR('Historical FS'!D80/'Historical FS'!D5,0)</f>
        <v>40.261840974574127</v>
      </c>
      <c r="E38" s="61">
        <f>IFERROR('Historical FS'!E80/'Historical FS'!E5,0)</f>
        <v>42.977706657313838</v>
      </c>
      <c r="F38" s="61">
        <f>IFERROR('Historical FS'!F80/'Historical FS'!F5,0)</f>
        <v>31.652348332891798</v>
      </c>
      <c r="G38" s="61">
        <f>IFERROR('Historical FS'!G80/'Historical FS'!G5,0)</f>
        <v>14.477904638447091</v>
      </c>
      <c r="H38" s="61">
        <f>IFERROR('Historical FS'!H80/'Historical FS'!H5,0)</f>
        <v>8.7728133738236274</v>
      </c>
      <c r="I38" s="61">
        <f>IFERROR('Historical FS'!I80/'Historical FS'!I5,0)</f>
        <v>20.045912462767269</v>
      </c>
      <c r="J38" s="61">
        <f>IFERROR('Historical FS'!J80/'Historical FS'!J5,0)</f>
        <v>13.848261721463441</v>
      </c>
      <c r="K38" s="61">
        <f>IFERROR('Historical FS'!K80/'Historical FS'!K5,0)</f>
        <v>1.7512197056840266</v>
      </c>
      <c r="L38" s="61">
        <f>IFERROR('Historical FS'!L80/'Historical FS'!L5,0)</f>
        <v>14.488646570617613</v>
      </c>
      <c r="M38" s="61">
        <f>IFERROR('Historical FS'!M80/'Historical FS'!M5,0)</f>
        <v>30.568375721134313</v>
      </c>
      <c r="O38" s="32">
        <f>IFERROR(AVERAGE(D38:M38),0)</f>
        <v>21.884503015871715</v>
      </c>
      <c r="P38" s="5">
        <f>IFERROR(MEDIAN(D38:M38),0)</f>
        <v>17.26727951669244</v>
      </c>
    </row>
    <row r="39" spans="2:16" x14ac:dyDescent="0.3">
      <c r="B39" s="52" t="s">
        <v>168</v>
      </c>
      <c r="C39" s="52"/>
      <c r="D39" s="33">
        <f>IFERROR('Historical FS'!D80/'Historical FS'!D65,0)</f>
        <v>50.957247732834318</v>
      </c>
      <c r="E39" s="33">
        <f>IFERROR('Historical FS'!E80/'Historical FS'!E65,0)</f>
        <v>56.822397403199638</v>
      </c>
      <c r="F39" s="33">
        <f>IFERROR('Historical FS'!F80/'Historical FS'!F65,0)</f>
        <v>36.53978482879144</v>
      </c>
      <c r="G39" s="33">
        <f>IFERROR('Historical FS'!G80/'Historical FS'!G65,0)</f>
        <v>15.976928226242768</v>
      </c>
      <c r="H39" s="33">
        <f>IFERROR('Historical FS'!H80/'Historical FS'!H65,0)</f>
        <v>8.4922615712612153</v>
      </c>
      <c r="I39" s="33">
        <f>IFERROR('Historical FS'!I80/'Historical FS'!I65,0)</f>
        <v>19.088626194619916</v>
      </c>
      <c r="J39" s="33">
        <f>IFERROR('Historical FS'!J80/'Historical FS'!J65,0)</f>
        <v>12.339128616004542</v>
      </c>
      <c r="K39" s="33">
        <f>IFERROR('Historical FS'!K80/'Historical FS'!K65,0)</f>
        <v>1.4824017258312279</v>
      </c>
      <c r="L39" s="33">
        <f>IFERROR('Historical FS'!L80/'Historical FS'!L65,0)</f>
        <v>13.148595719706389</v>
      </c>
      <c r="M39" s="33">
        <f>IFERROR('Historical FS'!M80/'Historical FS'!M65,0)</f>
        <v>27.729212580433547</v>
      </c>
      <c r="O39" s="32">
        <f t="shared" ref="O39:O40" si="18">IFERROR(AVERAGE(D39:M39),0)</f>
        <v>24.2576584598925</v>
      </c>
      <c r="P39" s="5">
        <f t="shared" ref="P39:P40" si="19">IFERROR(MEDIAN(D39:M39),0)</f>
        <v>17.532777210431341</v>
      </c>
    </row>
    <row r="40" spans="2:16" x14ac:dyDescent="0.3">
      <c r="B40" s="62" t="s">
        <v>169</v>
      </c>
      <c r="C40" s="62"/>
      <c r="D40" s="63">
        <f>IFERROR('Historical FS'!D80/'Historical FS'!D50,0)</f>
        <v>0</v>
      </c>
      <c r="E40" s="63">
        <f>IFERROR('Historical FS'!E80/'Historical FS'!E50,0)</f>
        <v>0</v>
      </c>
      <c r="F40" s="63">
        <f>IFERROR('Historical FS'!F80/'Historical FS'!F50,0)</f>
        <v>0</v>
      </c>
      <c r="G40" s="63">
        <f>IFERROR('Historical FS'!G80/'Historical FS'!G50,0)</f>
        <v>0</v>
      </c>
      <c r="H40" s="63">
        <f>IFERROR('Historical FS'!H80/'Historical FS'!H50,0)</f>
        <v>0</v>
      </c>
      <c r="I40" s="63">
        <f>IFERROR('Historical FS'!I80/'Historical FS'!I50,0)</f>
        <v>210.63193567678914</v>
      </c>
      <c r="J40" s="63">
        <f>IFERROR('Historical FS'!J80/'Historical FS'!J50,0)</f>
        <v>54.278310832378835</v>
      </c>
      <c r="K40" s="63">
        <f>IFERROR('Historical FS'!K80/'Historical FS'!K50,0)</f>
        <v>8.4195470798569723</v>
      </c>
      <c r="L40" s="63">
        <f>IFERROR('Historical FS'!L80/'Historical FS'!L50,0)</f>
        <v>130.64836188393471</v>
      </c>
      <c r="M40" s="63">
        <f>IFERROR('Historical FS'!M80/'Historical FS'!M50,0)</f>
        <v>477.93304960935018</v>
      </c>
      <c r="O40" s="32">
        <f t="shared" si="18"/>
        <v>88.191120508230981</v>
      </c>
      <c r="P40" s="5">
        <f t="shared" si="19"/>
        <v>4.2097735399284861</v>
      </c>
    </row>
  </sheetData>
  <mergeCells count="1">
    <mergeCell ref="B2:P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508E476B-3467-421F-96B7-D51E9C81F8C0}">
          <x14:colorSeries theme="2" tint="-0.499984740745262"/>
          <x14:colorNegative theme="5"/>
          <x14:colorAxis rgb="FF000000"/>
          <x14:colorMarkers theme="1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'Ratio Analysis'!E5:M5</xm:f>
              <xm:sqref>N5</xm:sqref>
            </x14:sparkline>
            <x14:sparkline>
              <xm:f>'Ratio Analysis'!E6:M6</xm:f>
              <xm:sqref>N6</xm:sqref>
            </x14:sparkline>
            <x14:sparkline>
              <xm:f>'Ratio Analysis'!E7:M7</xm:f>
              <xm:sqref>N7</xm:sqref>
            </x14:sparkline>
            <x14:sparkline>
              <xm:f>'Ratio Analysis'!E8:M8</xm:f>
              <xm:sqref>N8</xm:sqref>
            </x14:sparkline>
            <x14:sparkline>
              <xm:f>'Ratio Analysis'!E9:M9</xm:f>
              <xm:sqref>N9</xm:sqref>
            </x14:sparkline>
          </x14:sparklines>
        </x14:sparklineGroup>
        <x14:sparklineGroup displayEmptyCellsAs="gap" markers="1" xr2:uid="{F518F338-9286-44AF-B081-22646AD0D2C8}">
          <x14:colorSeries theme="2" tint="-0.499984740745262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Analysis'!D11:M11</xm:f>
              <xm:sqref>N11</xm:sqref>
            </x14:sparkline>
            <x14:sparkline>
              <xm:f>'Ratio Analysis'!D12:M12</xm:f>
              <xm:sqref>N12</xm:sqref>
            </x14:sparkline>
            <x14:sparkline>
              <xm:f>'Ratio Analysis'!D13:M13</xm:f>
              <xm:sqref>N13</xm:sqref>
            </x14:sparkline>
            <x14:sparkline>
              <xm:f>'Ratio Analysis'!D14:M14</xm:f>
              <xm:sqref>N14</xm:sqref>
            </x14:sparkline>
            <x14:sparkline>
              <xm:f>'Ratio Analysis'!D15:M15</xm:f>
              <xm:sqref>N15</xm:sqref>
            </x14:sparkline>
            <x14:sparkline>
              <xm:f>'Ratio Analysis'!D16:M16</xm:f>
              <xm:sqref>N16</xm:sqref>
            </x14:sparkline>
            <x14:sparkline>
              <xm:f>'Ratio Analysis'!D17:M17</xm:f>
              <xm:sqref>N17</xm:sqref>
            </x14:sparkline>
            <x14:sparkline>
              <xm:f>'Ratio Analysis'!D18:M18</xm:f>
              <xm:sqref>N18</xm:sqref>
            </x14:sparkline>
            <x14:sparkline>
              <xm:f>'Ratio Analysis'!D19:M19</xm:f>
              <xm:sqref>N19</xm:sqref>
            </x14:sparkline>
            <x14:sparkline>
              <xm:f>'Ratio Analysis'!D20:M20</xm:f>
              <xm:sqref>N20</xm:sqref>
            </x14:sparkline>
            <x14:sparkline>
              <xm:f>'Ratio Analysis'!D21:M21</xm:f>
              <xm:sqref>N21</xm:sqref>
            </x14:sparkline>
            <x14:sparkline>
              <xm:f>'Ratio Analysis'!D22:M22</xm:f>
              <xm:sqref>N22</xm:sqref>
            </x14:sparkline>
            <x14:sparkline>
              <xm:f>'Ratio Analysis'!D23:M23</xm:f>
              <xm:sqref>N23</xm:sqref>
            </x14:sparkline>
            <x14:sparkline>
              <xm:f>'Ratio Analysis'!D24:M24</xm:f>
              <xm:sqref>N24</xm:sqref>
            </x14:sparkline>
            <x14:sparkline>
              <xm:f>'Ratio Analysis'!D25:M25</xm:f>
              <xm:sqref>N25</xm:sqref>
            </x14:sparkline>
            <x14:sparkline>
              <xm:f>'Ratio Analysis'!D26:M26</xm:f>
              <xm:sqref>N26</xm:sqref>
            </x14:sparkline>
            <x14:sparkline>
              <xm:f>'Ratio Analysis'!D27:M27</xm:f>
              <xm:sqref>N27</xm:sqref>
            </x14:sparkline>
            <x14:sparkline>
              <xm:f>'Ratio Analysis'!D28:M28</xm:f>
              <xm:sqref>N28</xm:sqref>
            </x14:sparkline>
            <x14:sparkline>
              <xm:f>'Ratio Analysis'!D29:M29</xm:f>
              <xm:sqref>N29</xm:sqref>
            </x14:sparkline>
            <x14:sparkline>
              <xm:f>'Ratio Analysis'!D30:M30</xm:f>
              <xm:sqref>N30</xm:sqref>
            </x14:sparkline>
            <x14:sparkline>
              <xm:f>'Ratio Analysis'!D31:M31</xm:f>
              <xm:sqref>N31</xm:sqref>
            </x14:sparkline>
            <x14:sparkline>
              <xm:f>'Ratio Analysis'!D32:M32</xm:f>
              <xm:sqref>N32</xm:sqref>
            </x14:sparkline>
            <x14:sparkline>
              <xm:f>'Ratio Analysis'!D33:M33</xm:f>
              <xm:sqref>N33</xm:sqref>
            </x14:sparkline>
            <x14:sparkline>
              <xm:f>'Ratio Analysis'!D34:M34</xm:f>
              <xm:sqref>N34</xm:sqref>
            </x14:sparkline>
            <x14:sparkline>
              <xm:f>'Ratio Analysis'!D35:M35</xm:f>
              <xm:sqref>N35</xm:sqref>
            </x14:sparkline>
            <x14:sparkline>
              <xm:f>'Ratio Analysis'!D36:M36</xm:f>
              <xm:sqref>N36</xm:sqref>
            </x14:sparkline>
            <x14:sparkline>
              <xm:f>'Ratio Analysis'!D37:M37</xm:f>
              <xm:sqref>N37</xm:sqref>
            </x14:sparkline>
            <x14:sparkline>
              <xm:f>'Ratio Analysis'!D38:M38</xm:f>
              <xm:sqref>N38</xm:sqref>
            </x14:sparkline>
            <x14:sparkline>
              <xm:f>'Ratio Analysis'!D39:M39</xm:f>
              <xm:sqref>N39</xm:sqref>
            </x14:sparkline>
            <x14:sparkline>
              <xm:f>'Ratio Analysis'!D40:M40</xm:f>
              <xm:sqref>N40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43D59-AF85-4E5C-AB94-4B7E0B8C7D5C}">
  <dimension ref="B2:O18"/>
  <sheetViews>
    <sheetView showGridLines="0" workbookViewId="0">
      <selection activeCell="C21" sqref="C21"/>
    </sheetView>
  </sheetViews>
  <sheetFormatPr defaultRowHeight="14.4" x14ac:dyDescent="0.3"/>
  <cols>
    <col min="1" max="1" width="2.33203125" customWidth="1"/>
    <col min="2" max="2" width="12.88671875" customWidth="1"/>
    <col min="4" max="4" width="9.5546875" bestFit="1" customWidth="1"/>
    <col min="5" max="5" width="11.6640625" bestFit="1" customWidth="1"/>
    <col min="7" max="7" width="14.77734375" customWidth="1"/>
    <col min="9" max="9" width="8.77734375" customWidth="1"/>
    <col min="10" max="10" width="17.6640625" customWidth="1"/>
    <col min="12" max="12" width="13" customWidth="1"/>
    <col min="14" max="14" width="8.6640625" customWidth="1"/>
    <col min="15" max="15" width="14.44140625" customWidth="1"/>
  </cols>
  <sheetData>
    <row r="2" spans="2:15" x14ac:dyDescent="0.3">
      <c r="B2" s="42" t="str">
        <f>'Data Sheet'!$B$1&amp;" -" &amp;'Data Sheet'!A17</f>
        <v>DR LAL PATHLABS LTD -Sales</v>
      </c>
      <c r="C2" s="42"/>
      <c r="D2" s="42"/>
      <c r="E2" s="42"/>
      <c r="G2" s="43" t="str">
        <f>'Data Sheet'!$B$1&amp;" - "&amp;'Historical FS'!B17</f>
        <v>DR LAL PATHLABS LTD - EBITDA</v>
      </c>
      <c r="H2" s="43"/>
      <c r="I2" s="43"/>
      <c r="J2" s="43"/>
      <c r="L2" s="43" t="str">
        <f>'Data Sheet'!B1&amp; " - " &amp;'Historical FS'!B38</f>
        <v>DR LAL PATHLABS LTD - EPS(Earning per share)</v>
      </c>
      <c r="M2" s="43"/>
      <c r="N2" s="43"/>
      <c r="O2" s="43"/>
    </row>
    <row r="3" spans="2:15" x14ac:dyDescent="0.3">
      <c r="B3" s="71" t="s">
        <v>175</v>
      </c>
      <c r="C3" s="71" t="s">
        <v>176</v>
      </c>
      <c r="D3" s="72" t="s">
        <v>5</v>
      </c>
      <c r="E3" s="72" t="s">
        <v>21</v>
      </c>
      <c r="G3" s="71" t="s">
        <v>175</v>
      </c>
      <c r="H3" s="71" t="s">
        <v>176</v>
      </c>
      <c r="I3" s="72" t="s">
        <v>5</v>
      </c>
      <c r="J3" s="72" t="s">
        <v>21</v>
      </c>
      <c r="L3" s="71" t="s">
        <v>175</v>
      </c>
      <c r="M3" s="71" t="s">
        <v>176</v>
      </c>
      <c r="N3" s="72" t="s">
        <v>5</v>
      </c>
      <c r="O3" s="72" t="s">
        <v>21</v>
      </c>
    </row>
    <row r="4" spans="2:15" x14ac:dyDescent="0.3">
      <c r="B4">
        <v>1</v>
      </c>
      <c r="C4" s="39">
        <v>2015</v>
      </c>
      <c r="D4" s="37">
        <f t="array" ref="D4:D13">TRANSPOSE('Data Sheet'!B17:K17)</f>
        <v>791.32</v>
      </c>
      <c r="G4">
        <v>1</v>
      </c>
      <c r="H4" s="39">
        <v>2015</v>
      </c>
      <c r="I4" s="40">
        <f t="array" ref="I4:I13">TRANSPOSE('Historical FS'!D17:M17)</f>
        <v>209.73000000000002</v>
      </c>
      <c r="L4">
        <v>1</v>
      </c>
      <c r="M4" s="39">
        <v>2015</v>
      </c>
      <c r="N4">
        <f t="array" ref="N4:N13">TRANSPOSE('Historical FS'!D38:M38)</f>
        <v>13.720677146311973</v>
      </c>
    </row>
    <row r="5" spans="2:15" x14ac:dyDescent="0.3">
      <c r="B5">
        <f>B4+1</f>
        <v>2</v>
      </c>
      <c r="C5" s="39">
        <f>C4+1</f>
        <v>2016</v>
      </c>
      <c r="D5">
        <v>912.38</v>
      </c>
      <c r="E5" s="29">
        <f>D5/D4-1</f>
        <v>0.15298488601324367</v>
      </c>
      <c r="G5">
        <f>G4+1</f>
        <v>2</v>
      </c>
      <c r="H5" s="39">
        <f>H4+1</f>
        <v>2016</v>
      </c>
      <c r="I5" s="40">
        <v>237.80999999999995</v>
      </c>
      <c r="J5" s="32">
        <f>I5/I4-1</f>
        <v>0.13388642540409057</v>
      </c>
      <c r="L5">
        <f>L4+1</f>
        <v>2</v>
      </c>
      <c r="M5" s="39">
        <f>M4+1</f>
        <v>2016</v>
      </c>
      <c r="N5">
        <v>15.444043321299628</v>
      </c>
      <c r="O5" s="32">
        <f>N5/N4-1</f>
        <v>0.12560358039259634</v>
      </c>
    </row>
    <row r="6" spans="2:15" x14ac:dyDescent="0.3">
      <c r="B6">
        <f t="shared" ref="B6:B18" si="0">B5+1</f>
        <v>3</v>
      </c>
      <c r="C6" s="39">
        <f t="shared" ref="C6:C18" si="1">C5+1</f>
        <v>2017</v>
      </c>
      <c r="D6">
        <v>1056.92</v>
      </c>
      <c r="E6" s="29">
        <f t="shared" ref="E6:E18" si="2">D6/D5-1</f>
        <v>0.15842083342466973</v>
      </c>
      <c r="G6">
        <f t="shared" ref="G6:H18" si="3">G5+1</f>
        <v>3</v>
      </c>
      <c r="H6" s="39">
        <f t="shared" si="3"/>
        <v>2017</v>
      </c>
      <c r="I6" s="40">
        <v>264.09000000000015</v>
      </c>
      <c r="J6" s="32">
        <f t="shared" ref="J6:J18" si="4">I6/I5-1</f>
        <v>0.11050838905008287</v>
      </c>
      <c r="L6">
        <f t="shared" ref="L6:M6" si="5">L5+1</f>
        <v>3</v>
      </c>
      <c r="M6" s="39">
        <f t="shared" si="5"/>
        <v>2017</v>
      </c>
      <c r="N6">
        <v>16.88115246098441</v>
      </c>
      <c r="O6" s="32">
        <f t="shared" ref="O6:O18" si="6">N6/N5-1</f>
        <v>9.305264882951958E-2</v>
      </c>
    </row>
    <row r="7" spans="2:15" x14ac:dyDescent="0.3">
      <c r="B7">
        <f t="shared" si="0"/>
        <v>4</v>
      </c>
      <c r="C7" s="39">
        <f t="shared" si="1"/>
        <v>2018</v>
      </c>
      <c r="D7">
        <v>1203.42</v>
      </c>
      <c r="E7" s="29">
        <f t="shared" si="2"/>
        <v>0.13861030163115462</v>
      </c>
      <c r="G7">
        <f t="shared" si="3"/>
        <v>4</v>
      </c>
      <c r="H7" s="39">
        <f t="shared" si="3"/>
        <v>2018</v>
      </c>
      <c r="I7" s="40">
        <v>293.66000000000003</v>
      </c>
      <c r="J7" s="32">
        <f t="shared" si="4"/>
        <v>0.11196940436972191</v>
      </c>
      <c r="L7">
        <f t="shared" ref="L7:M7" si="7">L6+1</f>
        <v>4</v>
      </c>
      <c r="M7" s="39">
        <f t="shared" si="7"/>
        <v>2018</v>
      </c>
      <c r="N7">
        <v>18.549819927971193</v>
      </c>
      <c r="O7" s="32">
        <f t="shared" si="6"/>
        <v>9.884795903854271E-2</v>
      </c>
    </row>
    <row r="8" spans="2:15" x14ac:dyDescent="0.3">
      <c r="B8">
        <f t="shared" si="0"/>
        <v>5</v>
      </c>
      <c r="C8" s="39">
        <f t="shared" si="1"/>
        <v>2019</v>
      </c>
      <c r="D8">
        <v>1330.36</v>
      </c>
      <c r="E8" s="29">
        <f t="shared" si="2"/>
        <v>0.10548270761662581</v>
      </c>
      <c r="G8">
        <f t="shared" si="3"/>
        <v>5</v>
      </c>
      <c r="H8" s="39">
        <f t="shared" si="3"/>
        <v>2019</v>
      </c>
      <c r="I8" s="40">
        <v>343.56999999999982</v>
      </c>
      <c r="J8" s="32">
        <f t="shared" si="4"/>
        <v>0.16995845535653409</v>
      </c>
      <c r="L8">
        <f t="shared" ref="L8:M8" si="8">L7+1</f>
        <v>5</v>
      </c>
      <c r="M8" s="39">
        <f t="shared" si="8"/>
        <v>2019</v>
      </c>
      <c r="N8">
        <v>20.713085234093615</v>
      </c>
      <c r="O8" s="32">
        <f t="shared" si="6"/>
        <v>0.11661920786953006</v>
      </c>
    </row>
    <row r="9" spans="2:15" x14ac:dyDescent="0.3">
      <c r="B9">
        <f t="shared" si="0"/>
        <v>6</v>
      </c>
      <c r="C9" s="39">
        <f t="shared" si="1"/>
        <v>2020</v>
      </c>
      <c r="D9">
        <v>1581.27</v>
      </c>
      <c r="E9" s="29">
        <f t="shared" si="2"/>
        <v>0.18860308487928079</v>
      </c>
      <c r="G9">
        <f t="shared" si="3"/>
        <v>6</v>
      </c>
      <c r="H9" s="39">
        <f t="shared" si="3"/>
        <v>2020</v>
      </c>
      <c r="I9" s="40">
        <v>436.44999999999993</v>
      </c>
      <c r="J9" s="32">
        <f t="shared" si="4"/>
        <v>0.27033792240300425</v>
      </c>
      <c r="L9">
        <f t="shared" ref="L9:M9" si="9">L8+1</f>
        <v>6</v>
      </c>
      <c r="M9" s="39">
        <f t="shared" si="9"/>
        <v>2020</v>
      </c>
      <c r="N9">
        <v>29.450180072028804</v>
      </c>
      <c r="O9" s="32">
        <f t="shared" si="6"/>
        <v>0.42181523125072573</v>
      </c>
    </row>
    <row r="10" spans="2:15" x14ac:dyDescent="0.3">
      <c r="B10">
        <f t="shared" si="0"/>
        <v>7</v>
      </c>
      <c r="C10" s="39">
        <f t="shared" si="1"/>
        <v>2021</v>
      </c>
      <c r="D10">
        <v>2087.41</v>
      </c>
      <c r="E10" s="29">
        <f t="shared" si="2"/>
        <v>0.3200844890499408</v>
      </c>
      <c r="G10">
        <f t="shared" si="3"/>
        <v>7</v>
      </c>
      <c r="H10" s="39">
        <f t="shared" si="3"/>
        <v>2021</v>
      </c>
      <c r="I10" s="40">
        <v>561.31999999999982</v>
      </c>
      <c r="J10" s="32">
        <f t="shared" si="4"/>
        <v>0.28610379195784152</v>
      </c>
      <c r="L10">
        <f t="shared" ref="L10:M10" si="10">L9+1</f>
        <v>7</v>
      </c>
      <c r="M10" s="39">
        <f t="shared" si="10"/>
        <v>2021</v>
      </c>
      <c r="N10">
        <v>35.815126050420155</v>
      </c>
      <c r="O10" s="32">
        <f t="shared" si="6"/>
        <v>0.2161258764063263</v>
      </c>
    </row>
    <row r="11" spans="2:15" x14ac:dyDescent="0.3">
      <c r="B11">
        <f t="shared" si="0"/>
        <v>8</v>
      </c>
      <c r="C11" s="39">
        <f t="shared" si="1"/>
        <v>2022</v>
      </c>
      <c r="D11">
        <v>2016.88</v>
      </c>
      <c r="E11" s="29">
        <f t="shared" si="2"/>
        <v>-3.3788283087653914E-2</v>
      </c>
      <c r="G11">
        <f t="shared" si="3"/>
        <v>8</v>
      </c>
      <c r="H11" s="39">
        <f t="shared" si="3"/>
        <v>2022</v>
      </c>
      <c r="I11" s="40">
        <v>489.83000000000004</v>
      </c>
      <c r="J11" s="32">
        <f t="shared" si="4"/>
        <v>-0.12736050737547178</v>
      </c>
      <c r="L11">
        <f t="shared" ref="L11:M11" si="11">L10+1</f>
        <v>8</v>
      </c>
      <c r="M11" s="39">
        <f t="shared" si="11"/>
        <v>2022</v>
      </c>
      <c r="N11">
        <v>23.904076738609113</v>
      </c>
      <c r="O11" s="32">
        <f t="shared" si="6"/>
        <v>-0.3325703585418851</v>
      </c>
    </row>
    <row r="12" spans="2:15" x14ac:dyDescent="0.3">
      <c r="B12">
        <f t="shared" si="0"/>
        <v>9</v>
      </c>
      <c r="C12" s="39">
        <f t="shared" si="1"/>
        <v>2023</v>
      </c>
      <c r="D12">
        <v>2226.64</v>
      </c>
      <c r="E12" s="29">
        <f t="shared" si="2"/>
        <v>0.1040022212526277</v>
      </c>
      <c r="G12">
        <f t="shared" si="3"/>
        <v>9</v>
      </c>
      <c r="H12" s="39">
        <f t="shared" si="3"/>
        <v>2023</v>
      </c>
      <c r="I12" s="40">
        <v>609.45999999999992</v>
      </c>
      <c r="J12" s="32">
        <f t="shared" si="4"/>
        <v>0.244227589163587</v>
      </c>
      <c r="L12">
        <f t="shared" ref="L12:M12" si="12">L11+1</f>
        <v>9</v>
      </c>
      <c r="M12" s="39">
        <f t="shared" si="12"/>
        <v>2023</v>
      </c>
      <c r="N12">
        <v>35.130538922155679</v>
      </c>
      <c r="O12" s="32">
        <f t="shared" si="6"/>
        <v>0.46964634134619954</v>
      </c>
    </row>
    <row r="13" spans="2:15" x14ac:dyDescent="0.3">
      <c r="B13">
        <f t="shared" si="0"/>
        <v>10</v>
      </c>
      <c r="C13" s="39">
        <f t="shared" si="1"/>
        <v>2024</v>
      </c>
      <c r="D13">
        <v>2461.4</v>
      </c>
      <c r="E13" s="29">
        <f t="shared" si="2"/>
        <v>0.1054324003880287</v>
      </c>
      <c r="G13">
        <f t="shared" si="3"/>
        <v>10</v>
      </c>
      <c r="H13" s="39">
        <f t="shared" si="3"/>
        <v>2024</v>
      </c>
      <c r="I13" s="40">
        <v>697.75000000000023</v>
      </c>
      <c r="J13" s="32">
        <f t="shared" si="4"/>
        <v>0.14486594690381693</v>
      </c>
      <c r="L13">
        <f t="shared" ref="L13:M13" si="13">L12+1</f>
        <v>10</v>
      </c>
      <c r="M13" s="39">
        <f t="shared" si="13"/>
        <v>2024</v>
      </c>
      <c r="N13">
        <v>47.962918660287109</v>
      </c>
      <c r="O13" s="32">
        <f t="shared" si="6"/>
        <v>0.36527705329446203</v>
      </c>
    </row>
    <row r="14" spans="2:15" x14ac:dyDescent="0.3">
      <c r="B14" s="73">
        <f t="shared" si="0"/>
        <v>11</v>
      </c>
      <c r="C14" s="74">
        <f t="shared" si="1"/>
        <v>2025</v>
      </c>
      <c r="D14" s="73">
        <f>FORECAST(B14,$D$4:$D$13,$B$4:$B$13)</f>
        <v>2631.2406666666666</v>
      </c>
      <c r="E14" s="75">
        <f t="shared" si="2"/>
        <v>6.9001652176268191E-2</v>
      </c>
      <c r="G14" s="73">
        <f t="shared" si="3"/>
        <v>11</v>
      </c>
      <c r="H14" s="74">
        <f t="shared" si="3"/>
        <v>2025</v>
      </c>
      <c r="I14" s="76">
        <f>FORECAST(G14,$I$4:$I$13,$G$4:$G$13)</f>
        <v>714.97666666666669</v>
      </c>
      <c r="J14" s="77">
        <f t="shared" si="4"/>
        <v>2.4688880926788226E-2</v>
      </c>
      <c r="L14" s="73">
        <f t="shared" ref="L14:M14" si="14">L13+1</f>
        <v>11</v>
      </c>
      <c r="M14" s="74">
        <f t="shared" si="14"/>
        <v>2025</v>
      </c>
      <c r="N14" s="73">
        <f>FORECAST(L14,$N$4:$N$13,$L$4:$L$13)</f>
        <v>43.811604434255308</v>
      </c>
      <c r="O14" s="77">
        <f t="shared" si="6"/>
        <v>-8.6552577324053748E-2</v>
      </c>
    </row>
    <row r="15" spans="2:15" x14ac:dyDescent="0.3">
      <c r="B15" s="73">
        <f t="shared" si="0"/>
        <v>12</v>
      </c>
      <c r="C15" s="74">
        <f t="shared" si="1"/>
        <v>2026</v>
      </c>
      <c r="D15" s="73">
        <f t="shared" ref="D15:D18" si="15">FORECAST(B15,$D$4:$D$13,$B$4:$B$13)</f>
        <v>2824.775333333333</v>
      </c>
      <c r="E15" s="75">
        <f t="shared" si="2"/>
        <v>7.3552628278523047E-2</v>
      </c>
      <c r="G15" s="73">
        <f t="shared" si="3"/>
        <v>12</v>
      </c>
      <c r="H15" s="74">
        <f t="shared" si="3"/>
        <v>2026</v>
      </c>
      <c r="I15" s="76">
        <f t="shared" ref="I15:I18" si="16">FORECAST(G15,$I$4:$I$13,$G$4:$G$13)</f>
        <v>769.63296969696967</v>
      </c>
      <c r="J15" s="77">
        <f t="shared" si="4"/>
        <v>7.6444876565160191E-2</v>
      </c>
      <c r="L15" s="73">
        <f t="shared" ref="L15:M15" si="17">L14+1</f>
        <v>12</v>
      </c>
      <c r="M15" s="74">
        <f t="shared" si="17"/>
        <v>2026</v>
      </c>
      <c r="N15" s="73">
        <f t="shared" ref="N15:N18" si="18">FORECAST(L15,$N$4:$N$13,$L$4:$L$13)</f>
        <v>47.094230358044243</v>
      </c>
      <c r="O15" s="77">
        <f t="shared" si="6"/>
        <v>7.4925946360054452E-2</v>
      </c>
    </row>
    <row r="16" spans="2:15" x14ac:dyDescent="0.3">
      <c r="B16" s="73">
        <f t="shared" si="0"/>
        <v>13</v>
      </c>
      <c r="C16" s="74">
        <f t="shared" si="1"/>
        <v>2027</v>
      </c>
      <c r="D16" s="73">
        <f t="shared" si="15"/>
        <v>3018.3099999999995</v>
      </c>
      <c r="E16" s="75">
        <f t="shared" si="2"/>
        <v>6.8513295334637681E-2</v>
      </c>
      <c r="G16" s="73">
        <f t="shared" si="3"/>
        <v>13</v>
      </c>
      <c r="H16" s="74">
        <f t="shared" si="3"/>
        <v>2027</v>
      </c>
      <c r="I16" s="76">
        <f t="shared" si="16"/>
        <v>824.28927272727265</v>
      </c>
      <c r="J16" s="77">
        <f t="shared" si="4"/>
        <v>7.1016062437947447E-2</v>
      </c>
      <c r="L16" s="73">
        <f t="shared" ref="L16:M16" si="19">L15+1</f>
        <v>13</v>
      </c>
      <c r="M16" s="74">
        <f t="shared" si="19"/>
        <v>2027</v>
      </c>
      <c r="N16" s="73">
        <f t="shared" si="18"/>
        <v>50.376856281833177</v>
      </c>
      <c r="O16" s="77">
        <f t="shared" si="6"/>
        <v>6.9703356416105589E-2</v>
      </c>
    </row>
    <row r="17" spans="2:15" x14ac:dyDescent="0.3">
      <c r="B17" s="73">
        <f t="shared" si="0"/>
        <v>14</v>
      </c>
      <c r="C17" s="74">
        <f t="shared" si="1"/>
        <v>2028</v>
      </c>
      <c r="D17" s="73">
        <f t="shared" si="15"/>
        <v>3211.8446666666664</v>
      </c>
      <c r="E17" s="75">
        <f t="shared" si="2"/>
        <v>6.4120208549375945E-2</v>
      </c>
      <c r="G17" s="73">
        <f t="shared" si="3"/>
        <v>14</v>
      </c>
      <c r="H17" s="74">
        <f t="shared" si="3"/>
        <v>2028</v>
      </c>
      <c r="I17" s="76">
        <f t="shared" si="16"/>
        <v>878.94557575757585</v>
      </c>
      <c r="J17" s="77">
        <f t="shared" si="4"/>
        <v>6.6307187098851195E-2</v>
      </c>
      <c r="L17" s="73">
        <f t="shared" ref="L17:M17" si="20">L16+1</f>
        <v>14</v>
      </c>
      <c r="M17" s="74">
        <f t="shared" si="20"/>
        <v>2028</v>
      </c>
      <c r="N17" s="73">
        <f t="shared" si="18"/>
        <v>53.659482205622112</v>
      </c>
      <c r="O17" s="77">
        <f t="shared" si="6"/>
        <v>6.5161388900972561E-2</v>
      </c>
    </row>
    <row r="18" spans="2:15" x14ac:dyDescent="0.3">
      <c r="B18" s="73">
        <f t="shared" si="0"/>
        <v>15</v>
      </c>
      <c r="C18" s="74">
        <f t="shared" si="1"/>
        <v>2029</v>
      </c>
      <c r="D18" s="73">
        <f t="shared" si="15"/>
        <v>3405.3793333333333</v>
      </c>
      <c r="E18" s="75">
        <f t="shared" si="2"/>
        <v>6.0256546238122377E-2</v>
      </c>
      <c r="G18" s="73">
        <f t="shared" si="3"/>
        <v>15</v>
      </c>
      <c r="H18" s="74">
        <f t="shared" si="3"/>
        <v>2029</v>
      </c>
      <c r="I18" s="76">
        <f t="shared" si="16"/>
        <v>933.60187878787883</v>
      </c>
      <c r="J18" s="77">
        <f t="shared" si="4"/>
        <v>6.218394464662258E-2</v>
      </c>
      <c r="L18" s="73">
        <f t="shared" ref="L18:M18" si="21">L17+1</f>
        <v>15</v>
      </c>
      <c r="M18" s="74">
        <f t="shared" si="21"/>
        <v>2029</v>
      </c>
      <c r="N18" s="73">
        <f t="shared" si="18"/>
        <v>56.942108129411046</v>
      </c>
      <c r="O18" s="77">
        <f t="shared" si="6"/>
        <v>6.117513231324101E-2</v>
      </c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Profit &amp; Loss</vt:lpstr>
      <vt:lpstr>Quarters</vt:lpstr>
      <vt:lpstr>Balance Sheet</vt:lpstr>
      <vt:lpstr>Cash Flow</vt:lpstr>
      <vt:lpstr>Data&gt;</vt:lpstr>
      <vt:lpstr>Data Sheet</vt:lpstr>
      <vt:lpstr>Financials&gt;</vt:lpstr>
      <vt:lpstr>Historical FS</vt:lpstr>
      <vt:lpstr>Cash Flow Data</vt:lpstr>
      <vt:lpstr>Ratio Analysis</vt:lpstr>
      <vt:lpstr>Forecasting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Dell Laptop</cp:lastModifiedBy>
  <cp:lastPrinted>2012-12-06T18:14:13Z</cp:lastPrinted>
  <dcterms:created xsi:type="dcterms:W3CDTF">2012-08-17T09:55:37Z</dcterms:created>
  <dcterms:modified xsi:type="dcterms:W3CDTF">2025-06-17T19:50:35Z</dcterms:modified>
</cp:coreProperties>
</file>