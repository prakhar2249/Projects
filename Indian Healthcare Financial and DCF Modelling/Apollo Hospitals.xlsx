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AF3F035-24F4-467A-80CE-936CC9FE2D87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H29" i="11"/>
  <c r="H35" i="11" s="1"/>
  <c r="D29" i="11"/>
  <c r="N21" i="8"/>
  <c r="M21" i="8"/>
  <c r="L21" i="8"/>
  <c r="K21" i="8"/>
  <c r="J21" i="8"/>
  <c r="I21" i="8"/>
  <c r="H21" i="8"/>
  <c r="G21" i="8"/>
  <c r="F21" i="8"/>
  <c r="E21" i="8"/>
  <c r="D21" i="8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G80" i="8" s="1"/>
  <c r="G38" i="11" s="1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J60" i="8"/>
  <c r="I60" i="8"/>
  <c r="H60" i="8"/>
  <c r="H63" i="8" s="1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K30" i="11" s="1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G36" i="8"/>
  <c r="G41" i="8" s="1"/>
  <c r="G9" i="11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H18" i="11" s="1"/>
  <c r="G24" i="8"/>
  <c r="F24" i="8"/>
  <c r="E24" i="8"/>
  <c r="D24" i="8"/>
  <c r="N24" i="8"/>
  <c r="N14" i="8"/>
  <c r="M14" i="8"/>
  <c r="L14" i="8"/>
  <c r="K14" i="8"/>
  <c r="J14" i="8"/>
  <c r="I14" i="8"/>
  <c r="H14" i="8"/>
  <c r="G14" i="8"/>
  <c r="G15" i="8" s="1"/>
  <c r="G17" i="11" s="1"/>
  <c r="F14" i="8"/>
  <c r="E14" i="8"/>
  <c r="D14" i="8"/>
  <c r="N8" i="8"/>
  <c r="M8" i="8"/>
  <c r="M12" i="8" s="1"/>
  <c r="M11" i="11" s="1"/>
  <c r="L8" i="8"/>
  <c r="K8" i="8"/>
  <c r="J8" i="8"/>
  <c r="I8" i="8"/>
  <c r="H8" i="8"/>
  <c r="G8" i="8"/>
  <c r="F8" i="8"/>
  <c r="E8" i="8"/>
  <c r="D8" i="8"/>
  <c r="N5" i="8"/>
  <c r="N12" i="8" s="1"/>
  <c r="M5" i="8"/>
  <c r="M15" i="8" s="1"/>
  <c r="M17" i="11" s="1"/>
  <c r="L5" i="8"/>
  <c r="L12" i="8" s="1"/>
  <c r="L11" i="11" s="1"/>
  <c r="K5" i="8"/>
  <c r="K12" i="8" s="1"/>
  <c r="K11" i="11" s="1"/>
  <c r="J5" i="8"/>
  <c r="J30" i="11" s="1"/>
  <c r="I5" i="8"/>
  <c r="I30" i="11" s="1"/>
  <c r="H5" i="8"/>
  <c r="H30" i="11" s="1"/>
  <c r="G5" i="8"/>
  <c r="G29" i="11" s="1"/>
  <c r="G35" i="11" s="1"/>
  <c r="F5" i="8"/>
  <c r="F29" i="11" s="1"/>
  <c r="F35" i="11" s="1"/>
  <c r="E5" i="8"/>
  <c r="E28" i="11" s="1"/>
  <c r="E34" i="11" s="1"/>
  <c r="D5" i="8"/>
  <c r="D28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F13" i="1"/>
  <c r="F14" i="1" s="1"/>
  <c r="B6" i="6"/>
  <c r="C17" i="2"/>
  <c r="D17" i="2"/>
  <c r="E17" i="2"/>
  <c r="F17" i="2"/>
  <c r="G17" i="2"/>
  <c r="H17" i="2"/>
  <c r="I17" i="2"/>
  <c r="J17" i="2"/>
  <c r="K17" i="2"/>
  <c r="C18" i="2"/>
  <c r="C21" i="2" s="1"/>
  <c r="D18" i="2"/>
  <c r="E18" i="2"/>
  <c r="F18" i="2"/>
  <c r="G18" i="2"/>
  <c r="H18" i="2"/>
  <c r="I18" i="2"/>
  <c r="J18" i="2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E14" i="3" s="1"/>
  <c r="F4" i="3"/>
  <c r="G4" i="3"/>
  <c r="G14" i="3" s="1"/>
  <c r="H4" i="3"/>
  <c r="H14" i="3" s="1"/>
  <c r="I4" i="3"/>
  <c r="I14" i="3" s="1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I23" i="1" s="1"/>
  <c r="E4" i="1"/>
  <c r="E20" i="2" s="1"/>
  <c r="F4" i="1"/>
  <c r="F20" i="2" s="1"/>
  <c r="G4" i="1"/>
  <c r="G6" i="1" s="1"/>
  <c r="G19" i="1" s="1"/>
  <c r="H4" i="1"/>
  <c r="I4" i="1"/>
  <c r="I6" i="1" s="1"/>
  <c r="I19" i="1" s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G12" i="1"/>
  <c r="G23" i="2" s="1"/>
  <c r="H12" i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A1" i="1"/>
  <c r="E1" i="6"/>
  <c r="H1" i="1" s="1"/>
  <c r="E1" i="2"/>
  <c r="H16" i="2"/>
  <c r="C16" i="2"/>
  <c r="F16" i="2"/>
  <c r="H23" i="2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E21" i="2"/>
  <c r="B18" i="2"/>
  <c r="B21" i="2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K20" i="2"/>
  <c r="L12" i="1"/>
  <c r="L13" i="1" s="1"/>
  <c r="L14" i="1" s="1"/>
  <c r="L25" i="1" s="1"/>
  <c r="L6" i="1"/>
  <c r="A1" i="3"/>
  <c r="A1" i="2"/>
  <c r="A1" i="4" s="1"/>
  <c r="H23" i="1"/>
  <c r="D34" i="11" l="1"/>
  <c r="I16" i="2"/>
  <c r="H22" i="8"/>
  <c r="D30" i="11"/>
  <c r="F28" i="11"/>
  <c r="F34" i="11" s="1"/>
  <c r="F36" i="11" s="1"/>
  <c r="I29" i="11"/>
  <c r="I35" i="11" s="1"/>
  <c r="L30" i="11"/>
  <c r="J21" i="2"/>
  <c r="D31" i="11"/>
  <c r="G28" i="11"/>
  <c r="G34" i="11" s="1"/>
  <c r="J29" i="11"/>
  <c r="J35" i="11" s="1"/>
  <c r="M30" i="11"/>
  <c r="D35" i="11"/>
  <c r="C23" i="2"/>
  <c r="D12" i="8"/>
  <c r="D11" i="11" s="1"/>
  <c r="E27" i="11"/>
  <c r="E33" i="11" s="1"/>
  <c r="E36" i="11" s="1"/>
  <c r="H28" i="11"/>
  <c r="H34" i="11" s="1"/>
  <c r="H36" i="11" s="1"/>
  <c r="K29" i="11"/>
  <c r="K35" i="11" s="1"/>
  <c r="E31" i="11"/>
  <c r="G40" i="11"/>
  <c r="I21" i="2"/>
  <c r="D20" i="2"/>
  <c r="H9" i="11"/>
  <c r="E12" i="8"/>
  <c r="E11" i="11" s="1"/>
  <c r="F27" i="11"/>
  <c r="F33" i="11" s="1"/>
  <c r="I28" i="11"/>
  <c r="I34" i="11" s="1"/>
  <c r="L29" i="11"/>
  <c r="L35" i="11" s="1"/>
  <c r="F31" i="11"/>
  <c r="K23" i="2"/>
  <c r="F12" i="8"/>
  <c r="F11" i="11" s="1"/>
  <c r="G27" i="11"/>
  <c r="G33" i="11" s="1"/>
  <c r="J28" i="11"/>
  <c r="J34" i="11" s="1"/>
  <c r="J36" i="11" s="1"/>
  <c r="M29" i="11"/>
  <c r="M35" i="11" s="1"/>
  <c r="G31" i="11"/>
  <c r="H15" i="8"/>
  <c r="H17" i="11" s="1"/>
  <c r="G12" i="8"/>
  <c r="G11" i="11" s="1"/>
  <c r="H27" i="11"/>
  <c r="H33" i="11" s="1"/>
  <c r="K28" i="11"/>
  <c r="K34" i="11" s="1"/>
  <c r="K36" i="11" s="1"/>
  <c r="E30" i="11"/>
  <c r="H31" i="11"/>
  <c r="E1" i="3"/>
  <c r="E23" i="2"/>
  <c r="D21" i="2"/>
  <c r="G13" i="1"/>
  <c r="G14" i="1" s="1"/>
  <c r="H12" i="8"/>
  <c r="H11" i="11" s="1"/>
  <c r="I27" i="11"/>
  <c r="I33" i="11" s="1"/>
  <c r="L28" i="11"/>
  <c r="L34" i="11" s="1"/>
  <c r="F30" i="11"/>
  <c r="I31" i="11"/>
  <c r="L9" i="11"/>
  <c r="I12" i="8"/>
  <c r="I11" i="11" s="1"/>
  <c r="J27" i="11"/>
  <c r="J33" i="11" s="1"/>
  <c r="M28" i="11"/>
  <c r="M34" i="11" s="1"/>
  <c r="M36" i="11" s="1"/>
  <c r="G30" i="11"/>
  <c r="J31" i="11"/>
  <c r="D23" i="2"/>
  <c r="M9" i="11"/>
  <c r="J12" i="8"/>
  <c r="J11" i="11" s="1"/>
  <c r="K27" i="11"/>
  <c r="K33" i="11" s="1"/>
  <c r="E29" i="11"/>
  <c r="E35" i="11" s="1"/>
  <c r="K31" i="11"/>
  <c r="J20" i="2"/>
  <c r="D27" i="11"/>
  <c r="L27" i="11"/>
  <c r="L33" i="11" s="1"/>
  <c r="L31" i="11"/>
  <c r="L4" i="1"/>
  <c r="L23" i="1" s="1"/>
  <c r="L10" i="1"/>
  <c r="M11" i="1" s="1"/>
  <c r="L5" i="1"/>
  <c r="M27" i="11"/>
  <c r="M33" i="11" s="1"/>
  <c r="M31" i="11"/>
  <c r="J23" i="2"/>
  <c r="B15" i="12"/>
  <c r="D13" i="12"/>
  <c r="D12" i="12"/>
  <c r="D11" i="12"/>
  <c r="D10" i="12"/>
  <c r="D9" i="12"/>
  <c r="E9" i="12" s="1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E105" i="8"/>
  <c r="G105" i="8"/>
  <c r="D58" i="8"/>
  <c r="J63" i="8"/>
  <c r="H94" i="8"/>
  <c r="F94" i="8"/>
  <c r="K80" i="8"/>
  <c r="I105" i="8"/>
  <c r="M105" i="8"/>
  <c r="D94" i="8"/>
  <c r="E58" i="8"/>
  <c r="G58" i="8"/>
  <c r="K63" i="8"/>
  <c r="E94" i="8"/>
  <c r="N25" i="8"/>
  <c r="F9" i="11"/>
  <c r="F58" i="8"/>
  <c r="L63" i="8"/>
  <c r="L65" i="8" s="1"/>
  <c r="L67" i="8" s="1"/>
  <c r="D80" i="8"/>
  <c r="I80" i="8"/>
  <c r="L80" i="8"/>
  <c r="M63" i="8"/>
  <c r="J80" i="8"/>
  <c r="D105" i="8"/>
  <c r="H58" i="8"/>
  <c r="H65" i="8" s="1"/>
  <c r="H67" i="8" s="1"/>
  <c r="G107" i="8"/>
  <c r="I9" i="11"/>
  <c r="I58" i="8"/>
  <c r="I65" i="8" s="1"/>
  <c r="I67" i="8" s="1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L107" i="8" s="1"/>
  <c r="K94" i="8"/>
  <c r="H105" i="8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H107" i="8"/>
  <c r="I107" i="8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B14" i="1"/>
  <c r="G20" i="2"/>
  <c r="D6" i="1"/>
  <c r="D19" i="1" s="1"/>
  <c r="H24" i="1" s="1"/>
  <c r="J16" i="2"/>
  <c r="G16" i="2"/>
  <c r="D13" i="1"/>
  <c r="E13" i="1" s="1"/>
  <c r="E14" i="1" s="1"/>
  <c r="I25" i="1" s="1"/>
  <c r="E24" i="2"/>
  <c r="L7" i="1"/>
  <c r="D14" i="3"/>
  <c r="D24" i="2"/>
  <c r="F21" i="2"/>
  <c r="K24" i="2"/>
  <c r="B14" i="3"/>
  <c r="G21" i="2"/>
  <c r="E6" i="1"/>
  <c r="E19" i="1" s="1"/>
  <c r="I24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L8" i="1"/>
  <c r="J24" i="2"/>
  <c r="B20" i="2"/>
  <c r="K14" i="3"/>
  <c r="I24" i="2"/>
  <c r="H24" i="2"/>
  <c r="B16" i="2"/>
  <c r="G24" i="2"/>
  <c r="K24" i="1"/>
  <c r="L9" i="1"/>
  <c r="M9" i="1" s="1"/>
  <c r="E16" i="2"/>
  <c r="F24" i="2"/>
  <c r="J25" i="1"/>
  <c r="N9" i="1"/>
  <c r="N8" i="1"/>
  <c r="M8" i="1"/>
  <c r="I20" i="2"/>
  <c r="J24" i="1"/>
  <c r="H20" i="2"/>
  <c r="K23" i="1"/>
  <c r="H6" i="1"/>
  <c r="H19" i="1" s="1"/>
  <c r="F6" i="1"/>
  <c r="F19" i="1" s="1"/>
  <c r="E1" i="4"/>
  <c r="K40" i="11" l="1"/>
  <c r="K38" i="11"/>
  <c r="M18" i="8"/>
  <c r="M12" i="11" s="1"/>
  <c r="M25" i="11"/>
  <c r="M21" i="11"/>
  <c r="M13" i="11"/>
  <c r="M19" i="11" s="1"/>
  <c r="L18" i="8"/>
  <c r="L12" i="11" s="1"/>
  <c r="L25" i="11"/>
  <c r="L21" i="11"/>
  <c r="L13" i="11"/>
  <c r="L19" i="11" s="1"/>
  <c r="K18" i="8"/>
  <c r="K12" i="11" s="1"/>
  <c r="K25" i="11"/>
  <c r="K21" i="11"/>
  <c r="K13" i="11"/>
  <c r="K19" i="11" s="1"/>
  <c r="P9" i="11"/>
  <c r="O9" i="11"/>
  <c r="O29" i="11"/>
  <c r="D40" i="11"/>
  <c r="D38" i="11"/>
  <c r="L19" i="1"/>
  <c r="L24" i="1" s="1"/>
  <c r="M24" i="1" s="1"/>
  <c r="F6" i="11"/>
  <c r="F13" i="11"/>
  <c r="F19" i="11" s="1"/>
  <c r="F18" i="8"/>
  <c r="F12" i="11" s="1"/>
  <c r="F25" i="11"/>
  <c r="F21" i="11"/>
  <c r="O17" i="11"/>
  <c r="P17" i="11"/>
  <c r="H18" i="8"/>
  <c r="H12" i="11" s="1"/>
  <c r="H25" i="11"/>
  <c r="H21" i="11"/>
  <c r="H13" i="11"/>
  <c r="H19" i="11" s="1"/>
  <c r="M107" i="8"/>
  <c r="M39" i="11"/>
  <c r="M40" i="11"/>
  <c r="M38" i="11"/>
  <c r="D33" i="11"/>
  <c r="P27" i="11"/>
  <c r="O27" i="11"/>
  <c r="E38" i="11"/>
  <c r="E40" i="11"/>
  <c r="O30" i="11"/>
  <c r="P30" i="11"/>
  <c r="I18" i="8"/>
  <c r="I12" i="11" s="1"/>
  <c r="I25" i="11"/>
  <c r="I21" i="11"/>
  <c r="I13" i="11"/>
  <c r="I19" i="11" s="1"/>
  <c r="P11" i="11"/>
  <c r="O11" i="11"/>
  <c r="I36" i="11"/>
  <c r="E6" i="11"/>
  <c r="E13" i="11"/>
  <c r="E19" i="11" s="1"/>
  <c r="E18" i="8"/>
  <c r="E12" i="11" s="1"/>
  <c r="E25" i="11"/>
  <c r="E21" i="11"/>
  <c r="L36" i="11"/>
  <c r="O35" i="11"/>
  <c r="P35" i="11"/>
  <c r="O34" i="11"/>
  <c r="P34" i="11"/>
  <c r="D36" i="11"/>
  <c r="M23" i="1"/>
  <c r="M4" i="1" s="1"/>
  <c r="D25" i="11"/>
  <c r="D21" i="11"/>
  <c r="I4" i="12" a="1"/>
  <c r="D13" i="11"/>
  <c r="D18" i="8"/>
  <c r="D12" i="11" s="1"/>
  <c r="O18" i="11"/>
  <c r="P18" i="11"/>
  <c r="G27" i="8"/>
  <c r="G28" i="8" s="1"/>
  <c r="G14" i="11" s="1"/>
  <c r="G18" i="8"/>
  <c r="G12" i="11" s="1"/>
  <c r="G25" i="11"/>
  <c r="G21" i="11"/>
  <c r="G13" i="11"/>
  <c r="G19" i="11" s="1"/>
  <c r="J38" i="11"/>
  <c r="J40" i="11"/>
  <c r="O28" i="11"/>
  <c r="J18" i="8"/>
  <c r="J12" i="11" s="1"/>
  <c r="J25" i="11"/>
  <c r="J21" i="11"/>
  <c r="J13" i="11"/>
  <c r="J19" i="11" s="1"/>
  <c r="H38" i="11"/>
  <c r="H39" i="11"/>
  <c r="H40" i="11"/>
  <c r="P28" i="11"/>
  <c r="O5" i="11"/>
  <c r="P5" i="11"/>
  <c r="L39" i="11"/>
  <c r="L40" i="11"/>
  <c r="L38" i="11"/>
  <c r="F38" i="11"/>
  <c r="F39" i="11"/>
  <c r="F40" i="11"/>
  <c r="G36" i="11"/>
  <c r="I38" i="11"/>
  <c r="I39" i="11"/>
  <c r="I40" i="11"/>
  <c r="O31" i="11"/>
  <c r="P31" i="11"/>
  <c r="P29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M27" i="8"/>
  <c r="M19" i="8"/>
  <c r="D19" i="8"/>
  <c r="D27" i="8"/>
  <c r="N27" i="8"/>
  <c r="N19" i="8"/>
  <c r="L27" i="8"/>
  <c r="L19" i="8"/>
  <c r="K27" i="8"/>
  <c r="K19" i="8"/>
  <c r="F19" i="8"/>
  <c r="F27" i="8"/>
  <c r="D14" i="1"/>
  <c r="H25" i="1" s="1"/>
  <c r="N25" i="1" s="1"/>
  <c r="N14" i="1" s="1"/>
  <c r="N24" i="1"/>
  <c r="N23" i="1"/>
  <c r="N4" i="1" s="1"/>
  <c r="N6" i="1" s="1"/>
  <c r="N10" i="1" s="1"/>
  <c r="N12" i="1" s="1"/>
  <c r="N13" i="1" s="1"/>
  <c r="M6" i="1"/>
  <c r="M10" i="1" s="1"/>
  <c r="M12" i="1" s="1"/>
  <c r="M13" i="1" s="1"/>
  <c r="M15" i="1" s="1"/>
  <c r="O12" i="11" l="1"/>
  <c r="P12" i="11"/>
  <c r="P38" i="11"/>
  <c r="O38" i="11"/>
  <c r="O13" i="11"/>
  <c r="D19" i="11"/>
  <c r="P13" i="11"/>
  <c r="D39" i="11"/>
  <c r="I4" i="12"/>
  <c r="I6" i="12"/>
  <c r="I7" i="12"/>
  <c r="J7" i="12" s="1"/>
  <c r="I5" i="12"/>
  <c r="J5" i="12" s="1"/>
  <c r="I13" i="12"/>
  <c r="I10" i="12"/>
  <c r="I8" i="12"/>
  <c r="I12" i="12"/>
  <c r="I11" i="12"/>
  <c r="J11" i="12" s="1"/>
  <c r="I9" i="12"/>
  <c r="J9" i="12" s="1"/>
  <c r="P40" i="11"/>
  <c r="O40" i="11"/>
  <c r="G33" i="8"/>
  <c r="G23" i="11" s="1"/>
  <c r="J39" i="11"/>
  <c r="O21" i="11"/>
  <c r="P21" i="11"/>
  <c r="E39" i="11"/>
  <c r="P25" i="11"/>
  <c r="O25" i="11"/>
  <c r="O6" i="11"/>
  <c r="P6" i="11"/>
  <c r="G7" i="11"/>
  <c r="O36" i="11"/>
  <c r="P36" i="11"/>
  <c r="G31" i="8"/>
  <c r="G67" i="8"/>
  <c r="G39" i="11"/>
  <c r="O33" i="11"/>
  <c r="P33" i="11"/>
  <c r="K39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5" i="1"/>
  <c r="N15" i="1"/>
  <c r="M5" i="1"/>
  <c r="J6" i="12" l="1"/>
  <c r="I14" i="12"/>
  <c r="J14" i="12" s="1"/>
  <c r="I15" i="12"/>
  <c r="J15" i="12" s="1"/>
  <c r="I18" i="12"/>
  <c r="I16" i="12"/>
  <c r="J16" i="12" s="1"/>
  <c r="I17" i="12"/>
  <c r="J17" i="12" s="1"/>
  <c r="O14" i="11"/>
  <c r="P14" i="11"/>
  <c r="P39" i="11"/>
  <c r="O39" i="11"/>
  <c r="O19" i="11"/>
  <c r="P19" i="11"/>
  <c r="J12" i="12"/>
  <c r="J8" i="12"/>
  <c r="K8" i="11"/>
  <c r="K23" i="11"/>
  <c r="P23" i="11" s="1"/>
  <c r="J10" i="12"/>
  <c r="O7" i="11"/>
  <c r="P7" i="11"/>
  <c r="J13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4" i="12" l="1" a="1"/>
  <c r="O15" i="11"/>
  <c r="P15" i="11"/>
  <c r="J18" i="12"/>
  <c r="O23" i="11"/>
  <c r="P8" i="11"/>
  <c r="O8" i="11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O22" i="11" l="1"/>
  <c r="D24" i="11"/>
  <c r="P22" i="11"/>
  <c r="N8" i="12"/>
  <c r="N7" i="12"/>
  <c r="N6" i="12"/>
  <c r="O6" i="12" s="1"/>
  <c r="N11" i="12"/>
  <c r="N5" i="12"/>
  <c r="N10" i="12"/>
  <c r="O10" i="12" s="1"/>
  <c r="N13" i="12"/>
  <c r="N4" i="12"/>
  <c r="N12" i="12"/>
  <c r="O12" i="12" s="1"/>
  <c r="N9" i="12"/>
  <c r="O13" i="12" l="1"/>
  <c r="O7" i="12"/>
  <c r="O5" i="12"/>
  <c r="O8" i="12"/>
  <c r="N14" i="12"/>
  <c r="O14" i="12" s="1"/>
  <c r="N18" i="12"/>
  <c r="N16" i="12"/>
  <c r="N17" i="12"/>
  <c r="N15" i="12"/>
  <c r="O15" i="12" s="1"/>
  <c r="P24" i="11"/>
  <c r="O24" i="11"/>
  <c r="O11" i="12"/>
  <c r="O9" i="12"/>
  <c r="O17" i="12" l="1"/>
  <c r="O16" i="12"/>
  <c r="O18" i="12"/>
</calcChain>
</file>

<file path=xl/sharedStrings.xml><?xml version="1.0" encoding="utf-8"?>
<sst xmlns="http://schemas.openxmlformats.org/spreadsheetml/2006/main" count="294" uniqueCount="180">
  <si>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</si>
  <si>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</si>
  <si>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</si>
  <si>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</si>
  <si>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</si>
  <si>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</si>
  <si>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</si>
  <si>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</si>
  <si>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</si>
  <si>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</si>
  <si>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</si>
  <si>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</si>
  <si>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</si>
  <si>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</si>
  <si>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</si>
  <si>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</si>
  <si>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</si>
  <si>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</si>
  <si>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</si>
  <si>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</si>
  <si>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</si>
  <si>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</si>
  <si>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</si>
  <si>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</si>
  <si>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</si>
  <si>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</si>
  <si>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</si>
  <si>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</si>
  <si>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</si>
  <si>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</si>
  <si>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</si>
  <si>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</si>
  <si>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</si>
  <si>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</si>
  <si>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</si>
  <si>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</si>
  <si>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</si>
  <si>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</si>
  <si>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</si>
  <si>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</si>
  <si>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</si>
  <si>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</si>
  <si>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</si>
  <si>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</si>
  <si>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</si>
  <si>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</si>
  <si>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</si>
  <si>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</si>
  <si>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</si>
  <si>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</si>
  <si>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</si>
  <si>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</si>
  <si>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</si>
  <si>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APOLLO HOSPITALS ENTERPRISE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</si>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</sst>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1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43" fontId="2" fillId="7" borderId="0" xfId="5" applyNumberFormat="1" applyFont="1" applyFill="1" applyBorder="1" applyAlignment="1">
      <alignment horizontal="center"/>
    </xf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1" xfId="1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166" fontId="1" fillId="0" borderId="2" xfId="0" applyNumberFormat="1" applyFont="1" applyBorder="1"/>
    <xf numFmtId="0" fontId="0" fillId="0" borderId="3" xfId="0" applyBorder="1"/>
    <xf numFmtId="10" fontId="0" fillId="0" borderId="3" xfId="6" applyNumberFormat="1" applyFont="1" applyBorder="1"/>
    <xf numFmtId="0" fontId="0" fillId="0" borderId="4" xfId="0" applyBorder="1"/>
    <xf numFmtId="10" fontId="0" fillId="0" borderId="4" xfId="6" applyNumberFormat="1" applyFont="1" applyBorder="1"/>
    <xf numFmtId="169" fontId="0" fillId="0" borderId="4" xfId="0" applyNumberFormat="1" applyBorder="1"/>
    <xf numFmtId="169" fontId="0" fillId="0" borderId="3" xfId="0" applyNumberFormat="1" applyBorder="1"/>
    <xf numFmtId="169" fontId="0" fillId="0" borderId="0" xfId="0" applyNumberFormat="1"/>
    <xf numFmtId="1" fontId="0" fillId="0" borderId="3" xfId="0" applyNumberFormat="1" applyBorder="1"/>
    <xf numFmtId="1" fontId="0" fillId="0" borderId="0" xfId="0" applyNumberFormat="1"/>
    <xf numFmtId="1" fontId="0" fillId="0" borderId="4" xfId="0" applyNumberFormat="1" applyBorder="1"/>
    <xf numFmtId="3" fontId="11" fillId="0" borderId="0" xfId="0" applyNumberFormat="1" applyFont="1"/>
    <xf numFmtId="0" fontId="11" fillId="0" borderId="0" xfId="0" applyFont="1"/>
    <xf numFmtId="0" fontId="5" fillId="8" borderId="5" xfId="0" applyFont="1" applyFill="1" applyBorder="1"/>
    <xf numFmtId="17" fontId="5" fillId="8" borderId="5" xfId="0" applyNumberFormat="1" applyFont="1" applyFill="1" applyBorder="1"/>
    <xf numFmtId="0" fontId="0" fillId="9" borderId="0" xfId="0" applyFill="1"/>
    <xf numFmtId="173" fontId="0" fillId="9" borderId="0" xfId="0" applyNumberFormat="1" applyFill="1"/>
    <xf numFmtId="4" fontId="0" fillId="9" borderId="0" xfId="0" applyNumberFormat="1" applyFill="1"/>
    <xf numFmtId="167" fontId="0" fillId="9" borderId="0" xfId="6" applyNumberFormat="1" applyFont="1" applyFill="1"/>
    <xf numFmtId="0" fontId="12" fillId="0" borderId="0" xfId="0" applyFont="1" applyAlignment="1">
      <alignment horizontal="centerContinuous"/>
    </xf>
    <xf numFmtId="0" fontId="12" fillId="0" borderId="0" xfId="0" applyFont="1" applyAlignment="1">
      <alignment horizontal="center"/>
    </xf>
    <xf numFmtId="0" fontId="5" fillId="8" borderId="0" xfId="0" applyFont="1" applyFill="1"/>
    <xf numFmtId="0" fontId="5" fillId="8" borderId="0" xfId="0" applyFont="1" applyFill="1" applyAlignment="1">
      <alignment horizontal="right"/>
    </xf>
    <xf numFmtId="0" fontId="1" fillId="10" borderId="0" xfId="0" applyFont="1" applyFill="1"/>
    <xf numFmtId="0" fontId="0" fillId="10" borderId="0" xfId="0" applyFill="1"/>
    <xf numFmtId="43" fontId="1" fillId="0" borderId="2" xfId="1" applyFont="1" applyBorder="1"/>
    <xf numFmtId="43" fontId="4" fillId="0" borderId="0" xfId="2" applyNumberFormat="1" applyBorder="1" applyAlignment="1" applyProtection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9" activePane="bottomRight" state="frozen"/>
      <selection activeCell="I2" sqref="I2"/>
      <selection pane="topRight" activeCell="I2" sqref="I2"/>
      <selection pane="bottomLeft" activeCell="I2" sqref="I2"/>
      <selection pane="bottomRight" activeCell="I24" sqref="I24"/>
    </sheetView>
  </sheetViews>
  <sheetFormatPr defaultColWidth="8.77734375" defaultRowHeight="14.4" x14ac:dyDescent="0.3"/>
  <cols>
    <col min="1" max="1" width="32.3320312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APOLLO HOSPITALS ENTERPRISE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6149.5</v>
      </c>
      <c r="C4" s="1">
        <f>'Data Sheet'!C17</f>
        <v>7255.7</v>
      </c>
      <c r="D4" s="1">
        <f>'Data Sheet'!D17</f>
        <v>8243.4699999999993</v>
      </c>
      <c r="E4" s="1">
        <f>'Data Sheet'!E17</f>
        <v>9617.4</v>
      </c>
      <c r="F4" s="1">
        <f>'Data Sheet'!F17</f>
        <v>11246.8</v>
      </c>
      <c r="G4" s="1">
        <f>'Data Sheet'!G17</f>
        <v>10560</v>
      </c>
      <c r="H4" s="1">
        <f>'Data Sheet'!H17</f>
        <v>14662.6</v>
      </c>
      <c r="I4" s="1">
        <f>'Data Sheet'!I17</f>
        <v>16612.5</v>
      </c>
      <c r="J4" s="1">
        <f>'Data Sheet'!J17</f>
        <v>19059.2</v>
      </c>
      <c r="K4" s="1">
        <f>'Data Sheet'!K17</f>
        <v>21794</v>
      </c>
      <c r="L4" s="1">
        <f>SUM(Quarters!H4:K4)</f>
        <v>21794</v>
      </c>
      <c r="M4" s="1">
        <f>$K4+M23*K4</f>
        <v>24921.215790799193</v>
      </c>
      <c r="N4" s="1">
        <f>$K4+N23*L4</f>
        <v>24872.089190105056</v>
      </c>
    </row>
    <row r="5" spans="1:14" x14ac:dyDescent="0.3">
      <c r="A5" t="s">
        <v>7</v>
      </c>
      <c r="B5" s="6">
        <f>SUM('Data Sheet'!B18,'Data Sheet'!B20:B24, -1*'Data Sheet'!B19)</f>
        <v>5465.25</v>
      </c>
      <c r="C5" s="6">
        <f>SUM('Data Sheet'!C18,'Data Sheet'!C20:C24, -1*'Data Sheet'!C19)</f>
        <v>6521.91</v>
      </c>
      <c r="D5" s="6">
        <f>SUM('Data Sheet'!D18,'Data Sheet'!D20:D24, -1*'Data Sheet'!D19)</f>
        <v>7442.2500000000009</v>
      </c>
      <c r="E5" s="6">
        <f>SUM('Data Sheet'!E18,'Data Sheet'!E20:E24, -1*'Data Sheet'!E19)</f>
        <v>8547.7999999999993</v>
      </c>
      <c r="F5" s="6">
        <f>SUM('Data Sheet'!F18,'Data Sheet'!F20:F24, -1*'Data Sheet'!F19)</f>
        <v>9655.9</v>
      </c>
      <c r="G5" s="6">
        <f>SUM('Data Sheet'!G18,'Data Sheet'!G20:G24, -1*'Data Sheet'!G19)</f>
        <v>9419.6999999999989</v>
      </c>
      <c r="H5" s="6">
        <f>SUM('Data Sheet'!H18,'Data Sheet'!H20:H24, -1*'Data Sheet'!H19)</f>
        <v>12473.5</v>
      </c>
      <c r="I5" s="6">
        <f>SUM('Data Sheet'!I18,'Data Sheet'!I20:I24, -1*'Data Sheet'!I19)</f>
        <v>14547.899999999998</v>
      </c>
      <c r="J5" s="6">
        <f>SUM('Data Sheet'!J18,'Data Sheet'!J20:J24, -1*'Data Sheet'!J19)</f>
        <v>16664.900000000001</v>
      </c>
      <c r="K5" s="6">
        <f>SUM('Data Sheet'!K18,'Data Sheet'!K20:K24, -1*'Data Sheet'!K19)</f>
        <v>18772.2</v>
      </c>
      <c r="L5" s="6">
        <f>SUM(Quarters!H5:K5)</f>
        <v>18772.199999999997</v>
      </c>
      <c r="M5" s="6">
        <f t="shared" ref="M5:N5" si="0">M4-M6</f>
        <v>21465.818439388851</v>
      </c>
      <c r="N5" s="6">
        <f t="shared" si="0"/>
        <v>21755.188626793533</v>
      </c>
    </row>
    <row r="6" spans="1:14" s="2" customFormat="1" x14ac:dyDescent="0.3">
      <c r="A6" s="2" t="s">
        <v>8</v>
      </c>
      <c r="B6" s="1">
        <f>B4-B5</f>
        <v>684.25</v>
      </c>
      <c r="C6" s="1">
        <f t="shared" ref="C6:K6" si="1">C4-C5</f>
        <v>733.79</v>
      </c>
      <c r="D6" s="1">
        <f t="shared" si="1"/>
        <v>801.21999999999844</v>
      </c>
      <c r="E6" s="1">
        <f t="shared" si="1"/>
        <v>1069.6000000000004</v>
      </c>
      <c r="F6" s="1">
        <f t="shared" si="1"/>
        <v>1590.8999999999996</v>
      </c>
      <c r="G6" s="1">
        <f t="shared" si="1"/>
        <v>1140.3000000000011</v>
      </c>
      <c r="H6" s="1">
        <f t="shared" si="1"/>
        <v>2189.1000000000004</v>
      </c>
      <c r="I6" s="1">
        <f t="shared" si="1"/>
        <v>2064.6000000000022</v>
      </c>
      <c r="J6" s="1">
        <f t="shared" si="1"/>
        <v>2394.2999999999993</v>
      </c>
      <c r="K6" s="1">
        <f t="shared" si="1"/>
        <v>3021.7999999999993</v>
      </c>
      <c r="L6" s="1">
        <f>SUM(Quarters!H6:K6)</f>
        <v>3021.8</v>
      </c>
      <c r="M6" s="1">
        <f>M4*M24</f>
        <v>3455.3973514103427</v>
      </c>
      <c r="N6" s="1">
        <f>N4*N24</f>
        <v>3116.900563311523</v>
      </c>
    </row>
    <row r="7" spans="1:14" x14ac:dyDescent="0.3">
      <c r="A7" t="s">
        <v>9</v>
      </c>
      <c r="B7" s="6">
        <f>'Data Sheet'!B25</f>
        <v>91.73</v>
      </c>
      <c r="C7" s="6">
        <f>'Data Sheet'!C25</f>
        <v>59.68</v>
      </c>
      <c r="D7" s="6">
        <f>'Data Sheet'!D25</f>
        <v>24.34</v>
      </c>
      <c r="E7" s="6">
        <f>'Data Sheet'!E25</f>
        <v>25.5</v>
      </c>
      <c r="F7" s="6">
        <f>'Data Sheet'!F25</f>
        <v>221.6</v>
      </c>
      <c r="G7" s="6">
        <f>'Data Sheet'!G25</f>
        <v>102.7</v>
      </c>
      <c r="H7" s="6">
        <f>'Data Sheet'!H25</f>
        <v>368.3</v>
      </c>
      <c r="I7" s="6">
        <f>'Data Sheet'!I25</f>
        <v>75.3</v>
      </c>
      <c r="J7" s="6">
        <f>'Data Sheet'!J25</f>
        <v>104.6</v>
      </c>
      <c r="K7" s="6">
        <f>'Data Sheet'!K25</f>
        <v>233.3</v>
      </c>
      <c r="L7" s="6">
        <f>SUM(Quarters!H7:K7)</f>
        <v>233.29999999999998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263.83</v>
      </c>
      <c r="C8" s="6">
        <f>'Data Sheet'!C26</f>
        <v>314.04000000000002</v>
      </c>
      <c r="D8" s="6">
        <f>'Data Sheet'!D26</f>
        <v>359.03</v>
      </c>
      <c r="E8" s="6">
        <f>'Data Sheet'!E26</f>
        <v>395.5</v>
      </c>
      <c r="F8" s="6">
        <f>'Data Sheet'!F26</f>
        <v>619.70000000000005</v>
      </c>
      <c r="G8" s="6">
        <f>'Data Sheet'!G26</f>
        <v>573.1</v>
      </c>
      <c r="H8" s="6">
        <f>'Data Sheet'!H26</f>
        <v>600.70000000000005</v>
      </c>
      <c r="I8" s="6">
        <f>'Data Sheet'!I26</f>
        <v>615.4</v>
      </c>
      <c r="J8" s="6">
        <f>'Data Sheet'!J26</f>
        <v>687</v>
      </c>
      <c r="K8" s="6">
        <f>'Data Sheet'!K26</f>
        <v>757.5</v>
      </c>
      <c r="L8" s="6">
        <f>SUM(Quarters!H8:K8)</f>
        <v>757.5</v>
      </c>
      <c r="M8" s="6">
        <f>+$L8</f>
        <v>757.5</v>
      </c>
      <c r="N8" s="6">
        <f>+$L8</f>
        <v>757.5</v>
      </c>
    </row>
    <row r="9" spans="1:14" x14ac:dyDescent="0.3">
      <c r="A9" t="s">
        <v>11</v>
      </c>
      <c r="B9" s="6">
        <f>'Data Sheet'!B27</f>
        <v>180.02</v>
      </c>
      <c r="C9" s="6">
        <f>'Data Sheet'!C27</f>
        <v>257.35000000000002</v>
      </c>
      <c r="D9" s="6">
        <f>'Data Sheet'!D27</f>
        <v>295.07</v>
      </c>
      <c r="E9" s="6">
        <f>'Data Sheet'!E27</f>
        <v>327</v>
      </c>
      <c r="F9" s="6">
        <f>'Data Sheet'!F27</f>
        <v>532.79999999999995</v>
      </c>
      <c r="G9" s="6">
        <f>'Data Sheet'!G27</f>
        <v>449.2</v>
      </c>
      <c r="H9" s="6">
        <f>'Data Sheet'!H27</f>
        <v>378.6</v>
      </c>
      <c r="I9" s="6">
        <f>'Data Sheet'!I27</f>
        <v>380.8</v>
      </c>
      <c r="J9" s="6">
        <f>'Data Sheet'!J27</f>
        <v>449.4</v>
      </c>
      <c r="K9" s="6">
        <f>'Data Sheet'!K27</f>
        <v>458.5</v>
      </c>
      <c r="L9" s="6">
        <f>SUM(Quarters!H9:K9)</f>
        <v>458.5</v>
      </c>
      <c r="M9" s="6">
        <f>+$L9</f>
        <v>458.5</v>
      </c>
      <c r="N9" s="6">
        <f>+$L9</f>
        <v>458.5</v>
      </c>
    </row>
    <row r="10" spans="1:14" x14ac:dyDescent="0.3">
      <c r="A10" t="s">
        <v>12</v>
      </c>
      <c r="B10" s="6">
        <f>'Data Sheet'!B28</f>
        <v>332.13</v>
      </c>
      <c r="C10" s="6">
        <f>'Data Sheet'!C28</f>
        <v>222.08</v>
      </c>
      <c r="D10" s="6">
        <f>'Data Sheet'!D28</f>
        <v>171.46</v>
      </c>
      <c r="E10" s="6">
        <f>'Data Sheet'!E28</f>
        <v>372.6</v>
      </c>
      <c r="F10" s="6">
        <f>'Data Sheet'!F28</f>
        <v>660</v>
      </c>
      <c r="G10" s="6">
        <f>'Data Sheet'!G28</f>
        <v>220.7</v>
      </c>
      <c r="H10" s="6">
        <f>'Data Sheet'!H28</f>
        <v>1578.1</v>
      </c>
      <c r="I10" s="6">
        <f>'Data Sheet'!I28</f>
        <v>1143.7</v>
      </c>
      <c r="J10" s="6">
        <f>'Data Sheet'!J28</f>
        <v>1362.5</v>
      </c>
      <c r="K10" s="6">
        <f>'Data Sheet'!K28</f>
        <v>2039.1</v>
      </c>
      <c r="L10" s="6">
        <f>SUM(Quarters!H10:K10)</f>
        <v>2039.1</v>
      </c>
      <c r="M10" s="6">
        <f>M6+M7-SUM(M8:M9)</f>
        <v>2239.3973514103427</v>
      </c>
      <c r="N10" s="6">
        <f>N6+N7-SUM(N8:N9)</f>
        <v>1900.900563311523</v>
      </c>
    </row>
    <row r="11" spans="1:14" x14ac:dyDescent="0.3">
      <c r="A11" t="s">
        <v>13</v>
      </c>
      <c r="B11" s="6">
        <f>'Data Sheet'!B29</f>
        <v>96.9</v>
      </c>
      <c r="C11" s="6">
        <f>'Data Sheet'!C29</f>
        <v>90.96</v>
      </c>
      <c r="D11" s="6">
        <f>'Data Sheet'!D29</f>
        <v>111.91</v>
      </c>
      <c r="E11" s="6">
        <f>'Data Sheet'!E29</f>
        <v>173.4</v>
      </c>
      <c r="F11" s="6">
        <f>'Data Sheet'!F29</f>
        <v>225.2</v>
      </c>
      <c r="G11" s="6">
        <f>'Data Sheet'!G29</f>
        <v>84.7</v>
      </c>
      <c r="H11" s="6">
        <f>'Data Sheet'!H29</f>
        <v>477</v>
      </c>
      <c r="I11" s="6">
        <f>'Data Sheet'!I29</f>
        <v>256.2</v>
      </c>
      <c r="J11" s="6">
        <f>'Data Sheet'!J29</f>
        <v>445.5</v>
      </c>
      <c r="K11" s="6">
        <f>'Data Sheet'!K29</f>
        <v>534</v>
      </c>
      <c r="L11" s="6">
        <f>SUM(Quarters!H11:K11)</f>
        <v>534</v>
      </c>
      <c r="M11" s="7">
        <f>IF($L10&gt;0,$L11/$L10,0)</f>
        <v>0.26188024128291892</v>
      </c>
      <c r="N11" s="7">
        <f>IF($L10&gt;0,$L11/$L10,0)</f>
        <v>0.26188024128291892</v>
      </c>
    </row>
    <row r="12" spans="1:14" s="2" customFormat="1" x14ac:dyDescent="0.3">
      <c r="A12" s="2" t="s">
        <v>14</v>
      </c>
      <c r="B12" s="1">
        <f>'Data Sheet'!B30</f>
        <v>236.38</v>
      </c>
      <c r="C12" s="1">
        <f>'Data Sheet'!C30</f>
        <v>220.99</v>
      </c>
      <c r="D12" s="1">
        <f>'Data Sheet'!D30</f>
        <v>117.42</v>
      </c>
      <c r="E12" s="1">
        <f>'Data Sheet'!E30</f>
        <v>236</v>
      </c>
      <c r="F12" s="1">
        <f>'Data Sheet'!F30</f>
        <v>454.9</v>
      </c>
      <c r="G12" s="1">
        <f>'Data Sheet'!G30</f>
        <v>150.4</v>
      </c>
      <c r="H12" s="1">
        <f>'Data Sheet'!H30</f>
        <v>1055.5999999999999</v>
      </c>
      <c r="I12" s="1">
        <f>'Data Sheet'!I30</f>
        <v>819.1</v>
      </c>
      <c r="J12" s="1">
        <f>'Data Sheet'!J30</f>
        <v>898.6</v>
      </c>
      <c r="K12" s="1">
        <f>'Data Sheet'!K30</f>
        <v>1445.9</v>
      </c>
      <c r="L12" s="1">
        <f>SUM(Quarters!H12:K12)</f>
        <v>1445.9</v>
      </c>
      <c r="M12" s="1">
        <f>M10-M11*M10</f>
        <v>1652.9434326946725</v>
      </c>
      <c r="N12" s="1">
        <f>N10-N11*N10</f>
        <v>1403.092265136665</v>
      </c>
    </row>
    <row r="13" spans="1:14" x14ac:dyDescent="0.3">
      <c r="A13" t="s">
        <v>47</v>
      </c>
      <c r="B13" s="6">
        <f>IF('Data Sheet'!B93&gt;0,B12/'Data Sheet'!B93,0)</f>
        <v>16.99352983465133</v>
      </c>
      <c r="C13" s="6">
        <f>IF('Data Sheet'!C93&gt;0,C12/'Data Sheet'!C93,0)</f>
        <v>15.887131560028756</v>
      </c>
      <c r="D13" s="6">
        <f>IF('Data Sheet'!D93&gt;0,D12/'Data Sheet'!D93,0)</f>
        <v>8.4414090582314874</v>
      </c>
      <c r="E13" s="6">
        <f>IF('Data Sheet'!E93&gt;0,E12/'Data Sheet'!E93,0)</f>
        <v>16.966211358734721</v>
      </c>
      <c r="F13" s="6">
        <f>IF('Data Sheet'!F93&gt;0,F12/'Data Sheet'!F93,0)</f>
        <v>32.703091301222138</v>
      </c>
      <c r="G13" s="6">
        <f>IF('Data Sheet'!G93&gt;0,G12/'Data Sheet'!G93,0)</f>
        <v>10.458970792767733</v>
      </c>
      <c r="H13" s="6">
        <f>IF('Data Sheet'!H93&gt;0,H12/'Data Sheet'!H93,0)</f>
        <v>73.407510431154364</v>
      </c>
      <c r="I13" s="6">
        <f>IF('Data Sheet'!I93&gt;0,I12/'Data Sheet'!I93,0)</f>
        <v>56.961057023643946</v>
      </c>
      <c r="J13" s="6">
        <f>IF('Data Sheet'!J93&gt;0,J12/'Data Sheet'!J93,0)</f>
        <v>62.489568845618912</v>
      </c>
      <c r="K13" s="6">
        <f>IF('Data Sheet'!K93&gt;0,K12/'Data Sheet'!K93,0)</f>
        <v>100.54937413073714</v>
      </c>
      <c r="L13" s="6">
        <f>IF('Data Sheet'!$B6&gt;0,'Profit &amp; Loss'!L12/'Data Sheet'!$B6,0)</f>
        <v>100.56011839674483</v>
      </c>
      <c r="M13" s="6">
        <f>IF('Data Sheet'!$B6&gt;0,'Profit &amp; Loss'!M12/'Data Sheet'!$B6,0)</f>
        <v>114.95967030562146</v>
      </c>
      <c r="N13" s="6">
        <f>IF('Data Sheet'!$B6&gt;0,'Profit &amp; Loss'!N12/'Data Sheet'!$B6,0)</f>
        <v>97.582906358461784</v>
      </c>
    </row>
    <row r="14" spans="1:14" x14ac:dyDescent="0.3">
      <c r="A14" t="s">
        <v>16</v>
      </c>
      <c r="B14" s="6">
        <f>IF(B15&gt;0,B15/B13,"")</f>
        <v>78.223889499957693</v>
      </c>
      <c r="C14" s="6">
        <f t="shared" ref="C14:K14" si="2">IF(C15&gt;0,C15/C13,"")</f>
        <v>73.339230281913217</v>
      </c>
      <c r="D14" s="6">
        <f t="shared" si="2"/>
        <v>126.12230880599559</v>
      </c>
      <c r="E14" s="6">
        <f t="shared" si="2"/>
        <v>72.355576271186436</v>
      </c>
      <c r="F14" s="6">
        <f t="shared" si="2"/>
        <v>34.830040668278748</v>
      </c>
      <c r="G14" s="6">
        <f t="shared" si="2"/>
        <v>277.5273071808511</v>
      </c>
      <c r="H14" s="6">
        <f t="shared" si="2"/>
        <v>61.520953012504755</v>
      </c>
      <c r="I14" s="6">
        <f t="shared" si="2"/>
        <v>75.681530948602116</v>
      </c>
      <c r="J14" s="6">
        <f t="shared" si="2"/>
        <v>101.72577787669709</v>
      </c>
      <c r="K14" s="6">
        <f t="shared" si="2"/>
        <v>65.800509025520441</v>
      </c>
      <c r="L14" s="6">
        <f t="shared" ref="L14" si="3">IF(L13&gt;0,L15/L13,0)</f>
        <v>69.681699979251675</v>
      </c>
      <c r="M14" s="6">
        <f>M25</f>
        <v>78.222379457517832</v>
      </c>
      <c r="N14" s="6">
        <f>N25</f>
        <v>69.681699979251675</v>
      </c>
    </row>
    <row r="15" spans="1:14" s="2" customFormat="1" x14ac:dyDescent="0.3">
      <c r="A15" s="2" t="s">
        <v>48</v>
      </c>
      <c r="B15" s="1">
        <f>'Data Sheet'!B90</f>
        <v>1329.3</v>
      </c>
      <c r="C15" s="1">
        <f>'Data Sheet'!C90</f>
        <v>1165.1500000000001</v>
      </c>
      <c r="D15" s="1">
        <f>'Data Sheet'!D90</f>
        <v>1064.6500000000001</v>
      </c>
      <c r="E15" s="1">
        <f>'Data Sheet'!E90</f>
        <v>1227.5999999999999</v>
      </c>
      <c r="F15" s="1">
        <f>'Data Sheet'!F90</f>
        <v>1139.05</v>
      </c>
      <c r="G15" s="1">
        <f>'Data Sheet'!G90</f>
        <v>2902.65</v>
      </c>
      <c r="H15" s="1">
        <f>'Data Sheet'!H90</f>
        <v>4516.1000000000004</v>
      </c>
      <c r="I15" s="1">
        <f>'Data Sheet'!I90</f>
        <v>4310.8999999999996</v>
      </c>
      <c r="J15" s="1">
        <f>'Data Sheet'!J90</f>
        <v>6356.8</v>
      </c>
      <c r="K15" s="1">
        <f>'Data Sheet'!K90</f>
        <v>6616.2</v>
      </c>
      <c r="L15" s="1">
        <f>'Data Sheet'!B8</f>
        <v>7007.2</v>
      </c>
      <c r="M15" s="8">
        <f>M13*M14</f>
        <v>8992.4189529574669</v>
      </c>
      <c r="N15" s="9">
        <f>N13*N14</f>
        <v>6799.7428039737451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0.35311786107115661</v>
      </c>
      <c r="C18" s="5">
        <f>IF('Data Sheet'!C30&gt;0, 'Data Sheet'!C31/'Data Sheet'!C30, 0)</f>
        <v>0.37770939861532193</v>
      </c>
      <c r="D18" s="5">
        <f>IF('Data Sheet'!D30&gt;0, 'Data Sheet'!D31/'Data Sheet'!D30, 0)</f>
        <v>0.59240333844319537</v>
      </c>
      <c r="E18" s="5">
        <f>IF('Data Sheet'!E30&gt;0, 'Data Sheet'!E31/'Data Sheet'!E30, 0)</f>
        <v>0.35389830508474573</v>
      </c>
      <c r="F18" s="5">
        <f>IF('Data Sheet'!F30&gt;0, 'Data Sheet'!F31/'Data Sheet'!F30, 0)</f>
        <v>0.18360079138272148</v>
      </c>
      <c r="G18" s="5">
        <f>IF('Data Sheet'!G30&gt;0, 'Data Sheet'!G31/'Data Sheet'!G30, 0)</f>
        <v>0.28683510638297871</v>
      </c>
      <c r="H18" s="5">
        <f>IF('Data Sheet'!H30&gt;0, 'Data Sheet'!H31/'Data Sheet'!H30, 0)</f>
        <v>0.16006062902614629</v>
      </c>
      <c r="I18" s="5">
        <f>IF('Data Sheet'!I30&gt;0, 'Data Sheet'!I31/'Data Sheet'!I30, 0)</f>
        <v>0.26333780979123428</v>
      </c>
      <c r="J18" s="5">
        <f>IF('Data Sheet'!J30&gt;0, 'Data Sheet'!J31/'Data Sheet'!J30, 0)</f>
        <v>0.25604273314044068</v>
      </c>
      <c r="K18" s="5">
        <f>IF('Data Sheet'!K30&gt;0, 'Data Sheet'!K31/'Data Sheet'!K30, 0)</f>
        <v>0.27847015699564281</v>
      </c>
    </row>
    <row r="19" spans="1:14" x14ac:dyDescent="0.3">
      <c r="A19" t="s">
        <v>179</v>
      </c>
      <c r="B19" s="5">
        <f t="shared" ref="B19:L19" si="4">IF(B6&gt;0,B6/B4,0)</f>
        <v>0.11126920887877063</v>
      </c>
      <c r="C19" s="5">
        <f t="shared" ref="C19:K19" si="5">IF(C6&gt;0,C6/C4,0)</f>
        <v>0.10113290240776217</v>
      </c>
      <c r="D19" s="5">
        <f t="shared" si="5"/>
        <v>9.7194506682258625E-2</v>
      </c>
      <c r="E19" s="5">
        <f t="shared" si="5"/>
        <v>0.11121508931727914</v>
      </c>
      <c r="F19" s="5">
        <f t="shared" si="5"/>
        <v>0.14145356901518652</v>
      </c>
      <c r="G19" s="5">
        <f t="shared" si="5"/>
        <v>0.10798295454545465</v>
      </c>
      <c r="H19" s="5">
        <f t="shared" si="5"/>
        <v>0.14929821450493094</v>
      </c>
      <c r="I19" s="5">
        <f t="shared" si="5"/>
        <v>0.12427990970654641</v>
      </c>
      <c r="J19" s="5">
        <f t="shared" si="5"/>
        <v>0.12562437038280722</v>
      </c>
      <c r="K19" s="5">
        <f t="shared" si="5"/>
        <v>0.13865284023125626</v>
      </c>
      <c r="L19" s="5">
        <f t="shared" si="4"/>
        <v>0.13865284023125632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55</v>
      </c>
      <c r="I22" s="12" t="s">
        <v>56</v>
      </c>
      <c r="J22" s="12" t="s">
        <v>57</v>
      </c>
      <c r="K22" s="12" t="s">
        <v>58</v>
      </c>
      <c r="L22" s="13" t="s">
        <v>59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0.15094676840134125</v>
      </c>
      <c r="I23" s="5">
        <f>IF(D4=0,"",POWER($K4/D4,1/7)-1)</f>
        <v>0.14899496717875271</v>
      </c>
      <c r="J23" s="5">
        <f>IF(F4=0,"",POWER($K4/F4,1/5)-1)</f>
        <v>0.14146235940061613</v>
      </c>
      <c r="K23" s="5">
        <f>IF(H4=0,"",POWER($K4/H4, 1/3)-1)</f>
        <v>0.1412356240297814</v>
      </c>
      <c r="L23" s="5">
        <f>IF(ISERROR(MAX(IF(J4=0,"",(K4-J4)/J4),IF(K4=0,"",(L4-K4)/K4))),"",MAX(IF(J4=0,"",(K4-J4)/J4),IF(K4=0,"",(L4-K4)/K4)))</f>
        <v>0.14348975822699794</v>
      </c>
      <c r="M23" s="16">
        <f>MAX(K23:L23)</f>
        <v>0.14348975822699794</v>
      </c>
      <c r="N23" s="16">
        <f>MIN(H23:L23)</f>
        <v>0.1412356240297814</v>
      </c>
    </row>
    <row r="24" spans="1:14" x14ac:dyDescent="0.3">
      <c r="G24" t="s">
        <v>18</v>
      </c>
      <c r="H24" s="5">
        <f>IF(SUM(B4:$K$4)=0,"",SUMPRODUCT(B19:$K$19,B4:$K$4)/SUM(B4:$K$4))</f>
        <v>0.12531719951179371</v>
      </c>
      <c r="I24" s="5">
        <f>IF(SUM(E4:$K$4)=0,"",SUMPRODUCT(E19:$K$19,E4:$K$4)/SUM(E4:$K$4))</f>
        <v>0.130084739624828</v>
      </c>
      <c r="J24" s="5">
        <f>IF(SUM(G4:$K$4)=0,"",SUMPRODUCT(G19:$K$19,G4:$K$4)/SUM(G4:$K$4))</f>
        <v>0.1307331266938612</v>
      </c>
      <c r="K24" s="5">
        <f>IF(SUM(I4:$K$4)=0, "", SUMPRODUCT(I19:$K$19,I4:$K$4)/SUM(I4:$K$4))</f>
        <v>0.13017678371619942</v>
      </c>
      <c r="L24" s="5">
        <f>L19</f>
        <v>0.13865284023125632</v>
      </c>
      <c r="M24" s="16">
        <f>MAX(K24:L24)</f>
        <v>0.13865284023125632</v>
      </c>
      <c r="N24" s="16">
        <f>MIN(H24:L24)</f>
        <v>0.12531719951179371</v>
      </c>
    </row>
    <row r="25" spans="1:14" x14ac:dyDescent="0.3">
      <c r="G25" t="s">
        <v>23</v>
      </c>
      <c r="H25" s="6">
        <f>IF(ISERROR(AVERAGEIF(B14:$L14,"&gt;0")),"",AVERAGEIF(B14:$L14,"&gt;0"))</f>
        <v>94.255347595523531</v>
      </c>
      <c r="I25" s="6">
        <f>IF(ISERROR(AVERAGEIF(E14:$L14,"&gt;0")),"",AVERAGEIF(E14:$L14,"&gt;0"))</f>
        <v>94.890424370361544</v>
      </c>
      <c r="J25" s="6">
        <f>IF(ISERROR(AVERAGEIF(G14:$L14,"&gt;0")),"",AVERAGEIF(G14:$L14,"&gt;0"))</f>
        <v>108.65629633723786</v>
      </c>
      <c r="K25" s="6">
        <f>IF(ISERROR(AVERAGEIF(I14:$L14,"&gt;0")),"",AVERAGEIF(I14:$L14,"&gt;0"))</f>
        <v>78.222379457517832</v>
      </c>
      <c r="L25" s="6">
        <f>L14</f>
        <v>69.681699979251675</v>
      </c>
      <c r="M25" s="1">
        <f>MAX(K25:L25)</f>
        <v>78.222379457517832</v>
      </c>
      <c r="N25" s="1">
        <f>MIN(H25:L25)</f>
        <v>69.681699979251675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8.77734375" defaultRowHeight="14.4" x14ac:dyDescent="0.3"/>
  <cols>
    <col min="1" max="1" width="32.664062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APOLLO HOSPITALS ENTERPRISE LTD</v>
      </c>
      <c r="E1" t="str">
        <f>UPDATE</f>
        <v/>
      </c>
    </row>
    <row r="3" spans="1:11" s="2" customFormat="1" x14ac:dyDescent="0.3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6</v>
      </c>
      <c r="B4" s="1">
        <f>'Data Sheet'!B42</f>
        <v>4263.6000000000004</v>
      </c>
      <c r="C4" s="1">
        <f>'Data Sheet'!C42</f>
        <v>4302.2</v>
      </c>
      <c r="D4" s="1">
        <f>'Data Sheet'!D42</f>
        <v>4417.8</v>
      </c>
      <c r="E4" s="1">
        <f>'Data Sheet'!E42</f>
        <v>4846.8999999999996</v>
      </c>
      <c r="F4" s="1">
        <f>'Data Sheet'!F42</f>
        <v>4850.6000000000004</v>
      </c>
      <c r="G4" s="1">
        <f>'Data Sheet'!G42</f>
        <v>4943.8999999999996</v>
      </c>
      <c r="H4" s="1">
        <f>'Data Sheet'!H42</f>
        <v>5085.6000000000004</v>
      </c>
      <c r="I4" s="1">
        <f>'Data Sheet'!I42</f>
        <v>5589.3</v>
      </c>
      <c r="J4" s="1">
        <f>'Data Sheet'!J42</f>
        <v>5526.9</v>
      </c>
      <c r="K4" s="1">
        <f>'Data Sheet'!K42</f>
        <v>5592.2</v>
      </c>
    </row>
    <row r="5" spans="1:11" x14ac:dyDescent="0.3">
      <c r="A5" t="s">
        <v>7</v>
      </c>
      <c r="B5" s="6">
        <f>'Data Sheet'!B43</f>
        <v>3779.7</v>
      </c>
      <c r="C5" s="6">
        <f>'Data Sheet'!C43</f>
        <v>3814.1</v>
      </c>
      <c r="D5" s="6">
        <f>'Data Sheet'!D43</f>
        <v>3908.8</v>
      </c>
      <c r="E5" s="6">
        <f>'Data Sheet'!E43</f>
        <v>4219.3999999999996</v>
      </c>
      <c r="F5" s="6">
        <f>'Data Sheet'!F43</f>
        <v>4236.8999999999996</v>
      </c>
      <c r="G5" s="6">
        <f>'Data Sheet'!G43</f>
        <v>4303.3999999999996</v>
      </c>
      <c r="H5" s="6">
        <f>'Data Sheet'!H43</f>
        <v>4410.5</v>
      </c>
      <c r="I5" s="6">
        <f>'Data Sheet'!I43</f>
        <v>4773.8</v>
      </c>
      <c r="J5" s="6">
        <f>'Data Sheet'!J43</f>
        <v>4765.3999999999996</v>
      </c>
      <c r="K5" s="6">
        <f>'Data Sheet'!K43</f>
        <v>4822.5</v>
      </c>
    </row>
    <row r="6" spans="1:11" s="2" customFormat="1" x14ac:dyDescent="0.3">
      <c r="A6" s="2" t="s">
        <v>8</v>
      </c>
      <c r="B6" s="1">
        <f>'Data Sheet'!B50</f>
        <v>483.9</v>
      </c>
      <c r="C6" s="1">
        <f>'Data Sheet'!C50</f>
        <v>488.1</v>
      </c>
      <c r="D6" s="1">
        <f>'Data Sheet'!D50</f>
        <v>509</v>
      </c>
      <c r="E6" s="1">
        <f>'Data Sheet'!E50</f>
        <v>627.5</v>
      </c>
      <c r="F6" s="1">
        <f>'Data Sheet'!F50</f>
        <v>613.70000000000005</v>
      </c>
      <c r="G6" s="1">
        <f>'Data Sheet'!G50</f>
        <v>640.5</v>
      </c>
      <c r="H6" s="1">
        <f>'Data Sheet'!H50</f>
        <v>675.1</v>
      </c>
      <c r="I6" s="1">
        <f>'Data Sheet'!I50</f>
        <v>815.5</v>
      </c>
      <c r="J6" s="1">
        <f>'Data Sheet'!J50</f>
        <v>761.5</v>
      </c>
      <c r="K6" s="1">
        <f>'Data Sheet'!K50</f>
        <v>769.7</v>
      </c>
    </row>
    <row r="7" spans="1:11" x14ac:dyDescent="0.3">
      <c r="A7" t="s">
        <v>9</v>
      </c>
      <c r="B7" s="6">
        <f>'Data Sheet'!B44</f>
        <v>35.4</v>
      </c>
      <c r="C7" s="6">
        <f>'Data Sheet'!C44</f>
        <v>20</v>
      </c>
      <c r="D7" s="6">
        <f>'Data Sheet'!D44</f>
        <v>34.1</v>
      </c>
      <c r="E7" s="6">
        <f>'Data Sheet'!E44</f>
        <v>26.2</v>
      </c>
      <c r="F7" s="6">
        <f>'Data Sheet'!F44</f>
        <v>29.2</v>
      </c>
      <c r="G7" s="6">
        <f>'Data Sheet'!G44</f>
        <v>36.700000000000003</v>
      </c>
      <c r="H7" s="6">
        <f>'Data Sheet'!H44</f>
        <v>48.7</v>
      </c>
      <c r="I7" s="6">
        <f>'Data Sheet'!I44</f>
        <v>43.9</v>
      </c>
      <c r="J7" s="6">
        <f>'Data Sheet'!J44</f>
        <v>69.099999999999994</v>
      </c>
      <c r="K7" s="6">
        <f>'Data Sheet'!K44</f>
        <v>71.599999999999994</v>
      </c>
    </row>
    <row r="8" spans="1:11" x14ac:dyDescent="0.3">
      <c r="A8" t="s">
        <v>10</v>
      </c>
      <c r="B8" s="6">
        <f>'Data Sheet'!B45</f>
        <v>153.4</v>
      </c>
      <c r="C8" s="6">
        <f>'Data Sheet'!C45</f>
        <v>159.1</v>
      </c>
      <c r="D8" s="6">
        <f>'Data Sheet'!D45</f>
        <v>166.9</v>
      </c>
      <c r="E8" s="6">
        <f>'Data Sheet'!E45</f>
        <v>163.4</v>
      </c>
      <c r="F8" s="6">
        <f>'Data Sheet'!F45</f>
        <v>167</v>
      </c>
      <c r="G8" s="6">
        <f>'Data Sheet'!G45</f>
        <v>189.7</v>
      </c>
      <c r="H8" s="6">
        <f>'Data Sheet'!H45</f>
        <v>177.4</v>
      </c>
      <c r="I8" s="6">
        <f>'Data Sheet'!I45</f>
        <v>184.5</v>
      </c>
      <c r="J8" s="6">
        <f>'Data Sheet'!J45</f>
        <v>184.6</v>
      </c>
      <c r="K8" s="6">
        <f>'Data Sheet'!K45</f>
        <v>211</v>
      </c>
    </row>
    <row r="9" spans="1:11" x14ac:dyDescent="0.3">
      <c r="A9" t="s">
        <v>11</v>
      </c>
      <c r="B9" s="6">
        <f>'Data Sheet'!B46</f>
        <v>100</v>
      </c>
      <c r="C9" s="6">
        <f>'Data Sheet'!C46</f>
        <v>95.4</v>
      </c>
      <c r="D9" s="6">
        <f>'Data Sheet'!D46</f>
        <v>106.2</v>
      </c>
      <c r="E9" s="6">
        <f>'Data Sheet'!E46</f>
        <v>111.3</v>
      </c>
      <c r="F9" s="6">
        <f>'Data Sheet'!F46</f>
        <v>112.6</v>
      </c>
      <c r="G9" s="6">
        <f>'Data Sheet'!G46</f>
        <v>119.3</v>
      </c>
      <c r="H9" s="6">
        <f>'Data Sheet'!H46</f>
        <v>116.4</v>
      </c>
      <c r="I9" s="6">
        <f>'Data Sheet'!I46</f>
        <v>117.5</v>
      </c>
      <c r="J9" s="6">
        <f>'Data Sheet'!J46</f>
        <v>109.8</v>
      </c>
      <c r="K9" s="6">
        <f>'Data Sheet'!K46</f>
        <v>114.8</v>
      </c>
    </row>
    <row r="10" spans="1:11" x14ac:dyDescent="0.3">
      <c r="A10" t="s">
        <v>12</v>
      </c>
      <c r="B10" s="6">
        <f>'Data Sheet'!B47</f>
        <v>265.89999999999998</v>
      </c>
      <c r="C10" s="6">
        <f>'Data Sheet'!C47</f>
        <v>253.6</v>
      </c>
      <c r="D10" s="6">
        <f>'Data Sheet'!D47</f>
        <v>270</v>
      </c>
      <c r="E10" s="6">
        <f>'Data Sheet'!E47</f>
        <v>379</v>
      </c>
      <c r="F10" s="6">
        <f>'Data Sheet'!F47</f>
        <v>363.3</v>
      </c>
      <c r="G10" s="6">
        <f>'Data Sheet'!G47</f>
        <v>368.2</v>
      </c>
      <c r="H10" s="6">
        <f>'Data Sheet'!H47</f>
        <v>430</v>
      </c>
      <c r="I10" s="6">
        <f>'Data Sheet'!I47</f>
        <v>557.4</v>
      </c>
      <c r="J10" s="6">
        <f>'Data Sheet'!J47</f>
        <v>536.20000000000005</v>
      </c>
      <c r="K10" s="6">
        <f>'Data Sheet'!K47</f>
        <v>515.5</v>
      </c>
    </row>
    <row r="11" spans="1:11" x14ac:dyDescent="0.3">
      <c r="A11" t="s">
        <v>13</v>
      </c>
      <c r="B11" s="6">
        <f>'Data Sheet'!B48</f>
        <v>103.5</v>
      </c>
      <c r="C11" s="6">
        <f>'Data Sheet'!C48</f>
        <v>108</v>
      </c>
      <c r="D11" s="6">
        <f>'Data Sheet'!D48</f>
        <v>96.6</v>
      </c>
      <c r="E11" s="6">
        <f>'Data Sheet'!E48</f>
        <v>130.19999999999999</v>
      </c>
      <c r="F11" s="6">
        <f>'Data Sheet'!F48</f>
        <v>108.9</v>
      </c>
      <c r="G11" s="6">
        <f>'Data Sheet'!G48</f>
        <v>109.8</v>
      </c>
      <c r="H11" s="6">
        <f>'Data Sheet'!H48</f>
        <v>114.5</v>
      </c>
      <c r="I11" s="6">
        <f>'Data Sheet'!I48</f>
        <v>161.69999999999999</v>
      </c>
      <c r="J11" s="6">
        <f>'Data Sheet'!J48</f>
        <v>156.80000000000001</v>
      </c>
      <c r="K11" s="6">
        <f>'Data Sheet'!K48</f>
        <v>101</v>
      </c>
    </row>
    <row r="12" spans="1:11" s="2" customFormat="1" x14ac:dyDescent="0.3">
      <c r="A12" s="2" t="s">
        <v>14</v>
      </c>
      <c r="B12" s="1">
        <f>'Data Sheet'!B49</f>
        <v>153.5</v>
      </c>
      <c r="C12" s="1">
        <f>'Data Sheet'!C49</f>
        <v>144.5</v>
      </c>
      <c r="D12" s="1">
        <f>'Data Sheet'!D49</f>
        <v>166.6</v>
      </c>
      <c r="E12" s="1">
        <f>'Data Sheet'!E49</f>
        <v>232.9</v>
      </c>
      <c r="F12" s="1">
        <f>'Data Sheet'!F49</f>
        <v>245.3</v>
      </c>
      <c r="G12" s="1">
        <f>'Data Sheet'!G49</f>
        <v>253.8</v>
      </c>
      <c r="H12" s="1">
        <f>'Data Sheet'!H49</f>
        <v>305.2</v>
      </c>
      <c r="I12" s="1">
        <f>'Data Sheet'!I49</f>
        <v>378.8</v>
      </c>
      <c r="J12" s="1">
        <f>'Data Sheet'!J49</f>
        <v>372.3</v>
      </c>
      <c r="K12" s="1">
        <f>'Data Sheet'!K49</f>
        <v>389.6</v>
      </c>
    </row>
    <row r="14" spans="1:11" s="2" customFormat="1" x14ac:dyDescent="0.3">
      <c r="A14" s="2" t="s">
        <v>179</v>
      </c>
      <c r="B14" s="10">
        <f>IF(B4&gt;0,B6/B4,"")</f>
        <v>0.11349563748944552</v>
      </c>
      <c r="C14" s="10">
        <f t="shared" ref="C14:K14" si="0">IF(C4&gt;0,C6/C4,"")</f>
        <v>0.11345358188833621</v>
      </c>
      <c r="D14" s="10">
        <f t="shared" si="0"/>
        <v>0.1152157182307936</v>
      </c>
      <c r="E14" s="10">
        <f t="shared" si="0"/>
        <v>0.1294641936082857</v>
      </c>
      <c r="F14" s="10">
        <f t="shared" si="0"/>
        <v>0.12652043046221087</v>
      </c>
      <c r="G14" s="10">
        <f t="shared" si="0"/>
        <v>0.12955359129432231</v>
      </c>
      <c r="H14" s="10">
        <f t="shared" si="0"/>
        <v>0.1327473651093283</v>
      </c>
      <c r="I14" s="10">
        <f t="shared" si="0"/>
        <v>0.14590378043762187</v>
      </c>
      <c r="J14" s="10">
        <f t="shared" si="0"/>
        <v>0.13778067270983735</v>
      </c>
      <c r="K14" s="10">
        <f t="shared" si="0"/>
        <v>0.13763813883623621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Normal="100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E27" sqref="E27"/>
    </sheetView>
  </sheetViews>
  <sheetFormatPr defaultColWidth="8.77734375" defaultRowHeight="14.4" x14ac:dyDescent="0.3"/>
  <cols>
    <col min="1" max="1" width="32.3320312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APOLLO HOSPITALS ENTERPRISE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69.56</v>
      </c>
      <c r="C4" s="14">
        <f>'Data Sheet'!C57</f>
        <v>69.56</v>
      </c>
      <c r="D4" s="14">
        <f>'Data Sheet'!D57</f>
        <v>69.56</v>
      </c>
      <c r="E4" s="14">
        <f>'Data Sheet'!E57</f>
        <v>69.599999999999994</v>
      </c>
      <c r="F4" s="14">
        <f>'Data Sheet'!F57</f>
        <v>69.599999999999994</v>
      </c>
      <c r="G4" s="14">
        <f>'Data Sheet'!G57</f>
        <v>71.900000000000006</v>
      </c>
      <c r="H4" s="14">
        <f>'Data Sheet'!H57</f>
        <v>71.900000000000006</v>
      </c>
      <c r="I4" s="14">
        <f>'Data Sheet'!I57</f>
        <v>71.900000000000006</v>
      </c>
      <c r="J4" s="14">
        <f>'Data Sheet'!J57</f>
        <v>71.900000000000006</v>
      </c>
      <c r="K4" s="14">
        <f>'Data Sheet'!K57</f>
        <v>71.900000000000006</v>
      </c>
    </row>
    <row r="5" spans="1:11" x14ac:dyDescent="0.3">
      <c r="A5" t="s">
        <v>25</v>
      </c>
      <c r="B5" s="14">
        <f>'Data Sheet'!B58</f>
        <v>3261.57</v>
      </c>
      <c r="C5" s="14">
        <f>'Data Sheet'!C58</f>
        <v>3243.64</v>
      </c>
      <c r="D5" s="14">
        <f>'Data Sheet'!D58</f>
        <v>3181.94</v>
      </c>
      <c r="E5" s="14">
        <f>'Data Sheet'!E58</f>
        <v>3263.9</v>
      </c>
      <c r="F5" s="14">
        <f>'Data Sheet'!F58</f>
        <v>3269.5</v>
      </c>
      <c r="G5" s="14">
        <f>'Data Sheet'!G58</f>
        <v>4530.6000000000004</v>
      </c>
      <c r="H5" s="14">
        <f>'Data Sheet'!H58</f>
        <v>5551.4</v>
      </c>
      <c r="I5" s="14">
        <f>'Data Sheet'!I58</f>
        <v>6125.5</v>
      </c>
      <c r="J5" s="14">
        <f>'Data Sheet'!J58</f>
        <v>6863.5</v>
      </c>
      <c r="K5" s="14">
        <f>'Data Sheet'!K58</f>
        <v>8140.4</v>
      </c>
    </row>
    <row r="6" spans="1:11" x14ac:dyDescent="0.3">
      <c r="A6" t="s">
        <v>61</v>
      </c>
      <c r="B6" s="14">
        <f>'Data Sheet'!B59</f>
        <v>2833.52</v>
      </c>
      <c r="C6" s="14">
        <f>'Data Sheet'!C59</f>
        <v>3125.29</v>
      </c>
      <c r="D6" s="14">
        <f>'Data Sheet'!D59</f>
        <v>3426.64</v>
      </c>
      <c r="E6" s="14">
        <f>'Data Sheet'!E59</f>
        <v>3673.2</v>
      </c>
      <c r="F6" s="14">
        <f>'Data Sheet'!F59</f>
        <v>3595.6</v>
      </c>
      <c r="G6" s="14">
        <f>'Data Sheet'!G59</f>
        <v>4159.8</v>
      </c>
      <c r="H6" s="14">
        <f>'Data Sheet'!H59</f>
        <v>4068.1</v>
      </c>
      <c r="I6" s="14">
        <f>'Data Sheet'!I59</f>
        <v>4332.3999999999996</v>
      </c>
      <c r="J6" s="14">
        <f>'Data Sheet'!J59</f>
        <v>5332.6</v>
      </c>
      <c r="K6" s="14">
        <f>'Data Sheet'!K59</f>
        <v>7864.3</v>
      </c>
    </row>
    <row r="7" spans="1:11" x14ac:dyDescent="0.3">
      <c r="A7" t="s">
        <v>62</v>
      </c>
      <c r="B7" s="14">
        <f>'Data Sheet'!B60</f>
        <v>1195.1500000000001</v>
      </c>
      <c r="C7" s="14">
        <f>'Data Sheet'!C60</f>
        <v>1664.52</v>
      </c>
      <c r="D7" s="14">
        <f>'Data Sheet'!D60</f>
        <v>1917.48</v>
      </c>
      <c r="E7" s="14">
        <f>'Data Sheet'!E60</f>
        <v>2159.1999999999998</v>
      </c>
      <c r="F7" s="14">
        <f>'Data Sheet'!F60</f>
        <v>4354.1000000000004</v>
      </c>
      <c r="G7" s="14">
        <f>'Data Sheet'!G60</f>
        <v>2629.3</v>
      </c>
      <c r="H7" s="14">
        <f>'Data Sheet'!H60</f>
        <v>3569.6</v>
      </c>
      <c r="I7" s="14">
        <f>'Data Sheet'!I60</f>
        <v>3885.9</v>
      </c>
      <c r="J7" s="14">
        <f>'Data Sheet'!J60</f>
        <v>4474.2</v>
      </c>
      <c r="K7" s="14">
        <f>'Data Sheet'!K60</f>
        <v>4580.8</v>
      </c>
    </row>
    <row r="8" spans="1:11" s="2" customFormat="1" x14ac:dyDescent="0.3">
      <c r="A8" s="2" t="s">
        <v>26</v>
      </c>
      <c r="B8" s="15">
        <f>'Data Sheet'!B61</f>
        <v>7359.8</v>
      </c>
      <c r="C8" s="15">
        <f>'Data Sheet'!C61</f>
        <v>8103.01</v>
      </c>
      <c r="D8" s="15">
        <f>'Data Sheet'!D61</f>
        <v>8595.6200000000008</v>
      </c>
      <c r="E8" s="15">
        <f>'Data Sheet'!E61</f>
        <v>9165.9</v>
      </c>
      <c r="F8" s="15">
        <f>'Data Sheet'!F61</f>
        <v>11288.8</v>
      </c>
      <c r="G8" s="15">
        <f>'Data Sheet'!G61</f>
        <v>11391.6</v>
      </c>
      <c r="H8" s="15">
        <f>'Data Sheet'!H61</f>
        <v>13261</v>
      </c>
      <c r="I8" s="15">
        <f>'Data Sheet'!I61</f>
        <v>14415.7</v>
      </c>
      <c r="J8" s="15">
        <f>'Data Sheet'!J61</f>
        <v>16742.2</v>
      </c>
      <c r="K8" s="15">
        <f>'Data Sheet'!K61</f>
        <v>20657.400000000001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3997.42</v>
      </c>
      <c r="C10" s="14">
        <f>'Data Sheet'!C62</f>
        <v>4591.0600000000004</v>
      </c>
      <c r="D10" s="14">
        <f>'Data Sheet'!D62</f>
        <v>4772.8599999999997</v>
      </c>
      <c r="E10" s="14">
        <f>'Data Sheet'!E62</f>
        <v>4981.6000000000004</v>
      </c>
      <c r="F10" s="14">
        <f>'Data Sheet'!F62</f>
        <v>7432.1</v>
      </c>
      <c r="G10" s="14">
        <f>'Data Sheet'!G62</f>
        <v>6778.3</v>
      </c>
      <c r="H10" s="14">
        <f>'Data Sheet'!H62</f>
        <v>8295.6</v>
      </c>
      <c r="I10" s="14">
        <f>'Data Sheet'!I62</f>
        <v>8519.7999999999993</v>
      </c>
      <c r="J10" s="14">
        <f>'Data Sheet'!J62</f>
        <v>9663.9</v>
      </c>
      <c r="K10" s="14">
        <f>'Data Sheet'!K62</f>
        <v>11138.2</v>
      </c>
    </row>
    <row r="11" spans="1:11" x14ac:dyDescent="0.3">
      <c r="A11" t="s">
        <v>28</v>
      </c>
      <c r="B11" s="14">
        <f>'Data Sheet'!B63</f>
        <v>561.55999999999995</v>
      </c>
      <c r="C11" s="14">
        <f>'Data Sheet'!C63</f>
        <v>346.86</v>
      </c>
      <c r="D11" s="14">
        <f>'Data Sheet'!D63</f>
        <v>712.2</v>
      </c>
      <c r="E11" s="14">
        <f>'Data Sheet'!E63</f>
        <v>821.8</v>
      </c>
      <c r="F11" s="14">
        <f>'Data Sheet'!F63</f>
        <v>235.6</v>
      </c>
      <c r="G11" s="14">
        <f>'Data Sheet'!G63</f>
        <v>233.9</v>
      </c>
      <c r="H11" s="14">
        <f>'Data Sheet'!H63</f>
        <v>45.5</v>
      </c>
      <c r="I11" s="14">
        <f>'Data Sheet'!I63</f>
        <v>609.9</v>
      </c>
      <c r="J11" s="14">
        <f>'Data Sheet'!J63</f>
        <v>872.8</v>
      </c>
      <c r="K11" s="14">
        <f>'Data Sheet'!K63</f>
        <v>771</v>
      </c>
    </row>
    <row r="12" spans="1:11" x14ac:dyDescent="0.3">
      <c r="A12" t="s">
        <v>29</v>
      </c>
      <c r="B12" s="14">
        <f>'Data Sheet'!B64</f>
        <v>352.38</v>
      </c>
      <c r="C12" s="14">
        <f>'Data Sheet'!C64</f>
        <v>406.05</v>
      </c>
      <c r="D12" s="14">
        <f>'Data Sheet'!D64</f>
        <v>351.99</v>
      </c>
      <c r="E12" s="14">
        <f>'Data Sheet'!E64</f>
        <v>461.6</v>
      </c>
      <c r="F12" s="14">
        <f>'Data Sheet'!F64</f>
        <v>434.1</v>
      </c>
      <c r="G12" s="14">
        <f>'Data Sheet'!G64</f>
        <v>1342.7</v>
      </c>
      <c r="H12" s="14">
        <f>'Data Sheet'!H64</f>
        <v>816.1</v>
      </c>
      <c r="I12" s="14">
        <f>'Data Sheet'!I64</f>
        <v>573.6</v>
      </c>
      <c r="J12" s="14">
        <f>'Data Sheet'!J64</f>
        <v>986.1</v>
      </c>
      <c r="K12" s="14">
        <f>'Data Sheet'!K64</f>
        <v>2486.8000000000002</v>
      </c>
    </row>
    <row r="13" spans="1:11" x14ac:dyDescent="0.3">
      <c r="A13" t="s">
        <v>63</v>
      </c>
      <c r="B13" s="14">
        <f>'Data Sheet'!B65</f>
        <v>2448.44</v>
      </c>
      <c r="C13" s="14">
        <f>'Data Sheet'!C65</f>
        <v>2759.04</v>
      </c>
      <c r="D13" s="14">
        <f>'Data Sheet'!D65</f>
        <v>2758.57</v>
      </c>
      <c r="E13" s="14">
        <f>'Data Sheet'!E65</f>
        <v>2900.9</v>
      </c>
      <c r="F13" s="14">
        <f>'Data Sheet'!F65</f>
        <v>3187</v>
      </c>
      <c r="G13" s="14">
        <f>'Data Sheet'!G65</f>
        <v>3036.7</v>
      </c>
      <c r="H13" s="14">
        <f>'Data Sheet'!H65</f>
        <v>4103.8</v>
      </c>
      <c r="I13" s="14">
        <f>'Data Sheet'!I65</f>
        <v>4712.3999999999996</v>
      </c>
      <c r="J13" s="14">
        <f>'Data Sheet'!J65</f>
        <v>5219.3999999999996</v>
      </c>
      <c r="K13" s="14">
        <f>'Data Sheet'!K65</f>
        <v>6261.4</v>
      </c>
    </row>
    <row r="14" spans="1:11" s="2" customFormat="1" x14ac:dyDescent="0.3">
      <c r="A14" s="2" t="s">
        <v>26</v>
      </c>
      <c r="B14" s="14">
        <f>'Data Sheet'!B66</f>
        <v>7359.8</v>
      </c>
      <c r="C14" s="14">
        <f>'Data Sheet'!C66</f>
        <v>8103.01</v>
      </c>
      <c r="D14" s="14">
        <f>'Data Sheet'!D66</f>
        <v>8595.6200000000008</v>
      </c>
      <c r="E14" s="14">
        <f>'Data Sheet'!E66</f>
        <v>9165.9</v>
      </c>
      <c r="F14" s="14">
        <f>'Data Sheet'!F66</f>
        <v>11288.8</v>
      </c>
      <c r="G14" s="14">
        <f>'Data Sheet'!G66</f>
        <v>11391.6</v>
      </c>
      <c r="H14" s="14">
        <f>'Data Sheet'!H66</f>
        <v>13261</v>
      </c>
      <c r="I14" s="14">
        <f>'Data Sheet'!I66</f>
        <v>14415.7</v>
      </c>
      <c r="J14" s="14">
        <f>'Data Sheet'!J66</f>
        <v>16742.2</v>
      </c>
      <c r="K14" s="14">
        <f>'Data Sheet'!K66</f>
        <v>20657.400000000001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1253.29</v>
      </c>
      <c r="C16" s="4">
        <f t="shared" ref="C16:K16" si="0">C13-C7</f>
        <v>1094.52</v>
      </c>
      <c r="D16" s="4">
        <f t="shared" si="0"/>
        <v>841.09000000000015</v>
      </c>
      <c r="E16" s="4">
        <f t="shared" si="0"/>
        <v>741.70000000000027</v>
      </c>
      <c r="F16" s="4">
        <f t="shared" si="0"/>
        <v>-1167.1000000000004</v>
      </c>
      <c r="G16" s="4">
        <f t="shared" si="0"/>
        <v>407.39999999999964</v>
      </c>
      <c r="H16" s="4">
        <f t="shared" si="0"/>
        <v>534.20000000000027</v>
      </c>
      <c r="I16" s="4">
        <f t="shared" si="0"/>
        <v>826.49999999999955</v>
      </c>
      <c r="J16" s="4">
        <f t="shared" si="0"/>
        <v>745.19999999999982</v>
      </c>
      <c r="K16" s="4">
        <f t="shared" si="0"/>
        <v>1680.5999999999995</v>
      </c>
    </row>
    <row r="17" spans="1:11" x14ac:dyDescent="0.3">
      <c r="A17" t="s">
        <v>43</v>
      </c>
      <c r="B17" s="4">
        <f>'Data Sheet'!B67</f>
        <v>609.37</v>
      </c>
      <c r="C17" s="4">
        <f>'Data Sheet'!C67</f>
        <v>750.53</v>
      </c>
      <c r="D17" s="4">
        <f>'Data Sheet'!D67</f>
        <v>825.19</v>
      </c>
      <c r="E17" s="4">
        <f>'Data Sheet'!E67</f>
        <v>1023.2</v>
      </c>
      <c r="F17" s="4">
        <f>'Data Sheet'!F67</f>
        <v>1027.2</v>
      </c>
      <c r="G17" s="4">
        <f>'Data Sheet'!G67</f>
        <v>1331.1</v>
      </c>
      <c r="H17" s="4">
        <f>'Data Sheet'!H67</f>
        <v>1764.7</v>
      </c>
      <c r="I17" s="4">
        <f>'Data Sheet'!I67</f>
        <v>2234.1999999999998</v>
      </c>
      <c r="J17" s="4">
        <f>'Data Sheet'!J67</f>
        <v>2514.9</v>
      </c>
      <c r="K17" s="4">
        <f>'Data Sheet'!K67</f>
        <v>3016.1</v>
      </c>
    </row>
    <row r="18" spans="1:11" x14ac:dyDescent="0.3">
      <c r="A18" t="s">
        <v>44</v>
      </c>
      <c r="B18" s="4">
        <f>'Data Sheet'!B68</f>
        <v>406.13</v>
      </c>
      <c r="C18" s="4">
        <f>'Data Sheet'!C68</f>
        <v>466.87</v>
      </c>
      <c r="D18" s="4">
        <f>'Data Sheet'!D68</f>
        <v>565.84</v>
      </c>
      <c r="E18" s="4">
        <f>'Data Sheet'!E68</f>
        <v>584.79999999999995</v>
      </c>
      <c r="F18" s="4">
        <f>'Data Sheet'!F68</f>
        <v>737.8</v>
      </c>
      <c r="G18" s="4">
        <f>'Data Sheet'!G68</f>
        <v>249.5</v>
      </c>
      <c r="H18" s="4">
        <f>'Data Sheet'!H68</f>
        <v>431.9</v>
      </c>
      <c r="I18" s="4">
        <f>'Data Sheet'!I68</f>
        <v>390.1</v>
      </c>
      <c r="J18" s="4">
        <f>'Data Sheet'!J68</f>
        <v>459.8</v>
      </c>
      <c r="K18" s="4">
        <f>'Data Sheet'!K68</f>
        <v>480.8</v>
      </c>
    </row>
    <row r="20" spans="1:11" x14ac:dyDescent="0.3">
      <c r="A20" t="s">
        <v>45</v>
      </c>
      <c r="B20" s="4">
        <f>IF('Profit &amp; Loss'!B4&gt;0,'Balance Sheet'!B17/('Profit &amp; Loss'!B4/365),0)</f>
        <v>36.168802341653794</v>
      </c>
      <c r="C20" s="4">
        <f>IF('Profit &amp; Loss'!C4&gt;0,'Balance Sheet'!C17/('Profit &amp; Loss'!C4/365),0)</f>
        <v>37.755619719668672</v>
      </c>
      <c r="D20" s="4">
        <f>IF('Profit &amp; Loss'!D4&gt;0,'Balance Sheet'!D17/('Profit &amp; Loss'!D4/365),0)</f>
        <v>36.537325907657824</v>
      </c>
      <c r="E20" s="4">
        <f>IF('Profit &amp; Loss'!E4&gt;0,'Balance Sheet'!E17/('Profit &amp; Loss'!E4/365),0)</f>
        <v>38.832532701145844</v>
      </c>
      <c r="F20" s="4">
        <f>IF('Profit &amp; Loss'!F4&gt;0,'Balance Sheet'!F17/('Profit &amp; Loss'!F4/365),0)</f>
        <v>33.336415691574494</v>
      </c>
      <c r="G20" s="4">
        <f>IF('Profit &amp; Loss'!G4&gt;0,'Balance Sheet'!G17/('Profit &amp; Loss'!G4/365),0)</f>
        <v>46.008664772727272</v>
      </c>
      <c r="H20" s="4">
        <f>IF('Profit &amp; Loss'!H4&gt;0,'Balance Sheet'!H17/('Profit &amp; Loss'!H4/365),0)</f>
        <v>43.929146263282085</v>
      </c>
      <c r="I20" s="4">
        <f>IF('Profit &amp; Loss'!I4&gt;0,'Balance Sheet'!I17/('Profit &amp; Loss'!I4/365),0)</f>
        <v>49.088517682468016</v>
      </c>
      <c r="J20" s="4">
        <f>IF('Profit &amp; Loss'!J4&gt;0,'Balance Sheet'!J17/('Profit &amp; Loss'!J4/365),0)</f>
        <v>48.162488457018135</v>
      </c>
      <c r="K20" s="4">
        <f>IF('Profit &amp; Loss'!K4&gt;0,'Balance Sheet'!K17/('Profit &amp; Loss'!K4/365),0)</f>
        <v>50.512824630632281</v>
      </c>
    </row>
    <row r="21" spans="1:11" x14ac:dyDescent="0.3">
      <c r="A21" t="s">
        <v>46</v>
      </c>
      <c r="B21" s="4">
        <f>IF('Balance Sheet'!B18&gt;0,'Profit &amp; Loss'!B4/'Balance Sheet'!B18,0)</f>
        <v>15.141703395464507</v>
      </c>
      <c r="C21" s="4">
        <f>IF('Balance Sheet'!C18&gt;0,'Profit &amp; Loss'!C4/'Balance Sheet'!C18,0)</f>
        <v>15.541157067277828</v>
      </c>
      <c r="D21" s="4">
        <f>IF('Balance Sheet'!D18&gt;0,'Profit &amp; Loss'!D4/'Balance Sheet'!D18,0)</f>
        <v>14.568552947829772</v>
      </c>
      <c r="E21" s="4">
        <f>IF('Balance Sheet'!E18&gt;0,'Profit &amp; Loss'!E4/'Balance Sheet'!E18,0)</f>
        <v>16.445622435020521</v>
      </c>
      <c r="F21" s="4">
        <f>IF('Balance Sheet'!F18&gt;0,'Profit &amp; Loss'!F4/'Balance Sheet'!F18,0)</f>
        <v>15.243697478991596</v>
      </c>
      <c r="G21" s="4">
        <f>IF('Balance Sheet'!G18&gt;0,'Profit &amp; Loss'!G4/'Balance Sheet'!G18,0)</f>
        <v>42.324649298597194</v>
      </c>
      <c r="H21" s="4">
        <f>IF('Balance Sheet'!H18&gt;0,'Profit &amp; Loss'!H4/'Balance Sheet'!H18,0)</f>
        <v>33.94906228293587</v>
      </c>
      <c r="I21" s="4">
        <f>IF('Balance Sheet'!I18&gt;0,'Profit &amp; Loss'!I4/'Balance Sheet'!I18,0)</f>
        <v>42.585234555242245</v>
      </c>
      <c r="J21" s="4">
        <f>IF('Balance Sheet'!J18&gt;0,'Profit &amp; Loss'!J4/'Balance Sheet'!J18,0)</f>
        <v>41.45106568073075</v>
      </c>
      <c r="K21" s="4">
        <f>IF('Balance Sheet'!K18&gt;0,'Profit &amp; Loss'!K4/'Balance Sheet'!K18,0)</f>
        <v>45.328618968386024</v>
      </c>
    </row>
    <row r="23" spans="1:11" s="2" customFormat="1" x14ac:dyDescent="0.3">
      <c r="A23" s="2" t="s">
        <v>49</v>
      </c>
      <c r="B23" s="10">
        <f>IF(SUM('Balance Sheet'!B4:B5)&gt;0,'Profit &amp; Loss'!B12/SUM('Balance Sheet'!B4:B5),"")</f>
        <v>7.0960905158309634E-2</v>
      </c>
      <c r="C23" s="10">
        <f>IF(SUM('Balance Sheet'!C4:C5)&gt;0,'Profit &amp; Loss'!C12/SUM('Balance Sheet'!C4:C5),"")</f>
        <v>6.6699867197875171E-2</v>
      </c>
      <c r="D23" s="10">
        <f>IF(SUM('Balance Sheet'!D4:D5)&gt;0,'Profit &amp; Loss'!D12/SUM('Balance Sheet'!D4:D5),"")</f>
        <v>3.6112563432262032E-2</v>
      </c>
      <c r="E23" s="10">
        <f>IF(SUM('Balance Sheet'!E4:E5)&gt;0,'Profit &amp; Loss'!E12/SUM('Balance Sheet'!E4:E5),"")</f>
        <v>7.0796460176991149E-2</v>
      </c>
      <c r="F23" s="10">
        <f>IF(SUM('Balance Sheet'!F4:F5)&gt;0,'Profit &amp; Loss'!F12/SUM('Balance Sheet'!F4:F5),"")</f>
        <v>0.13623431463568028</v>
      </c>
      <c r="G23" s="10">
        <f>IF(SUM('Balance Sheet'!G4:G5)&gt;0,'Profit &amp; Loss'!G12/SUM('Balance Sheet'!G4:G5),"")</f>
        <v>3.2677892449755566E-2</v>
      </c>
      <c r="H23" s="10">
        <f>IF(SUM('Balance Sheet'!H4:H5)&gt;0,'Profit &amp; Loss'!H12/SUM('Balance Sheet'!H4:H5),"")</f>
        <v>0.18771895506197431</v>
      </c>
      <c r="I23" s="10">
        <f>IF(SUM('Balance Sheet'!I4:I5)&gt;0,'Profit &amp; Loss'!I12/SUM('Balance Sheet'!I4:I5),"")</f>
        <v>0.13216832865395167</v>
      </c>
      <c r="J23" s="10">
        <f>IF(SUM('Balance Sheet'!J4:J5)&gt;0,'Profit &amp; Loss'!J12/SUM('Balance Sheet'!J4:J5),"")</f>
        <v>0.12956714825388588</v>
      </c>
      <c r="K23" s="10">
        <f>IF(SUM('Balance Sheet'!K4:K5)&gt;0,'Profit &amp; Loss'!K12/SUM('Balance Sheet'!K4:K5),"")</f>
        <v>0.17606517053687765</v>
      </c>
    </row>
    <row r="24" spans="1:11" s="2" customFormat="1" x14ac:dyDescent="0.3">
      <c r="A24" s="2" t="s">
        <v>50</v>
      </c>
      <c r="B24" s="10"/>
      <c r="C24" s="10">
        <f>IF((B4+B5+B6+C4+C5+C6)&gt;0,('Profit &amp; Loss'!C10+'Profit &amp; Loss'!C9)*2/(B4+B5+B6+C4+C5+C6),"")</f>
        <v>7.6081040121747448E-2</v>
      </c>
      <c r="D24" s="10">
        <f>IF((C4+C5+C6+D4+D5+D6)&gt;0,('Profit &amp; Loss'!D10+'Profit &amp; Loss'!D9)*2/(C4+C5+C6+D4+D5+D6),"")</f>
        <v>7.1135649934472495E-2</v>
      </c>
      <c r="E24" s="10">
        <f>IF((D4+D5+D6+E4+E5+E6)&gt;0,('Profit &amp; Loss'!E10+'Profit &amp; Loss'!E9)*2/(D4+D5+D6+E4+E5+E6),"")</f>
        <v>0.1022445275209648</v>
      </c>
      <c r="F24" s="10">
        <f>IF((E4+E5+E6+F4+F5+F6)&gt;0,('Profit &amp; Loss'!F10+'Profit &amp; Loss'!F9)*2/(E4+E5+E6+F4+F5+F6),"")</f>
        <v>0.17111624370579712</v>
      </c>
      <c r="G24" s="10">
        <f>IF((F4+F5+F6+G4+G5+G6)&gt;0,('Profit &amp; Loss'!G10+'Profit &amp; Loss'!G9)*2/(F4+F5+F6+G4+G5+G6),"")</f>
        <v>8.535388927820603E-2</v>
      </c>
      <c r="H24" s="10">
        <f>IF((G4+G5+G6+H4+H5+H6)&gt;0,('Profit &amp; Loss'!H10+'Profit &amp; Loss'!H9)*2/(G4+G5+G6+H4+H5+H6),"")</f>
        <v>0.21206587296856458</v>
      </c>
      <c r="I24" s="10">
        <f>IF((H4+H5+H6+I4+I5+I6)&gt;0,('Profit &amp; Loss'!I10+'Profit &amp; Loss'!I9)*2/(H4+H5+H6+I4+I5+I6),"")</f>
        <v>0.15078234723953082</v>
      </c>
      <c r="J24" s="10">
        <f>IF((I4+I5+I6+J4+J5+J6)&gt;0,('Profit &amp; Loss'!J10+'Profit &amp; Loss'!J9)*2/(I4+I5+I6+J4+J5+J6),"")</f>
        <v>0.15895393415154097</v>
      </c>
      <c r="K24" s="10">
        <f>IF((J4+J5+J6+K4+K5+K6)&gt;0,('Profit &amp; Loss'!K10+'Profit &amp; Loss'!K9)*2/(J4+J5+J6+K4+K5+K6),"")</f>
        <v>0.17623109869251991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32.664062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APOLLO HOSPITALS ENTERPRISE LTD</v>
      </c>
      <c r="E1" t="str">
        <f>UPDATE</f>
        <v/>
      </c>
      <c r="F1"/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597.16999999999996</v>
      </c>
      <c r="C4" s="1">
        <f>'Data Sheet'!C82</f>
        <v>622.54999999999995</v>
      </c>
      <c r="D4" s="1">
        <f>'Data Sheet'!D82</f>
        <v>536.96</v>
      </c>
      <c r="E4" s="1">
        <f>'Data Sheet'!E82</f>
        <v>905.2</v>
      </c>
      <c r="F4" s="1">
        <f>'Data Sheet'!F82</f>
        <v>1292.9000000000001</v>
      </c>
      <c r="G4" s="1">
        <f>'Data Sheet'!G82</f>
        <v>1264.5999999999999</v>
      </c>
      <c r="H4" s="1">
        <f>'Data Sheet'!H82</f>
        <v>1696</v>
      </c>
      <c r="I4" s="1">
        <f>'Data Sheet'!I82</f>
        <v>1376.9</v>
      </c>
      <c r="J4" s="1">
        <f>'Data Sheet'!J82</f>
        <v>1920.2</v>
      </c>
      <c r="K4" s="1">
        <f>'Data Sheet'!K82</f>
        <v>2136.4</v>
      </c>
    </row>
    <row r="5" spans="1:11" x14ac:dyDescent="0.3">
      <c r="A5" t="s">
        <v>33</v>
      </c>
      <c r="B5" s="6">
        <f>'Data Sheet'!B83</f>
        <v>-888.21</v>
      </c>
      <c r="C5" s="6">
        <f>'Data Sheet'!C83</f>
        <v>-1151.8800000000001</v>
      </c>
      <c r="D5" s="6">
        <f>'Data Sheet'!D83</f>
        <v>-404.91</v>
      </c>
      <c r="E5" s="6">
        <f>'Data Sheet'!E83</f>
        <v>-710.6</v>
      </c>
      <c r="F5" s="6">
        <f>'Data Sheet'!F83</f>
        <v>-288.8</v>
      </c>
      <c r="G5" s="6">
        <f>'Data Sheet'!G83</f>
        <v>-880</v>
      </c>
      <c r="H5" s="6">
        <f>'Data Sheet'!H83</f>
        <v>-746.6</v>
      </c>
      <c r="I5" s="6">
        <f>'Data Sheet'!I83</f>
        <v>-856.8</v>
      </c>
      <c r="J5" s="6">
        <f>'Data Sheet'!J83</f>
        <v>-1537.1</v>
      </c>
      <c r="K5" s="6">
        <f>'Data Sheet'!K83</f>
        <v>-3380.6</v>
      </c>
    </row>
    <row r="6" spans="1:11" x14ac:dyDescent="0.3">
      <c r="A6" t="s">
        <v>34</v>
      </c>
      <c r="B6" s="6">
        <f>'Data Sheet'!B84</f>
        <v>329.93</v>
      </c>
      <c r="C6" s="6">
        <f>'Data Sheet'!C84</f>
        <v>476.96</v>
      </c>
      <c r="D6" s="6">
        <f>'Data Sheet'!D84</f>
        <v>-108.5</v>
      </c>
      <c r="E6" s="6">
        <f>'Data Sheet'!E84</f>
        <v>-214.7</v>
      </c>
      <c r="F6" s="6">
        <f>'Data Sheet'!F84</f>
        <v>-909.6</v>
      </c>
      <c r="G6" s="6">
        <f>'Data Sheet'!G84</f>
        <v>-340.1</v>
      </c>
      <c r="H6" s="6">
        <f>'Data Sheet'!H84</f>
        <v>-791.6</v>
      </c>
      <c r="I6" s="6">
        <f>'Data Sheet'!I84</f>
        <v>-633.20000000000005</v>
      </c>
      <c r="J6" s="6">
        <f>'Data Sheet'!J84</f>
        <v>-311</v>
      </c>
      <c r="K6" s="6">
        <f>'Data Sheet'!K84</f>
        <v>1316.8</v>
      </c>
    </row>
    <row r="7" spans="1:11" s="2" customFormat="1" x14ac:dyDescent="0.3">
      <c r="A7" s="2" t="s">
        <v>35</v>
      </c>
      <c r="B7" s="1">
        <f>'Data Sheet'!B85</f>
        <v>38.89</v>
      </c>
      <c r="C7" s="1">
        <f>'Data Sheet'!C85</f>
        <v>-52.37</v>
      </c>
      <c r="D7" s="1">
        <f>'Data Sheet'!D85</f>
        <v>23.55</v>
      </c>
      <c r="E7" s="1">
        <f>'Data Sheet'!E85</f>
        <v>-20.100000000000001</v>
      </c>
      <c r="F7" s="1">
        <f>'Data Sheet'!F85</f>
        <v>94.5</v>
      </c>
      <c r="G7" s="1">
        <f>'Data Sheet'!G85</f>
        <v>44.5</v>
      </c>
      <c r="H7" s="1">
        <f>'Data Sheet'!H85</f>
        <v>157.80000000000001</v>
      </c>
      <c r="I7" s="1">
        <f>'Data Sheet'!I85</f>
        <v>-113.1</v>
      </c>
      <c r="J7" s="1">
        <f>'Data Sheet'!J85</f>
        <v>72.099999999999994</v>
      </c>
      <c r="K7" s="1">
        <f>'Data Sheet'!K85</f>
        <v>72.599999999999994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H80" sqref="H23:H80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12" activePane="bottomRight" state="frozen"/>
      <selection activeCell="C4" sqref="C4"/>
      <selection pane="topRight" activeCell="C4" sqref="C4"/>
      <selection pane="bottomLeft" activeCell="C4" sqref="C4"/>
      <selection pane="bottomRight" activeCell="B17" sqref="B17:K1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53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3">
      <c r="A2" s="1" t="s">
        <v>51</v>
      </c>
      <c r="B2" s="4">
        <v>2.1</v>
      </c>
      <c r="E2" s="41"/>
      <c r="F2" s="41"/>
      <c r="G2" s="41"/>
      <c r="H2" s="41"/>
      <c r="I2" s="41"/>
      <c r="J2" s="41"/>
      <c r="K2" s="41"/>
    </row>
    <row r="3" spans="1:11" x14ac:dyDescent="0.3">
      <c r="A3" s="1" t="s">
        <v>52</v>
      </c>
      <c r="B3" s="4">
        <v>2.1</v>
      </c>
    </row>
    <row r="4" spans="1:11" x14ac:dyDescent="0.3">
      <c r="A4" s="1"/>
    </row>
    <row r="5" spans="1:11" x14ac:dyDescent="0.3">
      <c r="A5" s="1" t="s">
        <v>54</v>
      </c>
    </row>
    <row r="6" spans="1:11" x14ac:dyDescent="0.3">
      <c r="A6" s="4" t="s">
        <v>41</v>
      </c>
      <c r="B6" s="4">
        <f>IF(B9&gt;0, B9/B8, 0)</f>
        <v>14.378463580317389</v>
      </c>
    </row>
    <row r="7" spans="1:11" x14ac:dyDescent="0.3">
      <c r="A7" s="4" t="s">
        <v>31</v>
      </c>
      <c r="B7">
        <v>5</v>
      </c>
    </row>
    <row r="8" spans="1:11" x14ac:dyDescent="0.3">
      <c r="A8" s="4" t="s">
        <v>42</v>
      </c>
      <c r="B8">
        <v>7007.2</v>
      </c>
    </row>
    <row r="9" spans="1:11" x14ac:dyDescent="0.3">
      <c r="A9" s="4" t="s">
        <v>69</v>
      </c>
      <c r="B9">
        <v>100752.77</v>
      </c>
    </row>
    <row r="15" spans="1:11" x14ac:dyDescent="0.3">
      <c r="A15" s="1" t="s">
        <v>36</v>
      </c>
    </row>
    <row r="16" spans="1:11" s="18" customFormat="1" x14ac:dyDescent="0.3">
      <c r="A16" s="17" t="s">
        <v>37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6149.5</v>
      </c>
      <c r="C17">
        <v>7255.7</v>
      </c>
      <c r="D17">
        <v>8243.4699999999993</v>
      </c>
      <c r="E17">
        <v>9617.4</v>
      </c>
      <c r="F17">
        <v>11246.8</v>
      </c>
      <c r="G17">
        <v>10560</v>
      </c>
      <c r="H17">
        <v>14662.6</v>
      </c>
      <c r="I17">
        <v>16612.5</v>
      </c>
      <c r="J17">
        <v>19059.2</v>
      </c>
      <c r="K17">
        <v>21794</v>
      </c>
    </row>
    <row r="18" spans="1:11" s="6" customFormat="1" x14ac:dyDescent="0.3">
      <c r="A18" s="4" t="s">
        <v>70</v>
      </c>
      <c r="B18">
        <v>3135.33</v>
      </c>
      <c r="C18">
        <v>3646.22</v>
      </c>
      <c r="D18">
        <v>4110.8500000000004</v>
      </c>
      <c r="E18">
        <v>4732.5</v>
      </c>
      <c r="F18">
        <v>5605.9</v>
      </c>
      <c r="G18">
        <v>5809.4</v>
      </c>
      <c r="H18">
        <v>7646.8</v>
      </c>
      <c r="I18">
        <v>8598.7999999999993</v>
      </c>
      <c r="J18">
        <v>9839</v>
      </c>
      <c r="K18">
        <v>11311.1</v>
      </c>
    </row>
    <row r="19" spans="1:11" s="6" customFormat="1" x14ac:dyDescent="0.3">
      <c r="A19" s="4" t="s">
        <v>71</v>
      </c>
      <c r="B19">
        <v>80.59</v>
      </c>
      <c r="C19">
        <v>47.34</v>
      </c>
      <c r="D19">
        <v>78.19</v>
      </c>
      <c r="E19">
        <v>71.599999999999994</v>
      </c>
      <c r="F19">
        <v>107</v>
      </c>
      <c r="G19">
        <v>125.2</v>
      </c>
      <c r="H19">
        <v>73.3</v>
      </c>
      <c r="I19">
        <v>24.5</v>
      </c>
      <c r="J19">
        <v>33.5</v>
      </c>
      <c r="K19">
        <v>1.1000000000000001</v>
      </c>
    </row>
    <row r="20" spans="1:11" s="6" customFormat="1" x14ac:dyDescent="0.3">
      <c r="A20" s="4" t="s">
        <v>72</v>
      </c>
      <c r="B20">
        <v>122.8</v>
      </c>
      <c r="C20">
        <v>127.89</v>
      </c>
      <c r="D20">
        <v>166.68</v>
      </c>
      <c r="E20">
        <v>183.8</v>
      </c>
      <c r="F20">
        <v>213</v>
      </c>
      <c r="G20">
        <v>169.7</v>
      </c>
      <c r="H20">
        <v>193.7</v>
      </c>
      <c r="I20">
        <v>217.5</v>
      </c>
      <c r="J20">
        <v>247.2</v>
      </c>
      <c r="K20"/>
    </row>
    <row r="21" spans="1:11" s="6" customFormat="1" x14ac:dyDescent="0.3">
      <c r="A21" s="4" t="s">
        <v>73</v>
      </c>
      <c r="B21">
        <v>143.36000000000001</v>
      </c>
      <c r="C21">
        <v>342.51</v>
      </c>
      <c r="D21">
        <v>276.52</v>
      </c>
      <c r="E21">
        <v>892.9</v>
      </c>
      <c r="F21">
        <v>1051.7</v>
      </c>
      <c r="G21">
        <v>1100.2</v>
      </c>
      <c r="H21">
        <v>1798.6</v>
      </c>
      <c r="I21">
        <v>1988.3</v>
      </c>
      <c r="J21">
        <v>2305.1</v>
      </c>
      <c r="K21"/>
    </row>
    <row r="22" spans="1:11" s="6" customFormat="1" x14ac:dyDescent="0.3">
      <c r="A22" s="4" t="s">
        <v>74</v>
      </c>
      <c r="B22">
        <v>1023.94</v>
      </c>
      <c r="C22">
        <v>1196.8900000000001</v>
      </c>
      <c r="D22">
        <v>1404.98</v>
      </c>
      <c r="E22">
        <v>1598.9</v>
      </c>
      <c r="F22">
        <v>1853.9</v>
      </c>
      <c r="G22">
        <v>1602.1</v>
      </c>
      <c r="H22">
        <v>1788.3</v>
      </c>
      <c r="I22">
        <v>2179.8000000000002</v>
      </c>
      <c r="J22">
        <v>2497</v>
      </c>
      <c r="K22">
        <v>2769.2</v>
      </c>
    </row>
    <row r="23" spans="1:11" s="6" customFormat="1" x14ac:dyDescent="0.3">
      <c r="A23" s="4" t="s">
        <v>75</v>
      </c>
      <c r="B23">
        <v>976.21</v>
      </c>
      <c r="C23">
        <v>1168.6199999999999</v>
      </c>
      <c r="D23">
        <v>1431.98</v>
      </c>
      <c r="E23">
        <v>1124.9000000000001</v>
      </c>
      <c r="F23">
        <v>903</v>
      </c>
      <c r="G23">
        <v>623.70000000000005</v>
      </c>
      <c r="H23">
        <v>985.5</v>
      </c>
      <c r="I23">
        <v>1461.2</v>
      </c>
      <c r="J23">
        <v>1671.8</v>
      </c>
      <c r="K23"/>
    </row>
    <row r="24" spans="1:11" s="6" customFormat="1" x14ac:dyDescent="0.3">
      <c r="A24" s="4" t="s">
        <v>76</v>
      </c>
      <c r="B24">
        <v>144.19999999999999</v>
      </c>
      <c r="C24">
        <v>87.12</v>
      </c>
      <c r="D24">
        <v>129.43</v>
      </c>
      <c r="E24">
        <v>86.4</v>
      </c>
      <c r="F24">
        <v>135.4</v>
      </c>
      <c r="G24">
        <v>239.8</v>
      </c>
      <c r="H24">
        <v>133.9</v>
      </c>
      <c r="I24">
        <v>126.8</v>
      </c>
      <c r="J24">
        <v>138.30000000000001</v>
      </c>
      <c r="K24">
        <v>4693</v>
      </c>
    </row>
    <row r="25" spans="1:11" s="6" customFormat="1" x14ac:dyDescent="0.3">
      <c r="A25" s="6" t="s">
        <v>9</v>
      </c>
      <c r="B25">
        <v>91.73</v>
      </c>
      <c r="C25">
        <v>59.68</v>
      </c>
      <c r="D25">
        <v>24.34</v>
      </c>
      <c r="E25">
        <v>25.5</v>
      </c>
      <c r="F25">
        <v>221.6</v>
      </c>
      <c r="G25">
        <v>102.7</v>
      </c>
      <c r="H25">
        <v>368.3</v>
      </c>
      <c r="I25">
        <v>75.3</v>
      </c>
      <c r="J25">
        <v>104.6</v>
      </c>
      <c r="K25">
        <v>233.3</v>
      </c>
    </row>
    <row r="26" spans="1:11" s="6" customFormat="1" x14ac:dyDescent="0.3">
      <c r="A26" s="6" t="s">
        <v>10</v>
      </c>
      <c r="B26">
        <v>263.83</v>
      </c>
      <c r="C26">
        <v>314.04000000000002</v>
      </c>
      <c r="D26">
        <v>359.03</v>
      </c>
      <c r="E26">
        <v>395.5</v>
      </c>
      <c r="F26">
        <v>619.70000000000005</v>
      </c>
      <c r="G26">
        <v>573.1</v>
      </c>
      <c r="H26">
        <v>600.70000000000005</v>
      </c>
      <c r="I26">
        <v>615.4</v>
      </c>
      <c r="J26">
        <v>687</v>
      </c>
      <c r="K26">
        <v>757.5</v>
      </c>
    </row>
    <row r="27" spans="1:11" s="6" customFormat="1" x14ac:dyDescent="0.3">
      <c r="A27" s="6" t="s">
        <v>11</v>
      </c>
      <c r="B27">
        <v>180.02</v>
      </c>
      <c r="C27">
        <v>257.35000000000002</v>
      </c>
      <c r="D27">
        <v>295.07</v>
      </c>
      <c r="E27">
        <v>327</v>
      </c>
      <c r="F27">
        <v>532.79999999999995</v>
      </c>
      <c r="G27">
        <v>449.2</v>
      </c>
      <c r="H27">
        <v>378.6</v>
      </c>
      <c r="I27">
        <v>380.8</v>
      </c>
      <c r="J27">
        <v>449.4</v>
      </c>
      <c r="K27">
        <v>458.5</v>
      </c>
    </row>
    <row r="28" spans="1:11" s="6" customFormat="1" x14ac:dyDescent="0.3">
      <c r="A28" s="6" t="s">
        <v>12</v>
      </c>
      <c r="B28">
        <v>332.13</v>
      </c>
      <c r="C28">
        <v>222.08</v>
      </c>
      <c r="D28">
        <v>171.46</v>
      </c>
      <c r="E28">
        <v>372.6</v>
      </c>
      <c r="F28">
        <v>660</v>
      </c>
      <c r="G28">
        <v>220.7</v>
      </c>
      <c r="H28">
        <v>1578.1</v>
      </c>
      <c r="I28">
        <v>1143.7</v>
      </c>
      <c r="J28">
        <v>1362.5</v>
      </c>
      <c r="K28">
        <v>2039.1</v>
      </c>
    </row>
    <row r="29" spans="1:11" s="6" customFormat="1" x14ac:dyDescent="0.3">
      <c r="A29" s="6" t="s">
        <v>13</v>
      </c>
      <c r="B29">
        <v>96.9</v>
      </c>
      <c r="C29">
        <v>90.96</v>
      </c>
      <c r="D29">
        <v>111.91</v>
      </c>
      <c r="E29">
        <v>173.4</v>
      </c>
      <c r="F29">
        <v>225.2</v>
      </c>
      <c r="G29">
        <v>84.7</v>
      </c>
      <c r="H29">
        <v>477</v>
      </c>
      <c r="I29">
        <v>256.2</v>
      </c>
      <c r="J29">
        <v>445.5</v>
      </c>
      <c r="K29">
        <v>534</v>
      </c>
    </row>
    <row r="30" spans="1:11" s="6" customFormat="1" x14ac:dyDescent="0.3">
      <c r="A30" s="6" t="s">
        <v>14</v>
      </c>
      <c r="B30">
        <v>236.38</v>
      </c>
      <c r="C30">
        <v>220.99</v>
      </c>
      <c r="D30">
        <v>117.42</v>
      </c>
      <c r="E30">
        <v>236</v>
      </c>
      <c r="F30">
        <v>454.9</v>
      </c>
      <c r="G30">
        <v>150.4</v>
      </c>
      <c r="H30">
        <v>1055.5999999999999</v>
      </c>
      <c r="I30">
        <v>819.1</v>
      </c>
      <c r="J30">
        <v>898.6</v>
      </c>
      <c r="K30">
        <v>1445.9</v>
      </c>
    </row>
    <row r="31" spans="1:11" s="6" customFormat="1" x14ac:dyDescent="0.3">
      <c r="A31" s="6" t="s">
        <v>60</v>
      </c>
      <c r="B31">
        <v>83.47</v>
      </c>
      <c r="C31">
        <v>83.47</v>
      </c>
      <c r="D31">
        <v>69.56</v>
      </c>
      <c r="E31">
        <v>83.52</v>
      </c>
      <c r="F31">
        <v>83.52</v>
      </c>
      <c r="G31">
        <v>43.14</v>
      </c>
      <c r="H31">
        <v>168.96</v>
      </c>
      <c r="I31">
        <v>215.7</v>
      </c>
      <c r="J31">
        <v>230.08</v>
      </c>
      <c r="K31">
        <v>402.64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8" customFormat="1" x14ac:dyDescent="0.3">
      <c r="A41" s="17" t="s">
        <v>37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6</v>
      </c>
      <c r="B42">
        <v>4263.6000000000004</v>
      </c>
      <c r="C42">
        <v>4302.2</v>
      </c>
      <c r="D42">
        <v>4417.8</v>
      </c>
      <c r="E42">
        <v>4846.8999999999996</v>
      </c>
      <c r="F42">
        <v>4850.6000000000004</v>
      </c>
      <c r="G42">
        <v>4943.8999999999996</v>
      </c>
      <c r="H42">
        <v>5085.6000000000004</v>
      </c>
      <c r="I42">
        <v>5589.3</v>
      </c>
      <c r="J42">
        <v>5526.9</v>
      </c>
      <c r="K42">
        <v>5592.2</v>
      </c>
    </row>
    <row r="43" spans="1:11" s="6" customFormat="1" x14ac:dyDescent="0.3">
      <c r="A43" s="6" t="s">
        <v>7</v>
      </c>
      <c r="B43">
        <v>3779.7</v>
      </c>
      <c r="C43">
        <v>3814.1</v>
      </c>
      <c r="D43">
        <v>3908.8</v>
      </c>
      <c r="E43">
        <v>4219.3999999999996</v>
      </c>
      <c r="F43">
        <v>4236.8999999999996</v>
      </c>
      <c r="G43">
        <v>4303.3999999999996</v>
      </c>
      <c r="H43">
        <v>4410.5</v>
      </c>
      <c r="I43">
        <v>4773.8</v>
      </c>
      <c r="J43">
        <v>4765.3999999999996</v>
      </c>
      <c r="K43">
        <v>4822.5</v>
      </c>
    </row>
    <row r="44" spans="1:11" s="6" customFormat="1" x14ac:dyDescent="0.3">
      <c r="A44" s="6" t="s">
        <v>9</v>
      </c>
      <c r="B44">
        <v>35.4</v>
      </c>
      <c r="C44">
        <v>20</v>
      </c>
      <c r="D44">
        <v>34.1</v>
      </c>
      <c r="E44">
        <v>26.2</v>
      </c>
      <c r="F44">
        <v>29.2</v>
      </c>
      <c r="G44">
        <v>36.700000000000003</v>
      </c>
      <c r="H44">
        <v>48.7</v>
      </c>
      <c r="I44">
        <v>43.9</v>
      </c>
      <c r="J44">
        <v>69.099999999999994</v>
      </c>
      <c r="K44">
        <v>71.599999999999994</v>
      </c>
    </row>
    <row r="45" spans="1:11" s="6" customFormat="1" x14ac:dyDescent="0.3">
      <c r="A45" s="6" t="s">
        <v>10</v>
      </c>
      <c r="B45">
        <v>153.4</v>
      </c>
      <c r="C45">
        <v>159.1</v>
      </c>
      <c r="D45">
        <v>166.9</v>
      </c>
      <c r="E45">
        <v>163.4</v>
      </c>
      <c r="F45">
        <v>167</v>
      </c>
      <c r="G45">
        <v>189.7</v>
      </c>
      <c r="H45">
        <v>177.4</v>
      </c>
      <c r="I45">
        <v>184.5</v>
      </c>
      <c r="J45">
        <v>184.6</v>
      </c>
      <c r="K45">
        <v>211</v>
      </c>
    </row>
    <row r="46" spans="1:11" s="6" customFormat="1" x14ac:dyDescent="0.3">
      <c r="A46" s="6" t="s">
        <v>11</v>
      </c>
      <c r="B46">
        <v>100</v>
      </c>
      <c r="C46">
        <v>95.4</v>
      </c>
      <c r="D46">
        <v>106.2</v>
      </c>
      <c r="E46">
        <v>111.3</v>
      </c>
      <c r="F46">
        <v>112.6</v>
      </c>
      <c r="G46">
        <v>119.3</v>
      </c>
      <c r="H46">
        <v>116.4</v>
      </c>
      <c r="I46">
        <v>117.5</v>
      </c>
      <c r="J46">
        <v>109.8</v>
      </c>
      <c r="K46">
        <v>114.8</v>
      </c>
    </row>
    <row r="47" spans="1:11" s="6" customFormat="1" x14ac:dyDescent="0.3">
      <c r="A47" s="6" t="s">
        <v>12</v>
      </c>
      <c r="B47">
        <v>265.89999999999998</v>
      </c>
      <c r="C47">
        <v>253.6</v>
      </c>
      <c r="D47">
        <v>270</v>
      </c>
      <c r="E47">
        <v>379</v>
      </c>
      <c r="F47">
        <v>363.3</v>
      </c>
      <c r="G47">
        <v>368.2</v>
      </c>
      <c r="H47">
        <v>430</v>
      </c>
      <c r="I47">
        <v>557.4</v>
      </c>
      <c r="J47">
        <v>536.20000000000005</v>
      </c>
      <c r="K47">
        <v>515.5</v>
      </c>
    </row>
    <row r="48" spans="1:11" s="6" customFormat="1" x14ac:dyDescent="0.3">
      <c r="A48" s="6" t="s">
        <v>13</v>
      </c>
      <c r="B48">
        <v>103.5</v>
      </c>
      <c r="C48">
        <v>108</v>
      </c>
      <c r="D48">
        <v>96.6</v>
      </c>
      <c r="E48">
        <v>130.19999999999999</v>
      </c>
      <c r="F48">
        <v>108.9</v>
      </c>
      <c r="G48">
        <v>109.8</v>
      </c>
      <c r="H48">
        <v>114.5</v>
      </c>
      <c r="I48">
        <v>161.69999999999999</v>
      </c>
      <c r="J48">
        <v>156.80000000000001</v>
      </c>
      <c r="K48">
        <v>101</v>
      </c>
    </row>
    <row r="49" spans="1:11" s="6" customFormat="1" x14ac:dyDescent="0.3">
      <c r="A49" s="6" t="s">
        <v>14</v>
      </c>
      <c r="B49">
        <v>153.5</v>
      </c>
      <c r="C49">
        <v>144.5</v>
      </c>
      <c r="D49">
        <v>166.6</v>
      </c>
      <c r="E49">
        <v>232.9</v>
      </c>
      <c r="F49">
        <v>245.3</v>
      </c>
      <c r="G49">
        <v>253.8</v>
      </c>
      <c r="H49">
        <v>305.2</v>
      </c>
      <c r="I49">
        <v>378.8</v>
      </c>
      <c r="J49">
        <v>372.3</v>
      </c>
      <c r="K49">
        <v>389.6</v>
      </c>
    </row>
    <row r="50" spans="1:11" x14ac:dyDescent="0.3">
      <c r="A50" s="6" t="s">
        <v>8</v>
      </c>
      <c r="B50">
        <v>483.9</v>
      </c>
      <c r="C50">
        <v>488.1</v>
      </c>
      <c r="D50">
        <v>509</v>
      </c>
      <c r="E50">
        <v>627.5</v>
      </c>
      <c r="F50">
        <v>613.70000000000005</v>
      </c>
      <c r="G50">
        <v>640.5</v>
      </c>
      <c r="H50">
        <v>675.1</v>
      </c>
      <c r="I50">
        <v>815.5</v>
      </c>
      <c r="J50">
        <v>761.5</v>
      </c>
      <c r="K50">
        <v>769.7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8" customFormat="1" x14ac:dyDescent="0.3">
      <c r="A56" s="17" t="s">
        <v>37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69.56</v>
      </c>
      <c r="C57">
        <v>69.56</v>
      </c>
      <c r="D57">
        <v>69.56</v>
      </c>
      <c r="E57">
        <v>69.599999999999994</v>
      </c>
      <c r="F57">
        <v>69.599999999999994</v>
      </c>
      <c r="G57">
        <v>71.900000000000006</v>
      </c>
      <c r="H57">
        <v>71.900000000000006</v>
      </c>
      <c r="I57">
        <v>71.900000000000006</v>
      </c>
      <c r="J57">
        <v>71.900000000000006</v>
      </c>
      <c r="K57">
        <v>71.900000000000006</v>
      </c>
    </row>
    <row r="58" spans="1:11" x14ac:dyDescent="0.3">
      <c r="A58" s="6" t="s">
        <v>25</v>
      </c>
      <c r="B58">
        <v>3261.57</v>
      </c>
      <c r="C58">
        <v>3243.64</v>
      </c>
      <c r="D58">
        <v>3181.94</v>
      </c>
      <c r="E58">
        <v>3263.9</v>
      </c>
      <c r="F58">
        <v>3269.5</v>
      </c>
      <c r="G58">
        <v>4530.6000000000004</v>
      </c>
      <c r="H58">
        <v>5551.4</v>
      </c>
      <c r="I58">
        <v>6125.5</v>
      </c>
      <c r="J58">
        <v>6863.5</v>
      </c>
      <c r="K58">
        <v>8140.4</v>
      </c>
    </row>
    <row r="59" spans="1:11" x14ac:dyDescent="0.3">
      <c r="A59" s="6" t="s">
        <v>61</v>
      </c>
      <c r="B59">
        <v>2833.52</v>
      </c>
      <c r="C59">
        <v>3125.29</v>
      </c>
      <c r="D59">
        <v>3426.64</v>
      </c>
      <c r="E59">
        <v>3673.2</v>
      </c>
      <c r="F59">
        <v>3595.6</v>
      </c>
      <c r="G59">
        <v>4159.8</v>
      </c>
      <c r="H59">
        <v>4068.1</v>
      </c>
      <c r="I59">
        <v>4332.3999999999996</v>
      </c>
      <c r="J59">
        <v>5332.6</v>
      </c>
      <c r="K59">
        <v>7864.3</v>
      </c>
    </row>
    <row r="60" spans="1:11" x14ac:dyDescent="0.3">
      <c r="A60" s="6" t="s">
        <v>62</v>
      </c>
      <c r="B60">
        <v>1195.1500000000001</v>
      </c>
      <c r="C60">
        <v>1664.52</v>
      </c>
      <c r="D60">
        <v>1917.48</v>
      </c>
      <c r="E60">
        <v>2159.1999999999998</v>
      </c>
      <c r="F60">
        <v>4354.1000000000004</v>
      </c>
      <c r="G60">
        <v>2629.3</v>
      </c>
      <c r="H60">
        <v>3569.6</v>
      </c>
      <c r="I60">
        <v>3885.9</v>
      </c>
      <c r="J60">
        <v>4474.2</v>
      </c>
      <c r="K60">
        <v>4580.8</v>
      </c>
    </row>
    <row r="61" spans="1:11" s="1" customFormat="1" x14ac:dyDescent="0.3">
      <c r="A61" s="1" t="s">
        <v>26</v>
      </c>
      <c r="B61">
        <v>7359.8</v>
      </c>
      <c r="C61">
        <v>8103.01</v>
      </c>
      <c r="D61">
        <v>8595.6200000000008</v>
      </c>
      <c r="E61">
        <v>9165.9</v>
      </c>
      <c r="F61">
        <v>11288.8</v>
      </c>
      <c r="G61">
        <v>11391.6</v>
      </c>
      <c r="H61">
        <v>13261</v>
      </c>
      <c r="I61">
        <v>14415.7</v>
      </c>
      <c r="J61">
        <v>16742.2</v>
      </c>
      <c r="K61">
        <v>20657.400000000001</v>
      </c>
    </row>
    <row r="62" spans="1:11" x14ac:dyDescent="0.3">
      <c r="A62" s="6" t="s">
        <v>27</v>
      </c>
      <c r="B62">
        <v>3997.42</v>
      </c>
      <c r="C62">
        <v>4591.0600000000004</v>
      </c>
      <c r="D62">
        <v>4772.8599999999997</v>
      </c>
      <c r="E62">
        <v>4981.6000000000004</v>
      </c>
      <c r="F62">
        <v>7432.1</v>
      </c>
      <c r="G62">
        <v>6778.3</v>
      </c>
      <c r="H62">
        <v>8295.6</v>
      </c>
      <c r="I62">
        <v>8519.7999999999993</v>
      </c>
      <c r="J62">
        <v>9663.9</v>
      </c>
      <c r="K62">
        <v>11138.2</v>
      </c>
    </row>
    <row r="63" spans="1:11" x14ac:dyDescent="0.3">
      <c r="A63" s="6" t="s">
        <v>28</v>
      </c>
      <c r="B63">
        <v>561.55999999999995</v>
      </c>
      <c r="C63">
        <v>346.86</v>
      </c>
      <c r="D63">
        <v>712.2</v>
      </c>
      <c r="E63">
        <v>821.8</v>
      </c>
      <c r="F63">
        <v>235.6</v>
      </c>
      <c r="G63">
        <v>233.9</v>
      </c>
      <c r="H63">
        <v>45.5</v>
      </c>
      <c r="I63">
        <v>609.9</v>
      </c>
      <c r="J63">
        <v>872.8</v>
      </c>
      <c r="K63">
        <v>771</v>
      </c>
    </row>
    <row r="64" spans="1:11" x14ac:dyDescent="0.3">
      <c r="A64" s="6" t="s">
        <v>29</v>
      </c>
      <c r="B64">
        <v>352.38</v>
      </c>
      <c r="C64">
        <v>406.05</v>
      </c>
      <c r="D64">
        <v>351.99</v>
      </c>
      <c r="E64">
        <v>461.6</v>
      </c>
      <c r="F64">
        <v>434.1</v>
      </c>
      <c r="G64">
        <v>1342.7</v>
      </c>
      <c r="H64">
        <v>816.1</v>
      </c>
      <c r="I64">
        <v>573.6</v>
      </c>
      <c r="J64">
        <v>986.1</v>
      </c>
      <c r="K64">
        <v>2486.8000000000002</v>
      </c>
    </row>
    <row r="65" spans="1:11" x14ac:dyDescent="0.3">
      <c r="A65" s="6" t="s">
        <v>63</v>
      </c>
      <c r="B65">
        <v>2448.44</v>
      </c>
      <c r="C65">
        <v>2759.04</v>
      </c>
      <c r="D65">
        <v>2758.57</v>
      </c>
      <c r="E65">
        <v>2900.9</v>
      </c>
      <c r="F65">
        <v>3187</v>
      </c>
      <c r="G65">
        <v>3036.7</v>
      </c>
      <c r="H65">
        <v>4103.8</v>
      </c>
      <c r="I65">
        <v>4712.3999999999996</v>
      </c>
      <c r="J65">
        <v>5219.3999999999996</v>
      </c>
      <c r="K65">
        <v>6261.4</v>
      </c>
    </row>
    <row r="66" spans="1:11" s="1" customFormat="1" x14ac:dyDescent="0.3">
      <c r="A66" s="1" t="s">
        <v>26</v>
      </c>
      <c r="B66">
        <v>7359.8</v>
      </c>
      <c r="C66">
        <v>8103.01</v>
      </c>
      <c r="D66">
        <v>8595.6200000000008</v>
      </c>
      <c r="E66">
        <v>9165.9</v>
      </c>
      <c r="F66">
        <v>11288.8</v>
      </c>
      <c r="G66">
        <v>11391.6</v>
      </c>
      <c r="H66">
        <v>13261</v>
      </c>
      <c r="I66">
        <v>14415.7</v>
      </c>
      <c r="J66">
        <v>16742.2</v>
      </c>
      <c r="K66">
        <v>20657.400000000001</v>
      </c>
    </row>
    <row r="67" spans="1:11" s="6" customFormat="1" x14ac:dyDescent="0.3">
      <c r="A67" s="6" t="s">
        <v>68</v>
      </c>
      <c r="B67">
        <v>609.37</v>
      </c>
      <c r="C67">
        <v>750.53</v>
      </c>
      <c r="D67">
        <v>825.19</v>
      </c>
      <c r="E67">
        <v>1023.2</v>
      </c>
      <c r="F67">
        <v>1027.2</v>
      </c>
      <c r="G67">
        <v>1331.1</v>
      </c>
      <c r="H67">
        <v>1764.7</v>
      </c>
      <c r="I67">
        <v>2234.1999999999998</v>
      </c>
      <c r="J67">
        <v>2514.9</v>
      </c>
      <c r="K67">
        <v>3016.1</v>
      </c>
    </row>
    <row r="68" spans="1:11" x14ac:dyDescent="0.3">
      <c r="A68" s="6" t="s">
        <v>44</v>
      </c>
      <c r="B68">
        <v>406.13</v>
      </c>
      <c r="C68">
        <v>466.87</v>
      </c>
      <c r="D68">
        <v>565.84</v>
      </c>
      <c r="E68">
        <v>584.79999999999995</v>
      </c>
      <c r="F68">
        <v>737.8</v>
      </c>
      <c r="G68">
        <v>249.5</v>
      </c>
      <c r="H68">
        <v>431.9</v>
      </c>
      <c r="I68">
        <v>390.1</v>
      </c>
      <c r="J68">
        <v>459.8</v>
      </c>
      <c r="K68">
        <v>480.8</v>
      </c>
    </row>
    <row r="69" spans="1:11" x14ac:dyDescent="0.3">
      <c r="A69" s="4" t="s">
        <v>77</v>
      </c>
      <c r="B69">
        <v>378.79</v>
      </c>
      <c r="C69">
        <v>524.5</v>
      </c>
      <c r="D69">
        <v>417.25</v>
      </c>
      <c r="E69">
        <v>346.9</v>
      </c>
      <c r="F69">
        <v>466.8</v>
      </c>
      <c r="G69">
        <v>724.4</v>
      </c>
      <c r="H69">
        <v>924</v>
      </c>
      <c r="I69">
        <v>775.8</v>
      </c>
      <c r="J69">
        <v>933.8</v>
      </c>
      <c r="K69">
        <v>1360.2</v>
      </c>
    </row>
    <row r="70" spans="1:11" x14ac:dyDescent="0.3">
      <c r="A70" s="4" t="s">
        <v>64</v>
      </c>
      <c r="B70">
        <v>139125160</v>
      </c>
      <c r="C70">
        <v>139125160</v>
      </c>
      <c r="D70">
        <v>139125160</v>
      </c>
      <c r="E70">
        <v>139125159</v>
      </c>
      <c r="F70">
        <v>139125159</v>
      </c>
      <c r="G70">
        <v>143784657</v>
      </c>
      <c r="H70">
        <v>143784657</v>
      </c>
      <c r="I70">
        <v>143784657</v>
      </c>
      <c r="J70">
        <v>143784657</v>
      </c>
      <c r="K70"/>
    </row>
    <row r="71" spans="1:11" x14ac:dyDescent="0.3">
      <c r="A71" s="4" t="s">
        <v>65</v>
      </c>
    </row>
    <row r="72" spans="1:11" x14ac:dyDescent="0.3">
      <c r="A72" s="4" t="s">
        <v>78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8" customFormat="1" x14ac:dyDescent="0.3">
      <c r="A81" s="17" t="s">
        <v>37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597.16999999999996</v>
      </c>
      <c r="C82">
        <v>622.54999999999995</v>
      </c>
      <c r="D82">
        <v>536.96</v>
      </c>
      <c r="E82">
        <v>905.2</v>
      </c>
      <c r="F82">
        <v>1292.9000000000001</v>
      </c>
      <c r="G82">
        <v>1264.5999999999999</v>
      </c>
      <c r="H82">
        <v>1696</v>
      </c>
      <c r="I82">
        <v>1376.9</v>
      </c>
      <c r="J82">
        <v>1920.2</v>
      </c>
      <c r="K82">
        <v>2136.4</v>
      </c>
    </row>
    <row r="83" spans="1:11" s="6" customFormat="1" x14ac:dyDescent="0.3">
      <c r="A83" s="6" t="s">
        <v>33</v>
      </c>
      <c r="B83">
        <v>-888.21</v>
      </c>
      <c r="C83">
        <v>-1151.8800000000001</v>
      </c>
      <c r="D83">
        <v>-404.91</v>
      </c>
      <c r="E83">
        <v>-710.6</v>
      </c>
      <c r="F83">
        <v>-288.8</v>
      </c>
      <c r="G83">
        <v>-880</v>
      </c>
      <c r="H83">
        <v>-746.6</v>
      </c>
      <c r="I83">
        <v>-856.8</v>
      </c>
      <c r="J83">
        <v>-1537.1</v>
      </c>
      <c r="K83">
        <v>-3380.6</v>
      </c>
    </row>
    <row r="84" spans="1:11" s="6" customFormat="1" x14ac:dyDescent="0.3">
      <c r="A84" s="6" t="s">
        <v>34</v>
      </c>
      <c r="B84">
        <v>329.93</v>
      </c>
      <c r="C84">
        <v>476.96</v>
      </c>
      <c r="D84">
        <v>-108.5</v>
      </c>
      <c r="E84">
        <v>-214.7</v>
      </c>
      <c r="F84">
        <v>-909.6</v>
      </c>
      <c r="G84">
        <v>-340.1</v>
      </c>
      <c r="H84">
        <v>-791.6</v>
      </c>
      <c r="I84">
        <v>-633.20000000000005</v>
      </c>
      <c r="J84">
        <v>-311</v>
      </c>
      <c r="K84">
        <v>1316.8</v>
      </c>
    </row>
    <row r="85" spans="1:11" s="1" customFormat="1" x14ac:dyDescent="0.3">
      <c r="A85" s="6" t="s">
        <v>35</v>
      </c>
      <c r="B85">
        <v>38.89</v>
      </c>
      <c r="C85">
        <v>-52.37</v>
      </c>
      <c r="D85">
        <v>23.55</v>
      </c>
      <c r="E85">
        <v>-20.100000000000001</v>
      </c>
      <c r="F85">
        <v>94.5</v>
      </c>
      <c r="G85">
        <v>44.5</v>
      </c>
      <c r="H85">
        <v>157.80000000000001</v>
      </c>
      <c r="I85">
        <v>-113.1</v>
      </c>
      <c r="J85">
        <v>72.099999999999994</v>
      </c>
      <c r="K85">
        <v>72.599999999999994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67</v>
      </c>
      <c r="B90">
        <v>1329.3</v>
      </c>
      <c r="C90">
        <v>1165.1500000000001</v>
      </c>
      <c r="D90">
        <v>1064.6500000000001</v>
      </c>
      <c r="E90">
        <v>1227.5999999999999</v>
      </c>
      <c r="F90">
        <v>1139.05</v>
      </c>
      <c r="G90">
        <v>2902.65</v>
      </c>
      <c r="H90">
        <v>4516.1000000000004</v>
      </c>
      <c r="I90">
        <v>4310.8999999999996</v>
      </c>
      <c r="J90">
        <v>6356.8</v>
      </c>
      <c r="K90">
        <v>6616.2</v>
      </c>
    </row>
    <row r="92" spans="1:11" s="1" customFormat="1" x14ac:dyDescent="0.3">
      <c r="A92" s="1" t="s">
        <v>66</v>
      </c>
    </row>
    <row r="93" spans="1:11" x14ac:dyDescent="0.3">
      <c r="A93" s="4" t="s">
        <v>79</v>
      </c>
      <c r="B93" s="20">
        <v>13.91</v>
      </c>
      <c r="C93" s="20">
        <v>13.91</v>
      </c>
      <c r="D93" s="20">
        <v>13.91</v>
      </c>
      <c r="E93" s="20">
        <v>13.91</v>
      </c>
      <c r="F93" s="20">
        <v>13.91</v>
      </c>
      <c r="G93" s="20">
        <v>14.38</v>
      </c>
      <c r="H93" s="20">
        <v>14.38</v>
      </c>
      <c r="I93" s="20">
        <v>14.38</v>
      </c>
      <c r="J93" s="20">
        <v>14.38</v>
      </c>
      <c r="K93" s="20">
        <v>14.38</v>
      </c>
    </row>
  </sheetData>
  <mergeCells count="1">
    <mergeCell ref="E1:K1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tabSelected="1" zoomScaleNormal="100" workbookViewId="0">
      <pane ySplit="3" topLeftCell="A4" activePane="bottomLeft" state="frozen"/>
      <selection pane="bottomLeft" activeCell="K23" sqref="K23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76" t="str">
        <f>"Historical Financial Statement - "&amp;'Data Sheet'!B1</f>
        <v>Historical Financial Statement - APOLLO HOSPITALS ENTERPRISE LTD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x14ac:dyDescent="0.3">
      <c r="B3" s="21" t="s">
        <v>81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82</v>
      </c>
    </row>
    <row r="4" spans="1:14" x14ac:dyDescent="0.3">
      <c r="A4" t="s">
        <v>84</v>
      </c>
      <c r="B4" s="72" t="s">
        <v>83</v>
      </c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4" ht="15" customHeight="1" x14ac:dyDescent="0.3">
      <c r="B5" t="s">
        <v>6</v>
      </c>
      <c r="D5" s="24">
        <f>IFERROR('Data Sheet'!B17,0)</f>
        <v>6149.5</v>
      </c>
      <c r="E5" s="24">
        <f>IFERROR('Data Sheet'!C17,0)</f>
        <v>7255.7</v>
      </c>
      <c r="F5" s="24">
        <f>IFERROR('Data Sheet'!D17,0)</f>
        <v>8243.4699999999993</v>
      </c>
      <c r="G5" s="24">
        <f>IFERROR('Data Sheet'!E17,0)</f>
        <v>9617.4</v>
      </c>
      <c r="H5" s="24">
        <f>IFERROR('Data Sheet'!F17,0)</f>
        <v>11246.8</v>
      </c>
      <c r="I5" s="24">
        <f>IFERROR('Data Sheet'!G17,0)</f>
        <v>10560</v>
      </c>
      <c r="J5" s="24">
        <f>IFERROR('Data Sheet'!H17,0)</f>
        <v>14662.6</v>
      </c>
      <c r="K5" s="24">
        <f>IFERROR('Data Sheet'!I17,0)</f>
        <v>16612.5</v>
      </c>
      <c r="L5" s="24">
        <f>IFERROR('Data Sheet'!J17,0)</f>
        <v>19059.2</v>
      </c>
      <c r="M5" s="24">
        <f>IFERROR('Data Sheet'!K17,0)</f>
        <v>21794</v>
      </c>
      <c r="N5" s="24">
        <f>IFERROR(SUM('Data Sheet'!H42:K42),0)</f>
        <v>21794</v>
      </c>
    </row>
    <row r="6" spans="1:14" x14ac:dyDescent="0.3">
      <c r="B6" s="25" t="s">
        <v>22</v>
      </c>
      <c r="C6" s="25"/>
      <c r="D6" s="25" t="s">
        <v>85</v>
      </c>
      <c r="E6" s="26">
        <f>E5/D5 - 1</f>
        <v>0.17988454345881766</v>
      </c>
      <c r="F6" s="26">
        <f t="shared" ref="F6:N6" si="0">F5/E5 - 1</f>
        <v>0.13613710599942119</v>
      </c>
      <c r="G6" s="26">
        <f t="shared" si="0"/>
        <v>0.16666889064920487</v>
      </c>
      <c r="H6" s="26">
        <f t="shared" si="0"/>
        <v>0.16942208913011836</v>
      </c>
      <c r="I6" s="26">
        <f t="shared" si="0"/>
        <v>-6.1066258846960819E-2</v>
      </c>
      <c r="J6" s="26">
        <f t="shared" si="0"/>
        <v>0.38850378787878781</v>
      </c>
      <c r="K6" s="26">
        <f t="shared" si="0"/>
        <v>0.13298460027553083</v>
      </c>
      <c r="L6" s="26">
        <f t="shared" si="0"/>
        <v>0.14728066215199398</v>
      </c>
      <c r="M6" s="26">
        <f t="shared" si="0"/>
        <v>0.14348975822699783</v>
      </c>
      <c r="N6" s="26">
        <f t="shared" si="0"/>
        <v>0</v>
      </c>
    </row>
    <row r="8" spans="1:14" x14ac:dyDescent="0.3">
      <c r="B8" t="s">
        <v>86</v>
      </c>
      <c r="D8" s="24">
        <f>IFERROR(SUM('Data Sheet'!B18,'Data Sheet'!B20:B22)-1*'Data Sheet'!B19,0)</f>
        <v>4344.84</v>
      </c>
      <c r="E8" s="24">
        <f>IFERROR(SUM('Data Sheet'!C18,'Data Sheet'!C20:C22)-1*'Data Sheet'!C19,0)</f>
        <v>5266.17</v>
      </c>
      <c r="F8" s="24">
        <f>IFERROR(SUM('Data Sheet'!D18,'Data Sheet'!D20:D22)-1*'Data Sheet'!D19,0)</f>
        <v>5880.8400000000011</v>
      </c>
      <c r="G8" s="24">
        <f>IFERROR(SUM('Data Sheet'!E18,'Data Sheet'!E20:E22)-1*'Data Sheet'!E19,0)</f>
        <v>7336.5</v>
      </c>
      <c r="H8" s="24">
        <f>IFERROR(SUM('Data Sheet'!F18,'Data Sheet'!F20:F22)-1*'Data Sheet'!F19,0)</f>
        <v>8617.5</v>
      </c>
      <c r="I8" s="24">
        <f>IFERROR(SUM('Data Sheet'!G18,'Data Sheet'!G20:G22)-1*'Data Sheet'!G19,0)</f>
        <v>8556.1999999999989</v>
      </c>
      <c r="J8" s="24">
        <f>IFERROR(SUM('Data Sheet'!H18,'Data Sheet'!H20:H22)-1*'Data Sheet'!H19,0)</f>
        <v>11354.1</v>
      </c>
      <c r="K8" s="24">
        <f>IFERROR(SUM('Data Sheet'!I18,'Data Sheet'!I20:I22)-1*'Data Sheet'!I19,0)</f>
        <v>12959.899999999998</v>
      </c>
      <c r="L8" s="24">
        <f>IFERROR(SUM('Data Sheet'!J18,'Data Sheet'!J20:J22)-1*'Data Sheet'!J19,0)</f>
        <v>14854.800000000001</v>
      </c>
      <c r="M8" s="24">
        <f>IFERROR(SUM('Data Sheet'!K18,'Data Sheet'!K20:K22)-1*'Data Sheet'!K19,0)</f>
        <v>14079.199999999999</v>
      </c>
      <c r="N8" s="24">
        <f>IFERROR(SUM('Data Sheet'!H43:K43),0)</f>
        <v>18772.199999999997</v>
      </c>
    </row>
    <row r="9" spans="1:14" x14ac:dyDescent="0.3">
      <c r="B9" s="25" t="s">
        <v>87</v>
      </c>
      <c r="C9" s="25"/>
      <c r="D9" s="26">
        <f>D8/D5</f>
        <v>0.70653549069030008</v>
      </c>
      <c r="E9" s="26">
        <f t="shared" ref="E9:N9" si="1">E8/E5</f>
        <v>0.72579764874512454</v>
      </c>
      <c r="F9" s="26">
        <f t="shared" si="1"/>
        <v>0.71339375287348672</v>
      </c>
      <c r="G9" s="26">
        <f t="shared" si="1"/>
        <v>0.7628361095514381</v>
      </c>
      <c r="H9" s="26">
        <f t="shared" si="1"/>
        <v>0.76621794643809804</v>
      </c>
      <c r="I9" s="26">
        <f t="shared" si="1"/>
        <v>0.81024621212121206</v>
      </c>
      <c r="J9" s="26">
        <f t="shared" si="1"/>
        <v>0.77435789014226675</v>
      </c>
      <c r="K9" s="26">
        <f t="shared" si="1"/>
        <v>0.78012942061700519</v>
      </c>
      <c r="L9" s="26">
        <f t="shared" si="1"/>
        <v>0.779403122901276</v>
      </c>
      <c r="M9" s="26">
        <f t="shared" si="1"/>
        <v>0.64601266403597313</v>
      </c>
      <c r="N9" s="26">
        <f t="shared" si="1"/>
        <v>0.86134715976874354</v>
      </c>
    </row>
    <row r="11" spans="1:14" x14ac:dyDescent="0.3">
      <c r="B11" s="42" t="s">
        <v>88</v>
      </c>
      <c r="C11" s="42"/>
      <c r="D11" s="43">
        <f t="shared" ref="D11:N11" si="2">D5-D8</f>
        <v>1804.6599999999999</v>
      </c>
      <c r="E11" s="43">
        <f t="shared" si="2"/>
        <v>1989.5299999999997</v>
      </c>
      <c r="F11" s="43">
        <f t="shared" si="2"/>
        <v>2362.6299999999983</v>
      </c>
      <c r="G11" s="43">
        <f t="shared" si="2"/>
        <v>2280.8999999999996</v>
      </c>
      <c r="H11" s="43">
        <f t="shared" si="2"/>
        <v>2629.2999999999993</v>
      </c>
      <c r="I11" s="43">
        <f t="shared" si="2"/>
        <v>2003.8000000000011</v>
      </c>
      <c r="J11" s="43">
        <f t="shared" si="2"/>
        <v>3308.5</v>
      </c>
      <c r="K11" s="43">
        <f t="shared" si="2"/>
        <v>3652.6000000000022</v>
      </c>
      <c r="L11" s="43">
        <f t="shared" si="2"/>
        <v>4204.3999999999996</v>
      </c>
      <c r="M11" s="43">
        <f t="shared" si="2"/>
        <v>7714.8000000000011</v>
      </c>
      <c r="N11" s="43">
        <f t="shared" si="2"/>
        <v>3021.8000000000029</v>
      </c>
    </row>
    <row r="12" spans="1:14" x14ac:dyDescent="0.3">
      <c r="B12" s="28" t="s">
        <v>146</v>
      </c>
      <c r="C12" s="28"/>
      <c r="D12" s="28">
        <f>(D5-D8)/D5</f>
        <v>0.29346450930969997</v>
      </c>
      <c r="E12" s="28">
        <f t="shared" ref="E12:N12" si="3">(E5-E8)/E5</f>
        <v>0.27420235125487546</v>
      </c>
      <c r="F12" s="28">
        <f t="shared" si="3"/>
        <v>0.28660624712651328</v>
      </c>
      <c r="G12" s="28">
        <f t="shared" si="3"/>
        <v>0.23716389044856195</v>
      </c>
      <c r="H12" s="28">
        <f t="shared" si="3"/>
        <v>0.23378205356190201</v>
      </c>
      <c r="I12" s="28">
        <f t="shared" si="3"/>
        <v>0.18975378787878799</v>
      </c>
      <c r="J12" s="28">
        <f t="shared" si="3"/>
        <v>0.22564210985773328</v>
      </c>
      <c r="K12" s="28">
        <f t="shared" si="3"/>
        <v>0.21987057938299487</v>
      </c>
      <c r="L12" s="28">
        <f t="shared" si="3"/>
        <v>0.22059687709872394</v>
      </c>
      <c r="M12" s="28">
        <f t="shared" si="3"/>
        <v>0.35398733596402687</v>
      </c>
      <c r="N12" s="28">
        <f t="shared" si="3"/>
        <v>0.13865284023125643</v>
      </c>
    </row>
    <row r="14" spans="1:14" x14ac:dyDescent="0.3">
      <c r="B14" t="s">
        <v>89</v>
      </c>
      <c r="D14" s="27">
        <f>IFERROR(SUM('Data Sheet'!B23:B24),0)</f>
        <v>1120.4100000000001</v>
      </c>
      <c r="E14" s="27">
        <f>IFERROR(SUM('Data Sheet'!C23:C24),0)</f>
        <v>1255.7399999999998</v>
      </c>
      <c r="F14" s="27">
        <f>IFERROR(SUM('Data Sheet'!D23:D24),0)</f>
        <v>1561.41</v>
      </c>
      <c r="G14" s="27">
        <f>IFERROR(SUM('Data Sheet'!E23:E24),0)</f>
        <v>1211.3000000000002</v>
      </c>
      <c r="H14" s="27">
        <f>IFERROR(SUM('Data Sheet'!F23:F24),0)</f>
        <v>1038.4000000000001</v>
      </c>
      <c r="I14" s="27">
        <f>IFERROR(SUM('Data Sheet'!G23:G24),0)</f>
        <v>863.5</v>
      </c>
      <c r="J14" s="27">
        <f>IFERROR(SUM('Data Sheet'!H23:H24),0)</f>
        <v>1119.4000000000001</v>
      </c>
      <c r="K14" s="27">
        <f>IFERROR(SUM('Data Sheet'!I23:I24),0)</f>
        <v>1588</v>
      </c>
      <c r="L14" s="27">
        <f>IFERROR(SUM('Data Sheet'!J23:J24),0)</f>
        <v>1810.1</v>
      </c>
      <c r="M14" s="27">
        <f>IFERROR(SUM('Data Sheet'!K23:K24),0)</f>
        <v>4693</v>
      </c>
      <c r="N14" s="27">
        <f>IFERROR(SUM('Data Sheet'!L23:L24),0)</f>
        <v>0</v>
      </c>
    </row>
    <row r="15" spans="1:14" x14ac:dyDescent="0.3">
      <c r="B15" s="25" t="s">
        <v>90</v>
      </c>
      <c r="C15" s="25"/>
      <c r="D15" s="26">
        <f t="shared" ref="D15:N15" si="4">D14/D5</f>
        <v>0.18219530043092935</v>
      </c>
      <c r="E15" s="26">
        <f t="shared" si="4"/>
        <v>0.17306944884711328</v>
      </c>
      <c r="F15" s="26">
        <f t="shared" si="4"/>
        <v>0.18941174044425468</v>
      </c>
      <c r="G15" s="26">
        <f t="shared" si="4"/>
        <v>0.1259488011312829</v>
      </c>
      <c r="H15" s="26">
        <f t="shared" si="4"/>
        <v>9.2328484546715522E-2</v>
      </c>
      <c r="I15" s="26">
        <f t="shared" si="4"/>
        <v>8.1770833333333334E-2</v>
      </c>
      <c r="J15" s="26">
        <f t="shared" si="4"/>
        <v>7.6343895352802366E-2</v>
      </c>
      <c r="K15" s="26">
        <f t="shared" si="4"/>
        <v>9.5590669676448456E-2</v>
      </c>
      <c r="L15" s="26">
        <f t="shared" si="4"/>
        <v>9.4972506715916713E-2</v>
      </c>
      <c r="M15" s="26">
        <f t="shared" si="4"/>
        <v>0.2153344957327705</v>
      </c>
      <c r="N15" s="26">
        <f t="shared" si="4"/>
        <v>0</v>
      </c>
    </row>
    <row r="17" spans="2:14" x14ac:dyDescent="0.3">
      <c r="B17" s="42" t="s">
        <v>91</v>
      </c>
      <c r="C17" s="42"/>
      <c r="D17" s="43">
        <f>D11-D14</f>
        <v>684.24999999999977</v>
      </c>
      <c r="E17" s="43">
        <f t="shared" ref="E17:N17" si="5">E11-E14</f>
        <v>733.79</v>
      </c>
      <c r="F17" s="43">
        <f t="shared" si="5"/>
        <v>801.21999999999821</v>
      </c>
      <c r="G17" s="43">
        <f t="shared" si="5"/>
        <v>1069.5999999999995</v>
      </c>
      <c r="H17" s="43">
        <f t="shared" si="5"/>
        <v>1590.8999999999992</v>
      </c>
      <c r="I17" s="43">
        <f t="shared" si="5"/>
        <v>1140.3000000000011</v>
      </c>
      <c r="J17" s="43">
        <f t="shared" si="5"/>
        <v>2189.1</v>
      </c>
      <c r="K17" s="43">
        <f t="shared" si="5"/>
        <v>2064.6000000000022</v>
      </c>
      <c r="L17" s="43">
        <f t="shared" si="5"/>
        <v>2394.2999999999997</v>
      </c>
      <c r="M17" s="43">
        <f t="shared" si="5"/>
        <v>3021.8000000000011</v>
      </c>
      <c r="N17" s="43">
        <f t="shared" si="5"/>
        <v>3021.8000000000029</v>
      </c>
    </row>
    <row r="18" spans="2:14" x14ac:dyDescent="0.3">
      <c r="B18" s="28" t="s">
        <v>150</v>
      </c>
      <c r="C18" s="28"/>
      <c r="D18" s="28">
        <f>D17/D5</f>
        <v>0.11126920887877059</v>
      </c>
      <c r="E18" s="28">
        <f t="shared" ref="E18:N18" si="6">E17/E5</f>
        <v>0.10113290240776217</v>
      </c>
      <c r="F18" s="28">
        <f t="shared" si="6"/>
        <v>9.7194506682258597E-2</v>
      </c>
      <c r="G18" s="28">
        <f t="shared" si="6"/>
        <v>0.11121508931727904</v>
      </c>
      <c r="H18" s="28">
        <f t="shared" si="6"/>
        <v>0.14145356901518649</v>
      </c>
      <c r="I18" s="28">
        <f t="shared" si="6"/>
        <v>0.10798295454545465</v>
      </c>
      <c r="J18" s="28">
        <f t="shared" si="6"/>
        <v>0.14929821450493092</v>
      </c>
      <c r="K18" s="28">
        <f t="shared" si="6"/>
        <v>0.12427990970654641</v>
      </c>
      <c r="L18" s="28">
        <f t="shared" si="6"/>
        <v>0.12562437038280724</v>
      </c>
      <c r="M18" s="28">
        <f t="shared" si="6"/>
        <v>0.13865284023125635</v>
      </c>
      <c r="N18" s="28">
        <f t="shared" si="6"/>
        <v>0.13865284023125643</v>
      </c>
    </row>
    <row r="19" spans="2:14" x14ac:dyDescent="0.3">
      <c r="B19" s="25" t="s">
        <v>92</v>
      </c>
      <c r="C19" s="25"/>
      <c r="D19" s="26">
        <f t="shared" ref="D19:N19" si="7">D17/D5</f>
        <v>0.11126920887877059</v>
      </c>
      <c r="E19" s="26">
        <f t="shared" si="7"/>
        <v>0.10113290240776217</v>
      </c>
      <c r="F19" s="26">
        <f t="shared" si="7"/>
        <v>9.7194506682258597E-2</v>
      </c>
      <c r="G19" s="26">
        <f t="shared" si="7"/>
        <v>0.11121508931727904</v>
      </c>
      <c r="H19" s="26">
        <f t="shared" si="7"/>
        <v>0.14145356901518649</v>
      </c>
      <c r="I19" s="26">
        <f t="shared" si="7"/>
        <v>0.10798295454545465</v>
      </c>
      <c r="J19" s="26">
        <f t="shared" si="7"/>
        <v>0.14929821450493092</v>
      </c>
      <c r="K19" s="26">
        <f t="shared" si="7"/>
        <v>0.12427990970654641</v>
      </c>
      <c r="L19" s="26">
        <f t="shared" si="7"/>
        <v>0.12562437038280724</v>
      </c>
      <c r="M19" s="26">
        <f t="shared" si="7"/>
        <v>0.13865284023125635</v>
      </c>
      <c r="N19" s="26">
        <f t="shared" si="7"/>
        <v>0.13865284023125643</v>
      </c>
    </row>
    <row r="21" spans="2:14" x14ac:dyDescent="0.3">
      <c r="B21" t="s">
        <v>11</v>
      </c>
      <c r="D21" s="27">
        <f>IFERROR('Data Sheet'!B27,0)</f>
        <v>180.02</v>
      </c>
      <c r="E21" s="27">
        <f>IFERROR('Data Sheet'!C27,0)</f>
        <v>257.35000000000002</v>
      </c>
      <c r="F21" s="27">
        <f>IFERROR('Data Sheet'!D27,0)</f>
        <v>295.07</v>
      </c>
      <c r="G21" s="27">
        <f>IFERROR('Data Sheet'!E27,0)</f>
        <v>327</v>
      </c>
      <c r="H21" s="27">
        <f>IFERROR('Data Sheet'!F27,0)</f>
        <v>532.79999999999995</v>
      </c>
      <c r="I21" s="27">
        <f>IFERROR('Data Sheet'!G27,0)</f>
        <v>449.2</v>
      </c>
      <c r="J21" s="27">
        <f>IFERROR('Data Sheet'!H27,0)</f>
        <v>378.6</v>
      </c>
      <c r="K21" s="27">
        <f>IFERROR('Data Sheet'!I27,0)</f>
        <v>380.8</v>
      </c>
      <c r="L21" s="27">
        <f>IFERROR('Data Sheet'!J27,0)</f>
        <v>449.4</v>
      </c>
      <c r="M21" s="27">
        <f>IFERROR('Data Sheet'!K27,0)</f>
        <v>458.5</v>
      </c>
      <c r="N21" s="27">
        <f>IFERROR('Data Sheet'!L27,0)</f>
        <v>0</v>
      </c>
    </row>
    <row r="22" spans="2:14" x14ac:dyDescent="0.3">
      <c r="B22" s="25" t="s">
        <v>93</v>
      </c>
      <c r="C22" s="25"/>
      <c r="D22" s="28">
        <f t="shared" ref="D22:N22" si="8">D21/D5</f>
        <v>2.9273924709325962E-2</v>
      </c>
      <c r="E22" s="28">
        <f t="shared" si="8"/>
        <v>3.5468666014305997E-2</v>
      </c>
      <c r="F22" s="28">
        <f t="shared" si="8"/>
        <v>3.5794392409992395E-2</v>
      </c>
      <c r="G22" s="28">
        <f t="shared" si="8"/>
        <v>3.4000873416931809E-2</v>
      </c>
      <c r="H22" s="28">
        <f t="shared" si="8"/>
        <v>4.7373475121812426E-2</v>
      </c>
      <c r="I22" s="28">
        <f t="shared" si="8"/>
        <v>4.2537878787878784E-2</v>
      </c>
      <c r="J22" s="28">
        <f t="shared" si="8"/>
        <v>2.5820795766098782E-2</v>
      </c>
      <c r="K22" s="28">
        <f t="shared" si="8"/>
        <v>2.2922498118886383E-2</v>
      </c>
      <c r="L22" s="28">
        <f t="shared" si="8"/>
        <v>2.357916386836803E-2</v>
      </c>
      <c r="M22" s="28">
        <f t="shared" si="8"/>
        <v>2.1037900339542993E-2</v>
      </c>
      <c r="N22" s="28">
        <f t="shared" si="8"/>
        <v>0</v>
      </c>
    </row>
    <row r="24" spans="2:14" x14ac:dyDescent="0.3">
      <c r="B24" t="s">
        <v>10</v>
      </c>
      <c r="D24" s="27">
        <f>IFERROR('Data Sheet'!B26,0)</f>
        <v>263.83</v>
      </c>
      <c r="E24" s="27">
        <f>IFERROR('Data Sheet'!C26,0)</f>
        <v>314.04000000000002</v>
      </c>
      <c r="F24" s="27">
        <f>IFERROR('Data Sheet'!D26,0)</f>
        <v>359.03</v>
      </c>
      <c r="G24" s="27">
        <f>IFERROR('Data Sheet'!E26,0)</f>
        <v>395.5</v>
      </c>
      <c r="H24" s="27">
        <f>IFERROR('Data Sheet'!F26,0)</f>
        <v>619.70000000000005</v>
      </c>
      <c r="I24" s="27">
        <f>IFERROR('Data Sheet'!G26,0)</f>
        <v>573.1</v>
      </c>
      <c r="J24" s="27">
        <f>IFERROR('Data Sheet'!H26,0)</f>
        <v>600.70000000000005</v>
      </c>
      <c r="K24" s="27">
        <f>IFERROR('Data Sheet'!I26,0)</f>
        <v>615.4</v>
      </c>
      <c r="L24" s="27">
        <f>IFERROR('Data Sheet'!J26,0)</f>
        <v>687</v>
      </c>
      <c r="M24" s="27">
        <f>IFERROR('Data Sheet'!K26,0)</f>
        <v>757.5</v>
      </c>
      <c r="N24" s="27">
        <f>IFERROR(SUM('Data Sheet'!H45:K45),0)</f>
        <v>757.5</v>
      </c>
    </row>
    <row r="25" spans="2:14" x14ac:dyDescent="0.3">
      <c r="B25" s="25" t="s">
        <v>94</v>
      </c>
      <c r="D25" s="28">
        <f t="shared" ref="D25:N25" si="9">D24/D5</f>
        <v>4.29026750142288E-2</v>
      </c>
      <c r="E25" s="28">
        <f t="shared" si="9"/>
        <v>4.3281833592899381E-2</v>
      </c>
      <c r="F25" s="28">
        <f t="shared" si="9"/>
        <v>4.3553260944723518E-2</v>
      </c>
      <c r="G25" s="28">
        <f t="shared" si="9"/>
        <v>4.1123380539438932E-2</v>
      </c>
      <c r="H25" s="28">
        <f t="shared" si="9"/>
        <v>5.5100117366717653E-2</v>
      </c>
      <c r="I25" s="28">
        <f t="shared" si="9"/>
        <v>5.4270833333333338E-2</v>
      </c>
      <c r="J25" s="28">
        <f t="shared" si="9"/>
        <v>4.0968177540136132E-2</v>
      </c>
      <c r="K25" s="28">
        <f t="shared" si="9"/>
        <v>3.7044394281414594E-2</v>
      </c>
      <c r="L25" s="28">
        <f t="shared" si="9"/>
        <v>3.6045584284754871E-2</v>
      </c>
      <c r="M25" s="28">
        <f t="shared" si="9"/>
        <v>3.4757272643846933E-2</v>
      </c>
      <c r="N25" s="28">
        <f t="shared" si="9"/>
        <v>3.4757272643846933E-2</v>
      </c>
    </row>
    <row r="27" spans="2:14" x14ac:dyDescent="0.3">
      <c r="B27" s="42" t="s">
        <v>95</v>
      </c>
      <c r="C27" s="42"/>
      <c r="D27" s="44">
        <f>IFERROR(D17-SUM(D21,D24),0)</f>
        <v>240.39999999999975</v>
      </c>
      <c r="E27" s="44">
        <f t="shared" ref="E27:N27" si="10">IFERROR(E17-SUM(E21,E24),0)</f>
        <v>162.39999999999986</v>
      </c>
      <c r="F27" s="44">
        <f t="shared" si="10"/>
        <v>147.1199999999983</v>
      </c>
      <c r="G27" s="44">
        <f t="shared" si="10"/>
        <v>347.09999999999945</v>
      </c>
      <c r="H27" s="44">
        <f t="shared" si="10"/>
        <v>438.39999999999918</v>
      </c>
      <c r="I27" s="44">
        <f t="shared" si="10"/>
        <v>118.00000000000114</v>
      </c>
      <c r="J27" s="44">
        <f t="shared" si="10"/>
        <v>1209.7999999999997</v>
      </c>
      <c r="K27" s="44">
        <f t="shared" si="10"/>
        <v>1068.4000000000021</v>
      </c>
      <c r="L27" s="44">
        <f t="shared" si="10"/>
        <v>1257.8999999999996</v>
      </c>
      <c r="M27" s="44">
        <f t="shared" si="10"/>
        <v>1805.8000000000011</v>
      </c>
      <c r="N27" s="44">
        <f t="shared" si="10"/>
        <v>2264.3000000000029</v>
      </c>
    </row>
    <row r="28" spans="2:14" x14ac:dyDescent="0.3">
      <c r="B28" s="25" t="s">
        <v>96</v>
      </c>
      <c r="C28" s="25"/>
      <c r="D28" s="28">
        <f t="shared" ref="D28:N28" si="11">D27/D5</f>
        <v>3.9092609155215834E-2</v>
      </c>
      <c r="E28" s="28">
        <f t="shared" si="11"/>
        <v>2.2382402800556787E-2</v>
      </c>
      <c r="F28" s="28">
        <f t="shared" si="11"/>
        <v>1.7846853327542687E-2</v>
      </c>
      <c r="G28" s="28">
        <f t="shared" si="11"/>
        <v>3.6090835360908298E-2</v>
      </c>
      <c r="H28" s="28">
        <f t="shared" si="11"/>
        <v>3.8979976526656399E-2</v>
      </c>
      <c r="I28" s="28">
        <f t="shared" si="11"/>
        <v>1.1174242424242533E-2</v>
      </c>
      <c r="J28" s="28">
        <f t="shared" si="11"/>
        <v>8.2509241198695987E-2</v>
      </c>
      <c r="K28" s="28">
        <f t="shared" si="11"/>
        <v>6.4313017306245432E-2</v>
      </c>
      <c r="L28" s="28">
        <f t="shared" si="11"/>
        <v>6.5999622229684335E-2</v>
      </c>
      <c r="M28" s="28">
        <f t="shared" si="11"/>
        <v>8.2857667247866432E-2</v>
      </c>
      <c r="N28" s="28">
        <f t="shared" si="11"/>
        <v>0.10389556758740952</v>
      </c>
    </row>
    <row r="30" spans="2:14" x14ac:dyDescent="0.3">
      <c r="B30" t="s">
        <v>13</v>
      </c>
      <c r="D30" s="24">
        <f>IFERROR('Data Sheet'!B29,0)</f>
        <v>96.9</v>
      </c>
      <c r="E30" s="24">
        <f>IFERROR('Data Sheet'!C29,0)</f>
        <v>90.96</v>
      </c>
      <c r="F30" s="24">
        <f>IFERROR('Data Sheet'!D29,0)</f>
        <v>111.91</v>
      </c>
      <c r="G30" s="24">
        <f>IFERROR('Data Sheet'!E29,0)</f>
        <v>173.4</v>
      </c>
      <c r="H30" s="24">
        <f>IFERROR('Data Sheet'!F29,0)</f>
        <v>225.2</v>
      </c>
      <c r="I30" s="24">
        <f>IFERROR('Data Sheet'!G29,0)</f>
        <v>84.7</v>
      </c>
      <c r="J30" s="24">
        <f>IFERROR('Data Sheet'!H29,0)</f>
        <v>477</v>
      </c>
      <c r="K30" s="24">
        <f>IFERROR('Data Sheet'!I29,0)</f>
        <v>256.2</v>
      </c>
      <c r="L30" s="24">
        <f>IFERROR('Data Sheet'!J29,0)</f>
        <v>445.5</v>
      </c>
      <c r="M30" s="24">
        <f>IFERROR('Data Sheet'!K29,0)</f>
        <v>534</v>
      </c>
      <c r="N30" s="24">
        <f>IFERROR(SUM('Data Sheet'!H48:K48),0)</f>
        <v>534</v>
      </c>
    </row>
    <row r="31" spans="2:14" x14ac:dyDescent="0.3">
      <c r="B31" s="25" t="s">
        <v>98</v>
      </c>
      <c r="C31" s="25"/>
      <c r="D31" s="26">
        <f>D30/D27</f>
        <v>0.40307820299500874</v>
      </c>
      <c r="E31" s="26">
        <f t="shared" ref="E31:N31" si="12">E30/E27</f>
        <v>0.56009852216748812</v>
      </c>
      <c r="F31" s="26">
        <f t="shared" si="12"/>
        <v>0.76067156063078634</v>
      </c>
      <c r="G31" s="26">
        <f t="shared" si="12"/>
        <v>0.49956784788245545</v>
      </c>
      <c r="H31" s="26">
        <f t="shared" si="12"/>
        <v>0.51368613138686225</v>
      </c>
      <c r="I31" s="26">
        <f t="shared" si="12"/>
        <v>0.71779661016948459</v>
      </c>
      <c r="J31" s="26">
        <f t="shared" si="12"/>
        <v>0.39428004628864283</v>
      </c>
      <c r="K31" s="26">
        <f t="shared" si="12"/>
        <v>0.23979782852864046</v>
      </c>
      <c r="L31" s="26">
        <f t="shared" si="12"/>
        <v>0.35416169806820902</v>
      </c>
      <c r="M31" s="26">
        <f t="shared" si="12"/>
        <v>0.2957138110532726</v>
      </c>
      <c r="N31" s="26">
        <f t="shared" si="12"/>
        <v>0.23583447423044621</v>
      </c>
    </row>
    <row r="33" spans="1:14" x14ac:dyDescent="0.3">
      <c r="B33" s="42" t="s">
        <v>99</v>
      </c>
      <c r="C33" s="42"/>
      <c r="D33" s="44">
        <f>IFERROR(D27-D30,0)</f>
        <v>143.49999999999974</v>
      </c>
      <c r="E33" s="44">
        <f t="shared" ref="E33:N33" si="13">IFERROR(E27-E30,0)</f>
        <v>71.43999999999987</v>
      </c>
      <c r="F33" s="44">
        <f t="shared" si="13"/>
        <v>35.209999999998303</v>
      </c>
      <c r="G33" s="44">
        <f t="shared" si="13"/>
        <v>173.69999999999945</v>
      </c>
      <c r="H33" s="44">
        <f t="shared" si="13"/>
        <v>213.19999999999919</v>
      </c>
      <c r="I33" s="44">
        <f t="shared" si="13"/>
        <v>33.300000000001134</v>
      </c>
      <c r="J33" s="44">
        <f t="shared" si="13"/>
        <v>732.79999999999973</v>
      </c>
      <c r="K33" s="44">
        <f t="shared" si="13"/>
        <v>812.20000000000209</v>
      </c>
      <c r="L33" s="44">
        <f t="shared" si="13"/>
        <v>812.39999999999964</v>
      </c>
      <c r="M33" s="44">
        <f t="shared" si="13"/>
        <v>1271.8000000000011</v>
      </c>
      <c r="N33" s="44">
        <f t="shared" si="13"/>
        <v>1730.3000000000029</v>
      </c>
    </row>
    <row r="34" spans="1:14" x14ac:dyDescent="0.3">
      <c r="B34" s="26" t="s">
        <v>100</v>
      </c>
      <c r="C34" s="26"/>
      <c r="D34" s="26">
        <f t="shared" ref="D34:N34" si="14">D33/D5</f>
        <v>2.3335230506545207E-2</v>
      </c>
      <c r="E34" s="26">
        <f t="shared" si="14"/>
        <v>9.8460520694074825E-3</v>
      </c>
      <c r="F34" s="26">
        <f t="shared" si="14"/>
        <v>4.2712595545320482E-3</v>
      </c>
      <c r="G34" s="26">
        <f t="shared" si="14"/>
        <v>1.806101441137932E-2</v>
      </c>
      <c r="H34" s="26">
        <f t="shared" si="14"/>
        <v>1.8956503183127575E-2</v>
      </c>
      <c r="I34" s="26">
        <f t="shared" si="14"/>
        <v>3.1534090909091984E-3</v>
      </c>
      <c r="J34" s="26">
        <f t="shared" si="14"/>
        <v>4.9977493759633333E-2</v>
      </c>
      <c r="K34" s="26">
        <f t="shared" si="14"/>
        <v>4.8890895410082895E-2</v>
      </c>
      <c r="L34" s="26">
        <f t="shared" si="14"/>
        <v>4.262508394895901E-2</v>
      </c>
      <c r="M34" s="26">
        <f t="shared" si="14"/>
        <v>5.8355510691015924E-2</v>
      </c>
      <c r="N34" s="26">
        <f t="shared" si="14"/>
        <v>7.9393411030558997E-2</v>
      </c>
    </row>
    <row r="36" spans="1:14" x14ac:dyDescent="0.3">
      <c r="B36" s="24" t="s">
        <v>64</v>
      </c>
      <c r="C36" s="24"/>
      <c r="D36" s="24">
        <f>IFERROR('Data Sheet'!B93,0)</f>
        <v>13.91</v>
      </c>
      <c r="E36" s="24">
        <f>IFERROR('Data Sheet'!C93,0)</f>
        <v>13.91</v>
      </c>
      <c r="F36" s="24">
        <f>IFERROR('Data Sheet'!D93,0)</f>
        <v>13.91</v>
      </c>
      <c r="G36" s="24">
        <f>IFERROR('Data Sheet'!E93,0)</f>
        <v>13.91</v>
      </c>
      <c r="H36" s="24">
        <f>IFERROR('Data Sheet'!F93,0)</f>
        <v>13.91</v>
      </c>
      <c r="I36" s="24">
        <f>IFERROR('Data Sheet'!G93,0)</f>
        <v>14.38</v>
      </c>
      <c r="J36" s="24">
        <f>IFERROR('Data Sheet'!H93,0)</f>
        <v>14.38</v>
      </c>
      <c r="K36" s="24">
        <f>IFERROR('Data Sheet'!I93,0)</f>
        <v>14.38</v>
      </c>
      <c r="L36" s="24">
        <f>IFERROR('Data Sheet'!J93,0)</f>
        <v>14.38</v>
      </c>
      <c r="M36" s="24">
        <f>IFERROR('Data Sheet'!K93,0)</f>
        <v>14.38</v>
      </c>
    </row>
    <row r="38" spans="1:14" x14ac:dyDescent="0.3">
      <c r="B38" t="s">
        <v>101</v>
      </c>
      <c r="D38" s="24">
        <f>IFERROR(D33/D36,0)</f>
        <v>10.31631919482385</v>
      </c>
      <c r="E38" s="24">
        <f t="shared" ref="E38:M38" si="15">IFERROR(E33/E36,0)</f>
        <v>5.1358734723220607</v>
      </c>
      <c r="F38" s="24">
        <f t="shared" si="15"/>
        <v>2.5312724658517829</v>
      </c>
      <c r="G38" s="24">
        <f t="shared" si="15"/>
        <v>12.487419122933101</v>
      </c>
      <c r="H38" s="24">
        <f t="shared" si="15"/>
        <v>15.32710280373826</v>
      </c>
      <c r="I38" s="24">
        <f t="shared" si="15"/>
        <v>2.3157162726009131</v>
      </c>
      <c r="J38" s="24">
        <f t="shared" si="15"/>
        <v>50.959666203059783</v>
      </c>
      <c r="K38" s="24">
        <f t="shared" si="15"/>
        <v>56.481223922114189</v>
      </c>
      <c r="L38" s="24">
        <f t="shared" si="15"/>
        <v>56.495132127955465</v>
      </c>
      <c r="M38" s="24">
        <f t="shared" si="15"/>
        <v>88.442280945758071</v>
      </c>
    </row>
    <row r="39" spans="1:14" x14ac:dyDescent="0.3">
      <c r="B39" s="26" t="s">
        <v>103</v>
      </c>
      <c r="C39" s="26"/>
      <c r="D39" s="26"/>
      <c r="E39" s="26">
        <f>E38/D38-1</f>
        <v>-0.50216027874564473</v>
      </c>
      <c r="F39" s="26">
        <f t="shared" ref="F39:M39" si="16">F38/E38-1</f>
        <v>-0.50713885778277756</v>
      </c>
      <c r="G39" s="26">
        <f t="shared" si="16"/>
        <v>3.933257597273724</v>
      </c>
      <c r="H39" s="26">
        <f t="shared" si="16"/>
        <v>0.22740356937248074</v>
      </c>
      <c r="I39" s="26">
        <f t="shared" si="16"/>
        <v>-0.8489136334339642</v>
      </c>
      <c r="J39" s="26">
        <f t="shared" si="16"/>
        <v>21.006006006005251</v>
      </c>
      <c r="K39" s="26">
        <f t="shared" si="16"/>
        <v>0.10835152838428286</v>
      </c>
      <c r="L39" s="26">
        <f t="shared" si="16"/>
        <v>2.4624476729573352E-4</v>
      </c>
      <c r="M39" s="26">
        <f t="shared" si="16"/>
        <v>0.56548498276711201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102</v>
      </c>
      <c r="D41" s="24">
        <f>IFERROR('Data Sheet'!B31/'Historical FS'!D36,0)</f>
        <v>6.0007189072609632</v>
      </c>
      <c r="E41" s="24">
        <f>IFERROR('Data Sheet'!C31/'Historical FS'!E36,0)</f>
        <v>6.0007189072609632</v>
      </c>
      <c r="F41" s="24">
        <f>IFERROR('Data Sheet'!D31/'Historical FS'!F36,0)</f>
        <v>5.0007189072609632</v>
      </c>
      <c r="G41" s="24">
        <f>IFERROR('Data Sheet'!E31/'Historical FS'!G36,0)</f>
        <v>6.0043134435657795</v>
      </c>
      <c r="H41" s="24">
        <f>IFERROR('Data Sheet'!F31/'Historical FS'!H36,0)</f>
        <v>6.0043134435657795</v>
      </c>
      <c r="I41" s="24">
        <f>IFERROR('Data Sheet'!G31/'Historical FS'!I36,0)</f>
        <v>3</v>
      </c>
      <c r="J41" s="24">
        <f>IFERROR('Data Sheet'!H31/'Historical FS'!J36,0)</f>
        <v>11.749652294853965</v>
      </c>
      <c r="K41" s="24">
        <f>IFERROR('Data Sheet'!I31/'Historical FS'!K36,0)</f>
        <v>14.999999999999998</v>
      </c>
      <c r="L41" s="24">
        <f>IFERROR('Data Sheet'!J31/'Historical FS'!L36,0)</f>
        <v>16</v>
      </c>
      <c r="M41" s="24">
        <f>IFERROR('Data Sheet'!K31/'Historical FS'!M36,0)</f>
        <v>27.999999999999996</v>
      </c>
    </row>
    <row r="42" spans="1:14" x14ac:dyDescent="0.3">
      <c r="B42" s="26" t="s">
        <v>104</v>
      </c>
      <c r="C42" s="26"/>
      <c r="D42" s="26">
        <f>IFERROR(D41/D38,0)</f>
        <v>0.5816724738675968</v>
      </c>
      <c r="E42" s="26">
        <f t="shared" ref="E42:M42" si="17">IFERROR(E41/E38,0)</f>
        <v>1.1683930571108645</v>
      </c>
      <c r="F42" s="26">
        <f t="shared" si="17"/>
        <v>1.9755751207044407</v>
      </c>
      <c r="G42" s="26">
        <f t="shared" si="17"/>
        <v>0.48082901554404295</v>
      </c>
      <c r="H42" s="26">
        <f t="shared" si="17"/>
        <v>0.39174484052532976</v>
      </c>
      <c r="I42" s="26">
        <f t="shared" si="17"/>
        <v>1.2954954954954516</v>
      </c>
      <c r="J42" s="26">
        <f t="shared" si="17"/>
        <v>0.23056768558951976</v>
      </c>
      <c r="K42" s="26">
        <f t="shared" si="17"/>
        <v>0.26557498153164177</v>
      </c>
      <c r="L42" s="26">
        <f t="shared" si="17"/>
        <v>0.28321024126046296</v>
      </c>
      <c r="M42" s="26">
        <f t="shared" si="17"/>
        <v>0.31659065890863314</v>
      </c>
    </row>
    <row r="44" spans="1:14" x14ac:dyDescent="0.3">
      <c r="B44" s="30" t="s">
        <v>105</v>
      </c>
      <c r="D44" s="29">
        <f>IFERROR(IF(D41&lt;D38,1-D41/D38,0),0)</f>
        <v>0.4183275261324032</v>
      </c>
      <c r="E44" s="29">
        <f t="shared" ref="E44:M44" si="18">IFERROR(IF(E41&lt;E38,1-E41/E38,0),0)</f>
        <v>0</v>
      </c>
      <c r="F44" s="29">
        <f t="shared" si="18"/>
        <v>0</v>
      </c>
      <c r="G44" s="29">
        <f t="shared" si="18"/>
        <v>0.51917098445595711</v>
      </c>
      <c r="H44" s="29">
        <f t="shared" si="18"/>
        <v>0.60825515947467024</v>
      </c>
      <c r="I44" s="29">
        <f t="shared" si="18"/>
        <v>0</v>
      </c>
      <c r="J44" s="29">
        <f t="shared" si="18"/>
        <v>0.76943231441048021</v>
      </c>
      <c r="K44" s="29">
        <f t="shared" si="18"/>
        <v>0.73442501846835828</v>
      </c>
      <c r="L44" s="29">
        <f t="shared" si="18"/>
        <v>0.7167897587395371</v>
      </c>
      <c r="M44" s="29">
        <f t="shared" si="18"/>
        <v>0.68340934109136686</v>
      </c>
    </row>
    <row r="47" spans="1:14" x14ac:dyDescent="0.3">
      <c r="A47" t="s">
        <v>84</v>
      </c>
      <c r="B47" s="72" t="s">
        <v>106</v>
      </c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 spans="1:14" x14ac:dyDescent="0.3">
      <c r="B48" s="6" t="s">
        <v>24</v>
      </c>
      <c r="D48" s="24">
        <f>IFERROR('Data Sheet'!B57,0)</f>
        <v>69.56</v>
      </c>
      <c r="E48" s="24">
        <f>IFERROR('Data Sheet'!C57,0)</f>
        <v>69.56</v>
      </c>
      <c r="F48" s="24">
        <f>IFERROR('Data Sheet'!D57,0)</f>
        <v>69.56</v>
      </c>
      <c r="G48" s="24">
        <f>IFERROR('Data Sheet'!E57,0)</f>
        <v>69.599999999999994</v>
      </c>
      <c r="H48" s="24">
        <f>IFERROR('Data Sheet'!F57,0)</f>
        <v>69.599999999999994</v>
      </c>
      <c r="I48" s="24">
        <f>IFERROR('Data Sheet'!G57,0)</f>
        <v>71.900000000000006</v>
      </c>
      <c r="J48" s="24">
        <f>IFERROR('Data Sheet'!H57,0)</f>
        <v>71.900000000000006</v>
      </c>
      <c r="K48" s="24">
        <f>IFERROR('Data Sheet'!I57,0)</f>
        <v>71.900000000000006</v>
      </c>
      <c r="L48" s="24">
        <f>IFERROR('Data Sheet'!J57,0)</f>
        <v>71.900000000000006</v>
      </c>
      <c r="M48" s="24">
        <f>IFERROR('Data Sheet'!K57,0)</f>
        <v>71.900000000000006</v>
      </c>
    </row>
    <row r="49" spans="2:13" x14ac:dyDescent="0.3">
      <c r="B49" s="6" t="s">
        <v>25</v>
      </c>
      <c r="D49" s="24">
        <f>IFERROR('Data Sheet'!B58,0)</f>
        <v>3261.57</v>
      </c>
      <c r="E49" s="24">
        <f>IFERROR('Data Sheet'!C58,0)</f>
        <v>3243.64</v>
      </c>
      <c r="F49" s="24">
        <f>IFERROR('Data Sheet'!D58,0)</f>
        <v>3181.94</v>
      </c>
      <c r="G49" s="24">
        <f>IFERROR('Data Sheet'!E58,0)</f>
        <v>3263.9</v>
      </c>
      <c r="H49" s="24">
        <f>IFERROR('Data Sheet'!F58,0)</f>
        <v>3269.5</v>
      </c>
      <c r="I49" s="24">
        <f>IFERROR('Data Sheet'!G58,0)</f>
        <v>4530.6000000000004</v>
      </c>
      <c r="J49" s="24">
        <f>IFERROR('Data Sheet'!H58,0)</f>
        <v>5551.4</v>
      </c>
      <c r="K49" s="24">
        <f>IFERROR('Data Sheet'!I58,0)</f>
        <v>6125.5</v>
      </c>
      <c r="L49" s="24">
        <f>IFERROR('Data Sheet'!J58,0)</f>
        <v>6863.5</v>
      </c>
      <c r="M49" s="24">
        <f>IFERROR('Data Sheet'!K58,0)</f>
        <v>8140.4</v>
      </c>
    </row>
    <row r="50" spans="2:13" x14ac:dyDescent="0.3">
      <c r="B50" s="6" t="s">
        <v>61</v>
      </c>
      <c r="D50" s="24">
        <f>IFERROR('Data Sheet'!B59,0)</f>
        <v>2833.52</v>
      </c>
      <c r="E50" s="24">
        <f>IFERROR('Data Sheet'!C59,0)</f>
        <v>3125.29</v>
      </c>
      <c r="F50" s="24">
        <f>IFERROR('Data Sheet'!D59,0)</f>
        <v>3426.64</v>
      </c>
      <c r="G50" s="24">
        <f>IFERROR('Data Sheet'!E59,0)</f>
        <v>3673.2</v>
      </c>
      <c r="H50" s="24">
        <f>IFERROR('Data Sheet'!F59,0)</f>
        <v>3595.6</v>
      </c>
      <c r="I50" s="24">
        <f>IFERROR('Data Sheet'!G59,0)</f>
        <v>4159.8</v>
      </c>
      <c r="J50" s="24">
        <f>IFERROR('Data Sheet'!H59,0)</f>
        <v>4068.1</v>
      </c>
      <c r="K50" s="24">
        <f>IFERROR('Data Sheet'!I59,0)</f>
        <v>4332.3999999999996</v>
      </c>
      <c r="L50" s="24">
        <f>IFERROR('Data Sheet'!J59,0)</f>
        <v>5332.6</v>
      </c>
      <c r="M50" s="24">
        <f>IFERROR('Data Sheet'!K59,0)</f>
        <v>7864.3</v>
      </c>
    </row>
    <row r="51" spans="2:13" x14ac:dyDescent="0.3">
      <c r="B51" s="6" t="s">
        <v>62</v>
      </c>
      <c r="D51" s="24">
        <f>IFERROR('Data Sheet'!B60,0)</f>
        <v>1195.1500000000001</v>
      </c>
      <c r="E51" s="24">
        <f>IFERROR('Data Sheet'!C60,0)</f>
        <v>1664.52</v>
      </c>
      <c r="F51" s="24">
        <f>IFERROR('Data Sheet'!D60,0)</f>
        <v>1917.48</v>
      </c>
      <c r="G51" s="24">
        <f>IFERROR('Data Sheet'!E60,0)</f>
        <v>2159.1999999999998</v>
      </c>
      <c r="H51" s="24">
        <f>IFERROR('Data Sheet'!F60,0)</f>
        <v>4354.1000000000004</v>
      </c>
      <c r="I51" s="24">
        <f>IFERROR('Data Sheet'!G60,0)</f>
        <v>2629.3</v>
      </c>
      <c r="J51" s="24">
        <f>IFERROR('Data Sheet'!H60,0)</f>
        <v>3569.6</v>
      </c>
      <c r="K51" s="24">
        <f>IFERROR('Data Sheet'!I60,0)</f>
        <v>3885.9</v>
      </c>
      <c r="L51" s="24">
        <f>IFERROR('Data Sheet'!J60,0)</f>
        <v>4474.2</v>
      </c>
      <c r="M51" s="24">
        <f>IFERROR('Data Sheet'!K60,0)</f>
        <v>4580.8</v>
      </c>
    </row>
    <row r="52" spans="2:13" ht="15" thickBot="1" x14ac:dyDescent="0.35">
      <c r="B52" s="74" t="s">
        <v>107</v>
      </c>
      <c r="C52" s="48"/>
      <c r="D52" s="49">
        <f>IFERROR('Data Sheet'!B61,0)</f>
        <v>7359.8</v>
      </c>
      <c r="E52" s="49">
        <f>IFERROR('Data Sheet'!C61,0)</f>
        <v>8103.01</v>
      </c>
      <c r="F52" s="49">
        <f>IFERROR('Data Sheet'!D61,0)</f>
        <v>8595.6200000000008</v>
      </c>
      <c r="G52" s="49">
        <f>IFERROR('Data Sheet'!E61,0)</f>
        <v>9165.9</v>
      </c>
      <c r="H52" s="49">
        <f>IFERROR('Data Sheet'!F61,0)</f>
        <v>11288.8</v>
      </c>
      <c r="I52" s="49">
        <f>IFERROR('Data Sheet'!G61,0)</f>
        <v>11391.6</v>
      </c>
      <c r="J52" s="49">
        <f>IFERROR('Data Sheet'!H61,0)</f>
        <v>13261</v>
      </c>
      <c r="K52" s="49">
        <f>IFERROR('Data Sheet'!I61,0)</f>
        <v>14415.7</v>
      </c>
      <c r="L52" s="49">
        <f>IFERROR('Data Sheet'!J61,0)</f>
        <v>16742.2</v>
      </c>
      <c r="M52" s="49">
        <f>IFERROR('Data Sheet'!K61,0)</f>
        <v>20657.400000000001</v>
      </c>
    </row>
    <row r="53" spans="2:13" x14ac:dyDescent="0.3">
      <c r="B53" s="1"/>
    </row>
    <row r="54" spans="2:13" x14ac:dyDescent="0.3">
      <c r="B54" s="6" t="s">
        <v>109</v>
      </c>
      <c r="D54" s="24">
        <f>IFERROR('Data Sheet'!B62,0)</f>
        <v>3997.42</v>
      </c>
      <c r="E54" s="24">
        <f>IFERROR('Data Sheet'!C62,0)</f>
        <v>4591.0600000000004</v>
      </c>
      <c r="F54" s="24">
        <f>IFERROR('Data Sheet'!D62,0)</f>
        <v>4772.8599999999997</v>
      </c>
      <c r="G54" s="24">
        <f>IFERROR('Data Sheet'!E62,0)</f>
        <v>4981.6000000000004</v>
      </c>
      <c r="H54" s="24">
        <f>IFERROR('Data Sheet'!F62,0)</f>
        <v>7432.1</v>
      </c>
      <c r="I54" s="24">
        <f>IFERROR('Data Sheet'!G62,0)</f>
        <v>6778.3</v>
      </c>
      <c r="J54" s="24">
        <f>IFERROR('Data Sheet'!H62,0)</f>
        <v>8295.6</v>
      </c>
      <c r="K54" s="24">
        <f>IFERROR('Data Sheet'!I62,0)</f>
        <v>8519.7999999999993</v>
      </c>
      <c r="L54" s="24">
        <f>IFERROR('Data Sheet'!J62,0)</f>
        <v>9663.9</v>
      </c>
      <c r="M54" s="24">
        <f>IFERROR('Data Sheet'!K62,0)</f>
        <v>11138.2</v>
      </c>
    </row>
    <row r="55" spans="2:13" x14ac:dyDescent="0.3">
      <c r="B55" s="6" t="s">
        <v>28</v>
      </c>
      <c r="D55" s="24">
        <f>IFERROR('Data Sheet'!B63,0)</f>
        <v>561.55999999999995</v>
      </c>
      <c r="E55" s="24">
        <f>IFERROR('Data Sheet'!C63,0)</f>
        <v>346.86</v>
      </c>
      <c r="F55" s="24">
        <f>IFERROR('Data Sheet'!D63,0)</f>
        <v>712.2</v>
      </c>
      <c r="G55" s="24">
        <f>IFERROR('Data Sheet'!E63,0)</f>
        <v>821.8</v>
      </c>
      <c r="H55" s="24">
        <f>IFERROR('Data Sheet'!F63,0)</f>
        <v>235.6</v>
      </c>
      <c r="I55" s="24">
        <f>IFERROR('Data Sheet'!G63,0)</f>
        <v>233.9</v>
      </c>
      <c r="J55" s="24">
        <f>IFERROR('Data Sheet'!H63,0)</f>
        <v>45.5</v>
      </c>
      <c r="K55" s="24">
        <f>IFERROR('Data Sheet'!I63,0)</f>
        <v>609.9</v>
      </c>
      <c r="L55" s="24">
        <f>IFERROR('Data Sheet'!J63,0)</f>
        <v>872.8</v>
      </c>
      <c r="M55" s="24">
        <f>IFERROR('Data Sheet'!K63,0)</f>
        <v>771</v>
      </c>
    </row>
    <row r="56" spans="2:13" x14ac:dyDescent="0.3">
      <c r="B56" s="6" t="s">
        <v>29</v>
      </c>
      <c r="D56" s="24">
        <f>IFERROR('Data Sheet'!B64,0)</f>
        <v>352.38</v>
      </c>
      <c r="E56" s="24">
        <f>IFERROR('Data Sheet'!C64,0)</f>
        <v>406.05</v>
      </c>
      <c r="F56" s="24">
        <f>IFERROR('Data Sheet'!D64,0)</f>
        <v>351.99</v>
      </c>
      <c r="G56" s="24">
        <f>IFERROR('Data Sheet'!E64,0)</f>
        <v>461.6</v>
      </c>
      <c r="H56" s="24">
        <f>IFERROR('Data Sheet'!F64,0)</f>
        <v>434.1</v>
      </c>
      <c r="I56" s="24">
        <f>IFERROR('Data Sheet'!G64,0)</f>
        <v>1342.7</v>
      </c>
      <c r="J56" s="24">
        <f>IFERROR('Data Sheet'!H64,0)</f>
        <v>816.1</v>
      </c>
      <c r="K56" s="24">
        <f>IFERROR('Data Sheet'!I64,0)</f>
        <v>573.6</v>
      </c>
      <c r="L56" s="24">
        <f>IFERROR('Data Sheet'!J64,0)</f>
        <v>986.1</v>
      </c>
      <c r="M56" s="24">
        <f>IFERROR('Data Sheet'!K64,0)</f>
        <v>2486.8000000000002</v>
      </c>
    </row>
    <row r="57" spans="2:13" x14ac:dyDescent="0.3">
      <c r="B57" s="6" t="s">
        <v>63</v>
      </c>
      <c r="D57" s="24">
        <f>IFERROR('Data Sheet'!B65-SUM('Data Sheet'!B67:B69),0)</f>
        <v>1054.1500000000001</v>
      </c>
      <c r="E57" s="24">
        <f>IFERROR('Data Sheet'!C65-SUM('Data Sheet'!C67:C69),0)</f>
        <v>1017.1399999999999</v>
      </c>
      <c r="F57" s="24">
        <f>IFERROR('Data Sheet'!D65-SUM('Data Sheet'!D67:D69),0)</f>
        <v>950.29</v>
      </c>
      <c r="G57" s="24">
        <f>IFERROR('Data Sheet'!E65-SUM('Data Sheet'!E67:E69),0)</f>
        <v>946</v>
      </c>
      <c r="H57" s="24">
        <f>IFERROR('Data Sheet'!F65-SUM('Data Sheet'!F67:F69),0)</f>
        <v>955.19999999999982</v>
      </c>
      <c r="I57" s="24">
        <f>IFERROR('Data Sheet'!G65-SUM('Data Sheet'!G67:G69),0)</f>
        <v>731.69999999999982</v>
      </c>
      <c r="J57" s="24">
        <f>IFERROR('Data Sheet'!H65-SUM('Data Sheet'!H67:H69),0)</f>
        <v>983.20000000000027</v>
      </c>
      <c r="K57" s="24">
        <f>IFERROR('Data Sheet'!I65-SUM('Data Sheet'!I67:I69),0)</f>
        <v>1312.3000000000002</v>
      </c>
      <c r="L57" s="24">
        <f>IFERROR('Data Sheet'!J65-SUM('Data Sheet'!J67:J69),0)</f>
        <v>1310.8999999999996</v>
      </c>
      <c r="M57" s="24">
        <f>IFERROR('Data Sheet'!K65-SUM('Data Sheet'!K67:K69),0)</f>
        <v>1404.2999999999993</v>
      </c>
    </row>
    <row r="58" spans="2:13" x14ac:dyDescent="0.3">
      <c r="B58" s="45" t="s">
        <v>110</v>
      </c>
      <c r="C58" s="46"/>
      <c r="D58" s="44">
        <f>IFERROR(SUM(D54:D57),0)</f>
        <v>5965.51</v>
      </c>
      <c r="E58" s="44">
        <f t="shared" ref="E58:M58" si="19">IFERROR(SUM(E54:E57),0)</f>
        <v>6361.1100000000006</v>
      </c>
      <c r="F58" s="44">
        <f t="shared" si="19"/>
        <v>6787.3399999999992</v>
      </c>
      <c r="G58" s="44">
        <f t="shared" si="19"/>
        <v>7211.0000000000009</v>
      </c>
      <c r="H58" s="44">
        <f t="shared" si="19"/>
        <v>9057</v>
      </c>
      <c r="I58" s="44">
        <f t="shared" si="19"/>
        <v>9086.5999999999985</v>
      </c>
      <c r="J58" s="44">
        <f t="shared" si="19"/>
        <v>10140.400000000001</v>
      </c>
      <c r="K58" s="44">
        <f t="shared" si="19"/>
        <v>11015.599999999999</v>
      </c>
      <c r="L58" s="44">
        <f t="shared" si="19"/>
        <v>12833.699999999999</v>
      </c>
      <c r="M58" s="44">
        <f t="shared" si="19"/>
        <v>15800.3</v>
      </c>
    </row>
    <row r="59" spans="2:13" x14ac:dyDescent="0.3">
      <c r="B59" s="1"/>
    </row>
    <row r="60" spans="2:13" x14ac:dyDescent="0.3">
      <c r="B60" s="6" t="s">
        <v>68</v>
      </c>
      <c r="D60" s="24">
        <f>IFERROR('Data Sheet'!B67,0)</f>
        <v>609.37</v>
      </c>
      <c r="E60" s="24">
        <f>IFERROR('Data Sheet'!C67,0)</f>
        <v>750.53</v>
      </c>
      <c r="F60" s="24">
        <f>IFERROR('Data Sheet'!D67,0)</f>
        <v>825.19</v>
      </c>
      <c r="G60" s="24">
        <f>IFERROR('Data Sheet'!E67,0)</f>
        <v>1023.2</v>
      </c>
      <c r="H60" s="24">
        <f>IFERROR('Data Sheet'!F67,0)</f>
        <v>1027.2</v>
      </c>
      <c r="I60" s="24">
        <f>IFERROR('Data Sheet'!G67,0)</f>
        <v>1331.1</v>
      </c>
      <c r="J60" s="24">
        <f>IFERROR('Data Sheet'!H67,0)</f>
        <v>1764.7</v>
      </c>
      <c r="K60" s="24">
        <f>IFERROR('Data Sheet'!I67,0)</f>
        <v>2234.1999999999998</v>
      </c>
      <c r="L60" s="24">
        <f>IFERROR('Data Sheet'!J67,0)</f>
        <v>2514.9</v>
      </c>
      <c r="M60" s="24">
        <f>IFERROR('Data Sheet'!K67,0)</f>
        <v>3016.1</v>
      </c>
    </row>
    <row r="61" spans="2:13" x14ac:dyDescent="0.3">
      <c r="B61" s="6" t="s">
        <v>44</v>
      </c>
      <c r="D61" s="24">
        <f>IFERROR('Data Sheet'!B68,0)</f>
        <v>406.13</v>
      </c>
      <c r="E61" s="24">
        <f>IFERROR('Data Sheet'!C68,0)</f>
        <v>466.87</v>
      </c>
      <c r="F61" s="24">
        <f>IFERROR('Data Sheet'!D68,0)</f>
        <v>565.84</v>
      </c>
      <c r="G61" s="24">
        <f>IFERROR('Data Sheet'!E68,0)</f>
        <v>584.79999999999995</v>
      </c>
      <c r="H61" s="24">
        <f>IFERROR('Data Sheet'!F68,0)</f>
        <v>737.8</v>
      </c>
      <c r="I61" s="24">
        <f>IFERROR('Data Sheet'!G68,0)</f>
        <v>249.5</v>
      </c>
      <c r="J61" s="24">
        <f>IFERROR('Data Sheet'!H68,0)</f>
        <v>431.9</v>
      </c>
      <c r="K61" s="24">
        <f>IFERROR('Data Sheet'!I68,0)</f>
        <v>390.1</v>
      </c>
      <c r="L61" s="24">
        <f>IFERROR('Data Sheet'!J68,0)</f>
        <v>459.8</v>
      </c>
      <c r="M61" s="24">
        <f>IFERROR('Data Sheet'!K68,0)</f>
        <v>480.8</v>
      </c>
    </row>
    <row r="62" spans="2:13" x14ac:dyDescent="0.3">
      <c r="B62" s="4" t="s">
        <v>77</v>
      </c>
      <c r="D62" s="24">
        <f>IFERROR('Data Sheet'!B69,0)</f>
        <v>378.79</v>
      </c>
      <c r="E62" s="24">
        <f>IFERROR('Data Sheet'!C69,0)</f>
        <v>524.5</v>
      </c>
      <c r="F62" s="24">
        <f>IFERROR('Data Sheet'!D69,0)</f>
        <v>417.25</v>
      </c>
      <c r="G62" s="24">
        <f>IFERROR('Data Sheet'!E69,0)</f>
        <v>346.9</v>
      </c>
      <c r="H62" s="24">
        <f>IFERROR('Data Sheet'!F69,0)</f>
        <v>466.8</v>
      </c>
      <c r="I62" s="24">
        <f>IFERROR('Data Sheet'!G69,0)</f>
        <v>724.4</v>
      </c>
      <c r="J62" s="24">
        <f>IFERROR('Data Sheet'!H69,0)</f>
        <v>924</v>
      </c>
      <c r="K62" s="24">
        <f>IFERROR('Data Sheet'!I69,0)</f>
        <v>775.8</v>
      </c>
      <c r="L62" s="24">
        <f>IFERROR('Data Sheet'!J69,0)</f>
        <v>933.8</v>
      </c>
      <c r="M62" s="24">
        <f>IFERROR('Data Sheet'!K69,0)</f>
        <v>1360.2</v>
      </c>
    </row>
    <row r="63" spans="2:13" x14ac:dyDescent="0.3">
      <c r="B63" s="45" t="s">
        <v>111</v>
      </c>
      <c r="C63" s="46"/>
      <c r="D63" s="44">
        <f>IFERROR(SUM(D60:D62),0)</f>
        <v>1394.29</v>
      </c>
      <c r="E63" s="44">
        <f t="shared" ref="E63:M63" si="20">IFERROR(SUM(E60:E62),0)</f>
        <v>1741.9</v>
      </c>
      <c r="F63" s="44">
        <f t="shared" si="20"/>
        <v>1808.2800000000002</v>
      </c>
      <c r="G63" s="44">
        <f t="shared" si="20"/>
        <v>1954.9</v>
      </c>
      <c r="H63" s="44">
        <f t="shared" si="20"/>
        <v>2231.8000000000002</v>
      </c>
      <c r="I63" s="44">
        <f t="shared" si="20"/>
        <v>2305</v>
      </c>
      <c r="J63" s="44">
        <f t="shared" si="20"/>
        <v>3120.6</v>
      </c>
      <c r="K63" s="44">
        <f t="shared" si="20"/>
        <v>3400.0999999999995</v>
      </c>
      <c r="L63" s="44">
        <f t="shared" si="20"/>
        <v>3908.5</v>
      </c>
      <c r="M63" s="44">
        <f t="shared" si="20"/>
        <v>4857.1000000000004</v>
      </c>
    </row>
    <row r="65" spans="1:14" ht="15" thickBot="1" x14ac:dyDescent="0.35">
      <c r="B65" s="74" t="s">
        <v>108</v>
      </c>
      <c r="C65" s="48"/>
      <c r="D65" s="49">
        <f>IFERROR(SUM(D63,D58),0)</f>
        <v>7359.8</v>
      </c>
      <c r="E65" s="49">
        <f t="shared" ref="E65:M65" si="21">IFERROR(SUM(E63,E58),0)</f>
        <v>8103.01</v>
      </c>
      <c r="F65" s="49">
        <f t="shared" si="21"/>
        <v>8595.619999999999</v>
      </c>
      <c r="G65" s="49">
        <f t="shared" si="21"/>
        <v>9165.9000000000015</v>
      </c>
      <c r="H65" s="49">
        <f t="shared" si="21"/>
        <v>11288.8</v>
      </c>
      <c r="I65" s="49">
        <f t="shared" si="21"/>
        <v>11391.599999999999</v>
      </c>
      <c r="J65" s="49">
        <f t="shared" si="21"/>
        <v>13261.000000000002</v>
      </c>
      <c r="K65" s="49">
        <f t="shared" si="21"/>
        <v>14415.699999999997</v>
      </c>
      <c r="L65" s="49">
        <f t="shared" si="21"/>
        <v>16742.199999999997</v>
      </c>
      <c r="M65" s="49">
        <f t="shared" si="21"/>
        <v>20657.400000000001</v>
      </c>
    </row>
    <row r="67" spans="1:14" x14ac:dyDescent="0.3">
      <c r="B67" s="31" t="s">
        <v>112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84</v>
      </c>
      <c r="B70" s="72" t="s">
        <v>140</v>
      </c>
      <c r="C70" s="72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</row>
    <row r="71" spans="1:14" x14ac:dyDescent="0.3">
      <c r="B71" s="2" t="s">
        <v>141</v>
      </c>
    </row>
    <row r="72" spans="1:14" x14ac:dyDescent="0.3">
      <c r="B72" t="s">
        <v>113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68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44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114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115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116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117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118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42" t="s">
        <v>139</v>
      </c>
      <c r="C80" s="46"/>
      <c r="D80" s="44">
        <f>IFERROR(SUM(D72:D79),0)</f>
        <v>31860</v>
      </c>
      <c r="E80" s="44">
        <f t="shared" ref="E80:M80" si="23">IFERROR(SUM(E72:E79),0)</f>
        <v>39212</v>
      </c>
      <c r="F80" s="44">
        <f t="shared" si="23"/>
        <v>33454</v>
      </c>
      <c r="G80" s="44">
        <f t="shared" si="23"/>
        <v>17423</v>
      </c>
      <c r="H80" s="44">
        <f t="shared" si="23"/>
        <v>11671</v>
      </c>
      <c r="I80" s="44">
        <f t="shared" si="23"/>
        <v>31698</v>
      </c>
      <c r="J80" s="44">
        <f t="shared" si="23"/>
        <v>28907</v>
      </c>
      <c r="K80" s="44">
        <f t="shared" si="23"/>
        <v>3532</v>
      </c>
      <c r="L80" s="44">
        <f t="shared" si="23"/>
        <v>32261</v>
      </c>
      <c r="M80" s="44">
        <f t="shared" si="23"/>
        <v>75241</v>
      </c>
    </row>
    <row r="82" spans="2:13" x14ac:dyDescent="0.3">
      <c r="B82" s="2" t="s">
        <v>142</v>
      </c>
    </row>
    <row r="83" spans="2:13" x14ac:dyDescent="0.3">
      <c r="B83" t="s">
        <v>119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120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121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122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123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124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125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126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127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128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129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42" t="s">
        <v>143</v>
      </c>
      <c r="C94" s="46"/>
      <c r="D94" s="44">
        <f>SUM(D83:D93)</f>
        <v>-36233</v>
      </c>
      <c r="E94" s="44">
        <f t="shared" ref="E94:M94" si="24">SUM(E83:E93)</f>
        <v>-36694</v>
      </c>
      <c r="F94" s="44">
        <f t="shared" si="24"/>
        <v>-39572</v>
      </c>
      <c r="G94" s="44">
        <f t="shared" si="24"/>
        <v>-25140</v>
      </c>
      <c r="H94" s="44">
        <f t="shared" si="24"/>
        <v>-20879</v>
      </c>
      <c r="I94" s="44">
        <f t="shared" si="24"/>
        <v>-33116</v>
      </c>
      <c r="J94" s="44">
        <f t="shared" si="24"/>
        <v>-25671</v>
      </c>
      <c r="K94" s="44">
        <f t="shared" si="24"/>
        <v>-4442</v>
      </c>
      <c r="L94" s="44">
        <f t="shared" si="24"/>
        <v>-15419</v>
      </c>
      <c r="M94" s="44">
        <f t="shared" si="24"/>
        <v>-22780</v>
      </c>
    </row>
    <row r="96" spans="2:13" x14ac:dyDescent="0.3">
      <c r="B96" s="2" t="s">
        <v>144</v>
      </c>
    </row>
    <row r="97" spans="2:13" x14ac:dyDescent="0.3">
      <c r="B97" t="s">
        <v>130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131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132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133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134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135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136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137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42" t="s">
        <v>145</v>
      </c>
      <c r="C105" s="46"/>
      <c r="D105" s="44">
        <f>SUM(D97:D104)</f>
        <v>5203</v>
      </c>
      <c r="E105" s="44">
        <f t="shared" ref="E105:M105" si="25">SUM(E97:E104)</f>
        <v>-3796</v>
      </c>
      <c r="F105" s="44">
        <f t="shared" si="25"/>
        <v>6206</v>
      </c>
      <c r="G105" s="44">
        <f t="shared" si="25"/>
        <v>2011</v>
      </c>
      <c r="H105" s="44">
        <f t="shared" si="25"/>
        <v>8830</v>
      </c>
      <c r="I105" s="44">
        <f t="shared" si="25"/>
        <v>3389</v>
      </c>
      <c r="J105" s="44">
        <f t="shared" si="25"/>
        <v>9905</v>
      </c>
      <c r="K105" s="44">
        <f t="shared" si="25"/>
        <v>-3379</v>
      </c>
      <c r="L105" s="44">
        <f t="shared" si="25"/>
        <v>-26242</v>
      </c>
      <c r="M105" s="44">
        <f t="shared" si="25"/>
        <v>-37006</v>
      </c>
    </row>
    <row r="107" spans="2:13" ht="15" thickBot="1" x14ac:dyDescent="0.35">
      <c r="B107" s="47" t="s">
        <v>35</v>
      </c>
      <c r="C107" s="48"/>
      <c r="D107" s="49">
        <f>IFERROR(D105+D94+D80,0)</f>
        <v>830</v>
      </c>
      <c r="E107" s="49">
        <f t="shared" ref="E107:M107" si="26">IFERROR(E105+E94+E80,0)</f>
        <v>-1278</v>
      </c>
      <c r="F107" s="49">
        <f t="shared" si="26"/>
        <v>88</v>
      </c>
      <c r="G107" s="49">
        <f t="shared" si="26"/>
        <v>-5706</v>
      </c>
      <c r="H107" s="49">
        <f t="shared" si="26"/>
        <v>-378</v>
      </c>
      <c r="I107" s="49">
        <f t="shared" si="26"/>
        <v>1971</v>
      </c>
      <c r="J107" s="49">
        <f t="shared" si="26"/>
        <v>13141</v>
      </c>
      <c r="K107" s="49">
        <f t="shared" si="26"/>
        <v>-4289</v>
      </c>
      <c r="L107" s="49">
        <f t="shared" si="26"/>
        <v>-9400</v>
      </c>
      <c r="M107" s="49">
        <f t="shared" si="26"/>
        <v>15455</v>
      </c>
    </row>
  </sheetData>
  <mergeCells count="1">
    <mergeCell ref="B2:N2"/>
  </mergeCells>
  <pageMargins left="0.7" right="0.7" top="0.75" bottom="0.75" header="0.3" footer="0.3"/>
  <pageSetup orientation="portrait" r:id="rId1"/>
  <ignoredErrors>
    <ignoredError sqref="N5 N8 D14:N14 N24 N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B3" sqref="B3"/>
    </sheetView>
  </sheetViews>
  <sheetFormatPr defaultRowHeight="14.4" x14ac:dyDescent="0.3"/>
  <cols>
    <col min="2" max="2" width="27" customWidth="1"/>
  </cols>
  <sheetData>
    <row r="2" spans="2:14" x14ac:dyDescent="0.3">
      <c r="B2" s="62" t="s">
        <v>97</v>
      </c>
      <c r="C2" s="63">
        <v>41334</v>
      </c>
      <c r="D2" s="63">
        <v>41699</v>
      </c>
      <c r="E2" s="63">
        <v>42064</v>
      </c>
      <c r="F2" s="63">
        <v>42430</v>
      </c>
      <c r="G2" s="63">
        <v>42795</v>
      </c>
      <c r="H2" s="63">
        <v>43160</v>
      </c>
      <c r="I2" s="63">
        <v>43525</v>
      </c>
      <c r="J2" s="63">
        <v>43891</v>
      </c>
      <c r="K2" s="63">
        <v>44256</v>
      </c>
      <c r="L2" s="63">
        <v>44621</v>
      </c>
      <c r="M2" s="63">
        <v>44986</v>
      </c>
      <c r="N2" s="63">
        <v>45352</v>
      </c>
    </row>
    <row r="3" spans="2:14" x14ac:dyDescent="0.3">
      <c r="B3" t="s">
        <v>32</v>
      </c>
      <c r="C3" s="60">
        <v>22163</v>
      </c>
      <c r="D3" s="60">
        <v>36151</v>
      </c>
      <c r="E3" s="60">
        <v>35531</v>
      </c>
      <c r="F3" s="60">
        <v>37900</v>
      </c>
      <c r="G3" s="60">
        <v>30199</v>
      </c>
      <c r="H3" s="60">
        <v>23857</v>
      </c>
      <c r="I3" s="60">
        <v>18891</v>
      </c>
      <c r="J3" s="60">
        <v>26633</v>
      </c>
      <c r="K3" s="60">
        <v>29001</v>
      </c>
      <c r="L3" s="60">
        <v>14283</v>
      </c>
      <c r="M3" s="60">
        <v>35388</v>
      </c>
      <c r="N3" s="60">
        <v>67915</v>
      </c>
    </row>
    <row r="4" spans="2:14" x14ac:dyDescent="0.3">
      <c r="B4" t="s">
        <v>113</v>
      </c>
      <c r="C4" s="60">
        <v>24406</v>
      </c>
      <c r="D4" s="60">
        <v>36303</v>
      </c>
      <c r="E4" s="60">
        <v>43397</v>
      </c>
      <c r="F4" s="60">
        <v>38626</v>
      </c>
      <c r="G4" s="60">
        <v>28840</v>
      </c>
      <c r="H4" s="60">
        <v>33312</v>
      </c>
      <c r="I4" s="60">
        <v>28771</v>
      </c>
      <c r="J4" s="60">
        <v>23352</v>
      </c>
      <c r="K4" s="60">
        <v>31198</v>
      </c>
      <c r="L4" s="60">
        <v>26943</v>
      </c>
      <c r="M4" s="60">
        <v>41694</v>
      </c>
      <c r="N4" s="60">
        <v>65106</v>
      </c>
    </row>
    <row r="5" spans="2:14" x14ac:dyDescent="0.3">
      <c r="B5" t="s">
        <v>68</v>
      </c>
      <c r="C5" s="60">
        <v>-5177</v>
      </c>
      <c r="D5" s="61">
        <v>445</v>
      </c>
      <c r="E5" s="60">
        <v>-3179</v>
      </c>
      <c r="F5" s="60">
        <v>-2223</v>
      </c>
      <c r="G5" s="60">
        <v>-4152</v>
      </c>
      <c r="H5" s="60">
        <v>-10688</v>
      </c>
      <c r="I5" s="60">
        <v>-9109</v>
      </c>
      <c r="J5" s="60">
        <v>9950</v>
      </c>
      <c r="K5" s="60">
        <v>-5505</v>
      </c>
      <c r="L5" s="61">
        <v>185</v>
      </c>
      <c r="M5" s="60">
        <v>-2213</v>
      </c>
      <c r="N5" s="60">
        <v>-1875</v>
      </c>
    </row>
    <row r="6" spans="2:14" x14ac:dyDescent="0.3">
      <c r="B6" t="s">
        <v>44</v>
      </c>
      <c r="C6" s="60">
        <v>-2656</v>
      </c>
      <c r="D6" s="60">
        <v>-2853</v>
      </c>
      <c r="E6" s="60">
        <v>-3692</v>
      </c>
      <c r="F6" s="60">
        <v>-5743</v>
      </c>
      <c r="G6" s="60">
        <v>-6621</v>
      </c>
      <c r="H6" s="60">
        <v>-3560</v>
      </c>
      <c r="I6" s="60">
        <v>2069</v>
      </c>
      <c r="J6" s="60">
        <v>2326</v>
      </c>
      <c r="K6" s="60">
        <v>3814</v>
      </c>
      <c r="L6" s="61">
        <v>472</v>
      </c>
      <c r="M6" s="60">
        <v>-5665</v>
      </c>
      <c r="N6" s="60">
        <v>-7265</v>
      </c>
    </row>
    <row r="7" spans="2:14" x14ac:dyDescent="0.3">
      <c r="B7" t="s">
        <v>114</v>
      </c>
      <c r="C7" s="60">
        <v>8132</v>
      </c>
      <c r="D7" s="60">
        <v>4694</v>
      </c>
      <c r="E7" s="60">
        <v>3598</v>
      </c>
      <c r="F7" s="60">
        <v>3947</v>
      </c>
      <c r="G7" s="60">
        <v>9301</v>
      </c>
      <c r="H7" s="60">
        <v>7320</v>
      </c>
      <c r="I7" s="60">
        <v>-4692</v>
      </c>
      <c r="J7" s="60">
        <v>-8085</v>
      </c>
      <c r="K7" s="60">
        <v>5748</v>
      </c>
      <c r="L7" s="60">
        <v>-7012</v>
      </c>
      <c r="M7" s="60">
        <v>6945</v>
      </c>
      <c r="N7" s="60">
        <v>13706</v>
      </c>
    </row>
    <row r="8" spans="2:14" x14ac:dyDescent="0.3">
      <c r="B8" t="s">
        <v>115</v>
      </c>
      <c r="C8" s="61">
        <v>0</v>
      </c>
      <c r="D8" s="61">
        <v>0</v>
      </c>
      <c r="E8" s="61">
        <v>0</v>
      </c>
      <c r="F8" s="61">
        <v>-520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</row>
    <row r="9" spans="2:14" x14ac:dyDescent="0.3">
      <c r="B9" t="s">
        <v>116</v>
      </c>
      <c r="C9" s="61">
        <v>-303</v>
      </c>
      <c r="D9" s="60">
        <v>1870</v>
      </c>
      <c r="E9" s="61">
        <v>-398</v>
      </c>
      <c r="F9" s="60">
        <v>5852</v>
      </c>
      <c r="G9" s="60">
        <v>4727</v>
      </c>
      <c r="H9" s="61">
        <v>494</v>
      </c>
      <c r="I9" s="60">
        <v>4512</v>
      </c>
      <c r="J9" s="61">
        <v>875</v>
      </c>
      <c r="K9" s="60">
        <v>-4150</v>
      </c>
      <c r="L9" s="60">
        <v>-4396</v>
      </c>
      <c r="M9" s="60">
        <v>-2194</v>
      </c>
      <c r="N9" s="60">
        <v>2760</v>
      </c>
    </row>
    <row r="10" spans="2:14" x14ac:dyDescent="0.3">
      <c r="B10" t="s">
        <v>117</v>
      </c>
      <c r="C10" s="61">
        <v>-3</v>
      </c>
      <c r="D10" s="60">
        <v>4157</v>
      </c>
      <c r="E10" s="60">
        <v>-3672</v>
      </c>
      <c r="F10" s="60">
        <v>1313</v>
      </c>
      <c r="G10" s="60">
        <v>3254</v>
      </c>
      <c r="H10" s="60">
        <v>-6434</v>
      </c>
      <c r="I10" s="60">
        <v>-7221</v>
      </c>
      <c r="J10" s="60">
        <v>5065</v>
      </c>
      <c r="K10" s="61">
        <v>-93</v>
      </c>
      <c r="L10" s="60">
        <v>-10750</v>
      </c>
      <c r="M10" s="60">
        <v>-3127</v>
      </c>
      <c r="N10" s="60">
        <v>7325</v>
      </c>
    </row>
    <row r="11" spans="2:14" x14ac:dyDescent="0.3">
      <c r="B11" t="s">
        <v>118</v>
      </c>
      <c r="C11" s="60">
        <v>-2240</v>
      </c>
      <c r="D11" s="60">
        <v>-4308</v>
      </c>
      <c r="E11" s="60">
        <v>-4194</v>
      </c>
      <c r="F11" s="60">
        <v>-2040</v>
      </c>
      <c r="G11" s="60">
        <v>-1895</v>
      </c>
      <c r="H11" s="60">
        <v>-3021</v>
      </c>
      <c r="I11" s="60">
        <v>-2659</v>
      </c>
      <c r="J11" s="60">
        <v>-1785</v>
      </c>
      <c r="K11" s="60">
        <v>-2105</v>
      </c>
      <c r="L11" s="60">
        <v>-1910</v>
      </c>
      <c r="M11" s="60">
        <v>-3179</v>
      </c>
      <c r="N11" s="60">
        <v>-4516</v>
      </c>
    </row>
    <row r="12" spans="2:14" x14ac:dyDescent="0.3">
      <c r="B12" t="s">
        <v>33</v>
      </c>
      <c r="C12" s="60">
        <v>-22969</v>
      </c>
      <c r="D12" s="60">
        <v>-27991</v>
      </c>
      <c r="E12" s="60">
        <v>-36232</v>
      </c>
      <c r="F12" s="60">
        <v>-36694</v>
      </c>
      <c r="G12" s="60">
        <v>-39571</v>
      </c>
      <c r="H12" s="60">
        <v>-25139</v>
      </c>
      <c r="I12" s="60">
        <v>-20878</v>
      </c>
      <c r="J12" s="60">
        <v>-33115</v>
      </c>
      <c r="K12" s="60">
        <v>-25672</v>
      </c>
      <c r="L12" s="60">
        <v>-4444</v>
      </c>
      <c r="M12" s="60">
        <v>-15417</v>
      </c>
      <c r="N12" s="60">
        <v>-22782</v>
      </c>
    </row>
    <row r="13" spans="2:14" x14ac:dyDescent="0.3">
      <c r="B13" t="s">
        <v>119</v>
      </c>
      <c r="C13" s="60">
        <v>-18863</v>
      </c>
      <c r="D13" s="60">
        <v>-26975</v>
      </c>
      <c r="E13" s="60">
        <v>-31962</v>
      </c>
      <c r="F13" s="60">
        <v>-31503</v>
      </c>
      <c r="G13" s="60">
        <v>-16072</v>
      </c>
      <c r="H13" s="60">
        <v>-35079</v>
      </c>
      <c r="I13" s="60">
        <v>-35304</v>
      </c>
      <c r="J13" s="60">
        <v>-29702</v>
      </c>
      <c r="K13" s="60">
        <v>-20205</v>
      </c>
      <c r="L13" s="60">
        <v>-15168</v>
      </c>
      <c r="M13" s="60">
        <v>-19230</v>
      </c>
      <c r="N13" s="60">
        <v>-31414</v>
      </c>
    </row>
    <row r="14" spans="2:14" x14ac:dyDescent="0.3">
      <c r="B14" t="s">
        <v>120</v>
      </c>
      <c r="C14" s="61">
        <v>37</v>
      </c>
      <c r="D14" s="61">
        <v>50</v>
      </c>
      <c r="E14" s="61">
        <v>74</v>
      </c>
      <c r="F14" s="61">
        <v>59</v>
      </c>
      <c r="G14" s="61">
        <v>53</v>
      </c>
      <c r="H14" s="61">
        <v>30</v>
      </c>
      <c r="I14" s="61">
        <v>67</v>
      </c>
      <c r="J14" s="61">
        <v>171</v>
      </c>
      <c r="K14" s="61">
        <v>351</v>
      </c>
      <c r="L14" s="61">
        <v>230</v>
      </c>
      <c r="M14" s="61">
        <v>285</v>
      </c>
      <c r="N14" s="61">
        <v>231</v>
      </c>
    </row>
    <row r="15" spans="2:14" x14ac:dyDescent="0.3">
      <c r="B15" t="s">
        <v>121</v>
      </c>
      <c r="C15" s="61">
        <v>73</v>
      </c>
      <c r="D15" s="61">
        <v>-429</v>
      </c>
      <c r="E15" s="60">
        <v>-5461</v>
      </c>
      <c r="F15" s="60">
        <v>-4728</v>
      </c>
      <c r="G15" s="61">
        <v>-6</v>
      </c>
      <c r="H15" s="61">
        <v>-329</v>
      </c>
      <c r="I15" s="61">
        <v>-130</v>
      </c>
      <c r="J15" s="60">
        <v>-1439</v>
      </c>
      <c r="K15" s="60">
        <v>-7530</v>
      </c>
      <c r="L15" s="60">
        <v>-3008</v>
      </c>
      <c r="M15" s="61">
        <v>-50</v>
      </c>
      <c r="N15" s="61">
        <v>-74</v>
      </c>
    </row>
    <row r="16" spans="2:14" x14ac:dyDescent="0.3">
      <c r="B16" t="s">
        <v>122</v>
      </c>
      <c r="C16" s="61">
        <v>34</v>
      </c>
      <c r="D16" s="61">
        <v>4</v>
      </c>
      <c r="E16" s="61">
        <v>42</v>
      </c>
      <c r="F16" s="61">
        <v>89</v>
      </c>
      <c r="G16" s="60">
        <v>1965</v>
      </c>
      <c r="H16" s="60">
        <v>2381</v>
      </c>
      <c r="I16" s="60">
        <v>5644</v>
      </c>
      <c r="J16" s="61">
        <v>21</v>
      </c>
      <c r="K16" s="61">
        <v>226</v>
      </c>
      <c r="L16" s="61">
        <v>104</v>
      </c>
      <c r="M16" s="60">
        <v>6895</v>
      </c>
      <c r="N16" s="60">
        <v>10820</v>
      </c>
    </row>
    <row r="17" spans="2:14" x14ac:dyDescent="0.3">
      <c r="B17" t="s">
        <v>123</v>
      </c>
      <c r="C17" s="61">
        <v>713</v>
      </c>
      <c r="D17" s="61">
        <v>653</v>
      </c>
      <c r="E17" s="61">
        <v>698</v>
      </c>
      <c r="F17" s="61">
        <v>731</v>
      </c>
      <c r="G17" s="61">
        <v>638</v>
      </c>
      <c r="H17" s="61">
        <v>690</v>
      </c>
      <c r="I17" s="61">
        <v>761</v>
      </c>
      <c r="J17" s="60">
        <v>1104</v>
      </c>
      <c r="K17" s="61">
        <v>428</v>
      </c>
      <c r="L17" s="61">
        <v>653</v>
      </c>
      <c r="M17" s="61">
        <v>973</v>
      </c>
      <c r="N17" s="60">
        <v>2493</v>
      </c>
    </row>
    <row r="18" spans="2:14" x14ac:dyDescent="0.3">
      <c r="B18" t="s">
        <v>124</v>
      </c>
      <c r="C18" s="61">
        <v>95</v>
      </c>
      <c r="D18" s="61">
        <v>40</v>
      </c>
      <c r="E18" s="61">
        <v>80</v>
      </c>
      <c r="F18" s="61">
        <v>58</v>
      </c>
      <c r="G18" s="61">
        <v>620</v>
      </c>
      <c r="H18" s="60">
        <v>1797</v>
      </c>
      <c r="I18" s="61">
        <v>232</v>
      </c>
      <c r="J18" s="61">
        <v>21</v>
      </c>
      <c r="K18" s="61">
        <v>18</v>
      </c>
      <c r="L18" s="61">
        <v>32</v>
      </c>
      <c r="M18" s="61">
        <v>46</v>
      </c>
      <c r="N18" s="61">
        <v>47</v>
      </c>
    </row>
    <row r="19" spans="2:14" x14ac:dyDescent="0.3">
      <c r="B19" t="s">
        <v>125</v>
      </c>
      <c r="C19" s="61">
        <v>0</v>
      </c>
      <c r="D19" s="61">
        <v>0</v>
      </c>
      <c r="E19" s="61">
        <v>-160</v>
      </c>
      <c r="F19" s="61">
        <v>0</v>
      </c>
      <c r="G19" s="61">
        <v>-107</v>
      </c>
      <c r="H19" s="61">
        <v>-4</v>
      </c>
      <c r="I19" s="61">
        <v>-9</v>
      </c>
      <c r="J19" s="61">
        <v>-606</v>
      </c>
      <c r="K19" s="61">
        <v>-10</v>
      </c>
      <c r="L19" s="61">
        <v>0</v>
      </c>
      <c r="M19" s="61">
        <v>0</v>
      </c>
      <c r="N19" s="61">
        <v>-150</v>
      </c>
    </row>
    <row r="20" spans="2:14" x14ac:dyDescent="0.3">
      <c r="B20" t="s">
        <v>126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1">
        <v>14</v>
      </c>
      <c r="I20" s="61">
        <v>533</v>
      </c>
      <c r="J20" s="61">
        <v>0</v>
      </c>
      <c r="K20" s="61">
        <v>0</v>
      </c>
      <c r="L20" s="61">
        <v>0</v>
      </c>
      <c r="M20" s="61">
        <v>19</v>
      </c>
      <c r="N20" s="61">
        <v>108</v>
      </c>
    </row>
    <row r="21" spans="2:14" x14ac:dyDescent="0.3">
      <c r="B21" t="s">
        <v>127</v>
      </c>
      <c r="C21" s="61">
        <v>0</v>
      </c>
      <c r="D21" s="61">
        <v>-185</v>
      </c>
      <c r="E21" s="61">
        <v>0</v>
      </c>
      <c r="F21" s="61">
        <v>-111</v>
      </c>
      <c r="G21" s="61">
        <v>0</v>
      </c>
      <c r="H21" s="61">
        <v>0</v>
      </c>
      <c r="I21" s="61">
        <v>-8</v>
      </c>
      <c r="J21" s="61">
        <v>-27</v>
      </c>
      <c r="K21" s="61">
        <v>0</v>
      </c>
      <c r="L21" s="61">
        <v>-98</v>
      </c>
      <c r="M21" s="61">
        <v>0</v>
      </c>
      <c r="N21" s="61">
        <v>0</v>
      </c>
    </row>
    <row r="22" spans="2:14" x14ac:dyDescent="0.3">
      <c r="B22" t="s">
        <v>128</v>
      </c>
      <c r="C22" s="61">
        <v>45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-24</v>
      </c>
    </row>
    <row r="23" spans="2:14" x14ac:dyDescent="0.3">
      <c r="B23" t="s">
        <v>129</v>
      </c>
      <c r="C23" s="60">
        <v>-5103</v>
      </c>
      <c r="D23" s="60">
        <v>-1149</v>
      </c>
      <c r="E23" s="61">
        <v>456</v>
      </c>
      <c r="F23" s="60">
        <v>-1289</v>
      </c>
      <c r="G23" s="60">
        <v>-26663</v>
      </c>
      <c r="H23" s="60">
        <v>5360</v>
      </c>
      <c r="I23" s="60">
        <v>7335</v>
      </c>
      <c r="J23" s="60">
        <v>-2659</v>
      </c>
      <c r="K23" s="60">
        <v>1051</v>
      </c>
      <c r="L23" s="60">
        <v>12813</v>
      </c>
      <c r="M23" s="60">
        <v>-4357</v>
      </c>
      <c r="N23" s="60">
        <v>-4817</v>
      </c>
    </row>
    <row r="24" spans="2:14" x14ac:dyDescent="0.3">
      <c r="B24" t="s">
        <v>34</v>
      </c>
      <c r="C24" s="60">
        <v>-1692</v>
      </c>
      <c r="D24" s="60">
        <v>-3883</v>
      </c>
      <c r="E24" s="60">
        <v>5201</v>
      </c>
      <c r="F24" s="60">
        <v>-3795</v>
      </c>
      <c r="G24" s="60">
        <v>6205</v>
      </c>
      <c r="H24" s="60">
        <v>2012</v>
      </c>
      <c r="I24" s="60">
        <v>8830</v>
      </c>
      <c r="J24" s="60">
        <v>3390</v>
      </c>
      <c r="K24" s="60">
        <v>9904</v>
      </c>
      <c r="L24" s="60">
        <v>-3380</v>
      </c>
      <c r="M24" s="60">
        <v>-26243</v>
      </c>
      <c r="N24" s="60">
        <v>-37006</v>
      </c>
    </row>
    <row r="25" spans="2:14" x14ac:dyDescent="0.3">
      <c r="B25" t="s">
        <v>130</v>
      </c>
      <c r="C25" s="61">
        <v>1</v>
      </c>
      <c r="D25" s="61">
        <v>0</v>
      </c>
      <c r="E25" s="61">
        <v>0</v>
      </c>
      <c r="F25" s="60">
        <v>7433</v>
      </c>
      <c r="G25" s="61">
        <v>5</v>
      </c>
      <c r="H25" s="61">
        <v>0</v>
      </c>
      <c r="I25" s="61">
        <v>0</v>
      </c>
      <c r="J25" s="60">
        <v>3889</v>
      </c>
      <c r="K25" s="60">
        <v>2603</v>
      </c>
      <c r="L25" s="61">
        <v>19</v>
      </c>
      <c r="M25" s="61">
        <v>20</v>
      </c>
      <c r="N25" s="61">
        <v>82</v>
      </c>
    </row>
    <row r="26" spans="2:14" x14ac:dyDescent="0.3">
      <c r="B26" t="s">
        <v>131</v>
      </c>
      <c r="C26" s="61">
        <v>-97</v>
      </c>
      <c r="D26" s="61">
        <v>-658</v>
      </c>
      <c r="E26" s="61">
        <v>-744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</row>
    <row r="27" spans="2:14" x14ac:dyDescent="0.3">
      <c r="B27" t="s">
        <v>132</v>
      </c>
      <c r="C27" s="60">
        <v>27863</v>
      </c>
      <c r="D27" s="60">
        <v>33258</v>
      </c>
      <c r="E27" s="60">
        <v>36363</v>
      </c>
      <c r="F27" s="60">
        <v>19519</v>
      </c>
      <c r="G27" s="60">
        <v>33390</v>
      </c>
      <c r="H27" s="60">
        <v>37482</v>
      </c>
      <c r="I27" s="60">
        <v>51128</v>
      </c>
      <c r="J27" s="60">
        <v>38297</v>
      </c>
      <c r="K27" s="60">
        <v>46641</v>
      </c>
      <c r="L27" s="60">
        <v>46578</v>
      </c>
      <c r="M27" s="60">
        <v>43934</v>
      </c>
      <c r="N27" s="60">
        <v>18747</v>
      </c>
    </row>
    <row r="28" spans="2:14" x14ac:dyDescent="0.3">
      <c r="B28" t="s">
        <v>133</v>
      </c>
      <c r="C28" s="60">
        <v>-20395</v>
      </c>
      <c r="D28" s="60">
        <v>-29141</v>
      </c>
      <c r="E28" s="60">
        <v>-23332</v>
      </c>
      <c r="F28" s="60">
        <v>-24924</v>
      </c>
      <c r="G28" s="60">
        <v>-21732</v>
      </c>
      <c r="H28" s="60">
        <v>-29964</v>
      </c>
      <c r="I28" s="60">
        <v>-35198</v>
      </c>
      <c r="J28" s="60">
        <v>-29847</v>
      </c>
      <c r="K28" s="60">
        <v>-29709</v>
      </c>
      <c r="L28" s="60">
        <v>-42816</v>
      </c>
      <c r="M28" s="60">
        <v>-62557</v>
      </c>
      <c r="N28" s="60">
        <v>-47332</v>
      </c>
    </row>
    <row r="29" spans="2:14" x14ac:dyDescent="0.3">
      <c r="B29" t="s">
        <v>134</v>
      </c>
      <c r="C29" s="60">
        <v>-4666</v>
      </c>
      <c r="D29" s="60">
        <v>-6171</v>
      </c>
      <c r="E29" s="60">
        <v>-6307</v>
      </c>
      <c r="F29" s="60">
        <v>-5716</v>
      </c>
      <c r="G29" s="60">
        <v>-5336</v>
      </c>
      <c r="H29" s="60">
        <v>-5411</v>
      </c>
      <c r="I29" s="60">
        <v>-7005</v>
      </c>
      <c r="J29" s="60">
        <v>-7518</v>
      </c>
      <c r="K29" s="60">
        <v>-8123</v>
      </c>
      <c r="L29" s="60">
        <v>-9251</v>
      </c>
      <c r="M29" s="60">
        <v>-9336</v>
      </c>
      <c r="N29" s="60">
        <v>-9332</v>
      </c>
    </row>
    <row r="30" spans="2:14" x14ac:dyDescent="0.3">
      <c r="B30" t="s">
        <v>135</v>
      </c>
      <c r="C30" s="60">
        <v>-1551</v>
      </c>
      <c r="D30" s="61">
        <v>-722</v>
      </c>
      <c r="E30" s="61">
        <v>-720</v>
      </c>
      <c r="F30" s="61">
        <v>-108</v>
      </c>
      <c r="G30" s="61">
        <v>-121</v>
      </c>
      <c r="H30" s="61">
        <v>-96</v>
      </c>
      <c r="I30" s="61">
        <v>-95</v>
      </c>
      <c r="J30" s="61">
        <v>-57</v>
      </c>
      <c r="K30" s="61">
        <v>-30</v>
      </c>
      <c r="L30" s="61">
        <v>-100</v>
      </c>
      <c r="M30" s="61">
        <v>-141</v>
      </c>
      <c r="N30" s="60">
        <v>-1059</v>
      </c>
    </row>
    <row r="31" spans="2:14" x14ac:dyDescent="0.3">
      <c r="B31" t="s">
        <v>136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0">
        <v>-1346</v>
      </c>
      <c r="K31" s="60">
        <v>-1477</v>
      </c>
      <c r="L31" s="60">
        <v>-1559</v>
      </c>
      <c r="M31" s="60">
        <v>-1517</v>
      </c>
      <c r="N31" s="60">
        <v>-1924</v>
      </c>
    </row>
    <row r="32" spans="2:14" x14ac:dyDescent="0.3">
      <c r="B32" t="s">
        <v>137</v>
      </c>
      <c r="C32" s="60">
        <v>-2849</v>
      </c>
      <c r="D32" s="61">
        <v>-450</v>
      </c>
      <c r="E32" s="61">
        <v>-57</v>
      </c>
      <c r="F32" s="61">
        <v>0</v>
      </c>
      <c r="G32" s="61">
        <v>0</v>
      </c>
      <c r="H32" s="61">
        <v>0</v>
      </c>
      <c r="I32" s="61">
        <v>0</v>
      </c>
      <c r="J32" s="61">
        <v>-29</v>
      </c>
      <c r="K32" s="61">
        <v>0</v>
      </c>
      <c r="L32" s="60">
        <v>3750</v>
      </c>
      <c r="M32" s="60">
        <v>3355</v>
      </c>
      <c r="N32" s="60">
        <v>3812</v>
      </c>
    </row>
    <row r="33" spans="2:14" x14ac:dyDescent="0.3">
      <c r="B33" t="s">
        <v>138</v>
      </c>
      <c r="C33" s="60">
        <v>-2499</v>
      </c>
      <c r="D33" s="60">
        <v>4277</v>
      </c>
      <c r="E33" s="60">
        <v>4500</v>
      </c>
      <c r="F33" s="60">
        <v>-2589</v>
      </c>
      <c r="G33" s="60">
        <v>-3167</v>
      </c>
      <c r="H33" s="61">
        <v>730</v>
      </c>
      <c r="I33" s="60">
        <v>6843</v>
      </c>
      <c r="J33" s="60">
        <v>-3092</v>
      </c>
      <c r="K33" s="60">
        <v>13232</v>
      </c>
      <c r="L33" s="60">
        <v>6459</v>
      </c>
      <c r="M33" s="60">
        <v>-6272</v>
      </c>
      <c r="N33" s="60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workbookViewId="0">
      <pane ySplit="3" topLeftCell="A4" activePane="bottomLeft" state="frozen"/>
      <selection pane="bottomLeft" activeCell="B36" sqref="B36"/>
    </sheetView>
  </sheetViews>
  <sheetFormatPr defaultRowHeight="14.4" x14ac:dyDescent="0.3"/>
  <cols>
    <col min="1" max="1" width="1.88671875" customWidth="1"/>
    <col min="2" max="2" width="16.77734375" customWidth="1"/>
    <col min="4" max="9" width="9" bestFit="1" customWidth="1"/>
    <col min="10" max="10" width="9.6640625" bestFit="1" customWidth="1"/>
    <col min="11" max="11" width="9.77734375" customWidth="1"/>
    <col min="12" max="13" width="9" bestFit="1" customWidth="1"/>
    <col min="14" max="14" width="11.21875" customWidth="1"/>
  </cols>
  <sheetData>
    <row r="2" spans="2:16" x14ac:dyDescent="0.3">
      <c r="B2" s="77" t="str">
        <f>"Ratio Analysis of - "&amp;'Data Sheet'!B1</f>
        <v>Ratio Analysis of - APOLLO HOSPITALS ENTERPRISE LTD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2:16" x14ac:dyDescent="0.3">
      <c r="B3" s="21" t="s">
        <v>81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176</v>
      </c>
      <c r="O3" s="38" t="s">
        <v>174</v>
      </c>
      <c r="P3" s="38" t="s">
        <v>175</v>
      </c>
    </row>
    <row r="5" spans="2:16" x14ac:dyDescent="0.3">
      <c r="B5" s="50" t="s">
        <v>22</v>
      </c>
      <c r="C5" s="50"/>
      <c r="D5" s="50"/>
      <c r="E5" s="51">
        <f>IFERROR('Historical FS'!E6,0)</f>
        <v>0.17988454345881766</v>
      </c>
      <c r="F5" s="51">
        <f>IFERROR('Historical FS'!F6,0)</f>
        <v>0.13613710599942119</v>
      </c>
      <c r="G5" s="51">
        <f>IFERROR('Historical FS'!G6,0)</f>
        <v>0.16666889064920487</v>
      </c>
      <c r="H5" s="51">
        <f>IFERROR('Historical FS'!H6,0)</f>
        <v>0.16942208913011836</v>
      </c>
      <c r="I5" s="51">
        <f>IFERROR('Historical FS'!I6,0)</f>
        <v>-6.1066258846960819E-2</v>
      </c>
      <c r="J5" s="51">
        <f>IFERROR('Historical FS'!J6,0)</f>
        <v>0.38850378787878781</v>
      </c>
      <c r="K5" s="51">
        <f>IFERROR('Historical FS'!K6,0)</f>
        <v>0.13298460027553083</v>
      </c>
      <c r="L5" s="51">
        <f>IFERROR('Historical FS'!L6,0)</f>
        <v>0.14728066215199398</v>
      </c>
      <c r="M5" s="51">
        <f>IFERROR('Historical FS'!M6,0)</f>
        <v>0.14348975822699783</v>
      </c>
      <c r="N5" s="32"/>
      <c r="O5" s="32">
        <f>IFERROR(AVERAGE(E5:M5),0)</f>
        <v>0.1559227976582124</v>
      </c>
      <c r="P5" s="5">
        <f>IFERROR(MEDIAN(E5:M5),0)</f>
        <v>0.14728066215199398</v>
      </c>
    </row>
    <row r="6" spans="2:16" x14ac:dyDescent="0.3">
      <c r="B6" t="s">
        <v>147</v>
      </c>
      <c r="E6" s="33">
        <f>IFERROR('Historical FS'!E17/'Historical FS'!D17-1,0)</f>
        <v>7.2400438436244441E-2</v>
      </c>
      <c r="F6" s="33">
        <f>IFERROR('Historical FS'!F17/'Historical FS'!E17-1,0)</f>
        <v>9.1892775862301601E-2</v>
      </c>
      <c r="G6" s="33">
        <f>IFERROR('Historical FS'!G17/'Historical FS'!F17-1,0)</f>
        <v>0.3349641796260725</v>
      </c>
      <c r="H6" s="33">
        <f>IFERROR('Historical FS'!H17/'Historical FS'!G17-1,0)</f>
        <v>0.48737845923709799</v>
      </c>
      <c r="I6" s="33">
        <f>IFERROR('Historical FS'!I17/'Historical FS'!H17-1,0)</f>
        <v>-0.28323590420516587</v>
      </c>
      <c r="J6" s="33">
        <f>IFERROR('Historical FS'!J17/'Historical FS'!I17-1,0)</f>
        <v>0.91975795843198971</v>
      </c>
      <c r="K6" s="33">
        <f>IFERROR('Historical FS'!K17/'Historical FS'!J17-1,0)</f>
        <v>-5.6872687405782107E-2</v>
      </c>
      <c r="L6" s="33">
        <f>IFERROR('Historical FS'!L17/'Historical FS'!K17-1,0)</f>
        <v>0.15969195001452929</v>
      </c>
      <c r="M6" s="33">
        <f>IFERROR('Historical FS'!M17/'Historical FS'!L17-1,0)</f>
        <v>0.262080775174373</v>
      </c>
      <c r="N6" s="32"/>
      <c r="O6" s="32">
        <f t="shared" ref="O6:O9" si="0">IFERROR(AVERAGE(E6:M6),0)</f>
        <v>0.2208953272412956</v>
      </c>
      <c r="P6" s="5">
        <f t="shared" ref="P6:P9" si="1">IFERROR(MEDIAN(E6:M6),0)</f>
        <v>0.15969195001452929</v>
      </c>
    </row>
    <row r="7" spans="2:16" x14ac:dyDescent="0.3">
      <c r="B7" t="s">
        <v>172</v>
      </c>
      <c r="E7" s="33">
        <f>IFERROR('Historical FS'!E27/'Historical FS'!D27-1,0)</f>
        <v>-0.32445923460898485</v>
      </c>
      <c r="F7" s="33">
        <f>IFERROR('Historical FS'!F27/'Historical FS'!E27-1,0)</f>
        <v>-9.4088669950748605E-2</v>
      </c>
      <c r="G7" s="33">
        <f>IFERROR('Historical FS'!G27/'Historical FS'!F27-1,0)</f>
        <v>1.3592985318107904</v>
      </c>
      <c r="H7" s="33">
        <f>IFERROR('Historical FS'!H27/'Historical FS'!G27-1,0)</f>
        <v>0.26303658887928516</v>
      </c>
      <c r="I7" s="33">
        <f>IFERROR('Historical FS'!I27/'Historical FS'!H27-1,0)</f>
        <v>-0.73083941605839109</v>
      </c>
      <c r="J7" s="33">
        <f>IFERROR('Historical FS'!J27/'Historical FS'!I27-1,0)</f>
        <v>9.2525423728812548</v>
      </c>
      <c r="K7" s="33">
        <f>IFERROR('Historical FS'!K27/'Historical FS'!J27-1,0)</f>
        <v>-0.11687882294593954</v>
      </c>
      <c r="L7" s="33">
        <f>IFERROR('Historical FS'!L27/'Historical FS'!K27-1,0)</f>
        <v>0.17736802695619347</v>
      </c>
      <c r="M7" s="33">
        <f>IFERROR('Historical FS'!M27/'Historical FS'!L27-1,0)</f>
        <v>0.43556721519993769</v>
      </c>
      <c r="N7" s="32"/>
      <c r="O7" s="32">
        <f t="shared" si="0"/>
        <v>1.1357273991292667</v>
      </c>
      <c r="P7" s="5">
        <f t="shared" si="1"/>
        <v>0.17736802695619347</v>
      </c>
    </row>
    <row r="8" spans="2:16" x14ac:dyDescent="0.3">
      <c r="B8" t="s">
        <v>148</v>
      </c>
      <c r="E8" s="33">
        <f>IFERROR('Historical FS'!E33/'Historical FS'!D33-1,0)</f>
        <v>-0.50216027874564462</v>
      </c>
      <c r="F8" s="33">
        <f>IFERROR('Historical FS'!F33/'Historical FS'!E33-1,0)</f>
        <v>-0.50713885778277756</v>
      </c>
      <c r="G8" s="33">
        <f>IFERROR('Historical FS'!G33/'Historical FS'!F33-1,0)</f>
        <v>3.933257597273724</v>
      </c>
      <c r="H8" s="33">
        <f>IFERROR('Historical FS'!H33/'Historical FS'!G33-1,0)</f>
        <v>0.22740356937248052</v>
      </c>
      <c r="I8" s="33">
        <f>IFERROR('Historical FS'!I33/'Historical FS'!H33-1,0)</f>
        <v>-0.84380863039399034</v>
      </c>
      <c r="J8" s="33">
        <f>IFERROR('Historical FS'!J33/'Historical FS'!I33-1,0)</f>
        <v>21.006006006005247</v>
      </c>
      <c r="K8" s="33">
        <f>IFERROR('Historical FS'!K33/'Historical FS'!J33-1,0)</f>
        <v>0.10835152838428264</v>
      </c>
      <c r="L8" s="33">
        <f>IFERROR('Historical FS'!L33/'Historical FS'!K33-1,0)</f>
        <v>2.4624476729573352E-4</v>
      </c>
      <c r="M8" s="33">
        <f>IFERROR('Historical FS'!M33/'Historical FS'!L33-1,0)</f>
        <v>0.56548498276711179</v>
      </c>
      <c r="N8" s="32"/>
      <c r="O8" s="32">
        <f t="shared" si="0"/>
        <v>2.665293573516414</v>
      </c>
      <c r="P8" s="5">
        <f t="shared" si="1"/>
        <v>0.10835152838428264</v>
      </c>
    </row>
    <row r="9" spans="2:16" x14ac:dyDescent="0.3">
      <c r="B9" s="52" t="s">
        <v>149</v>
      </c>
      <c r="C9" s="52"/>
      <c r="D9" s="52"/>
      <c r="E9" s="53">
        <f>IFERROR('Historical FS'!E41/'Historical FS'!D41-1,0)</f>
        <v>0</v>
      </c>
      <c r="F9" s="53">
        <f>IFERROR('Historical FS'!F41/'Historical FS'!E41-1,0)</f>
        <v>-0.16664669941296273</v>
      </c>
      <c r="G9" s="53">
        <f>IFERROR('Historical FS'!G41/'Historical FS'!F41-1,0)</f>
        <v>0.20069005175388144</v>
      </c>
      <c r="H9" s="53">
        <f>IFERROR('Historical FS'!H41/'Historical FS'!G41-1,0)</f>
        <v>0</v>
      </c>
      <c r="I9" s="53">
        <f>IFERROR('Historical FS'!I41/'Historical FS'!H41-1,0)</f>
        <v>-0.50035919540229878</v>
      </c>
      <c r="J9" s="53">
        <f>IFERROR('Historical FS'!J41/'Historical FS'!I41-1,0)</f>
        <v>2.9165507649513214</v>
      </c>
      <c r="K9" s="53">
        <f>IFERROR('Historical FS'!K41/'Historical FS'!J41-1,0)</f>
        <v>0.27663352272727249</v>
      </c>
      <c r="L9" s="53">
        <f>IFERROR('Historical FS'!L41/'Historical FS'!K41-1,0)</f>
        <v>6.6666666666666874E-2</v>
      </c>
      <c r="M9" s="53">
        <f>IFERROR('Historical FS'!M41/'Historical FS'!L41-1,0)</f>
        <v>0.74999999999999978</v>
      </c>
      <c r="N9" s="32"/>
      <c r="O9" s="32">
        <f t="shared" si="0"/>
        <v>0.39372612347598668</v>
      </c>
      <c r="P9" s="5">
        <f t="shared" si="1"/>
        <v>6.6666666666666874E-2</v>
      </c>
    </row>
    <row r="11" spans="2:16" x14ac:dyDescent="0.3">
      <c r="B11" s="50" t="s">
        <v>146</v>
      </c>
      <c r="C11" s="50"/>
      <c r="D11" s="51">
        <f>IFERROR('Historical FS'!D12,0)</f>
        <v>0.29346450930969997</v>
      </c>
      <c r="E11" s="51">
        <f>IFERROR('Historical FS'!E12,0)</f>
        <v>0.27420235125487546</v>
      </c>
      <c r="F11" s="51">
        <f>IFERROR('Historical FS'!F12,0)</f>
        <v>0.28660624712651328</v>
      </c>
      <c r="G11" s="51">
        <f>IFERROR('Historical FS'!G12,0)</f>
        <v>0.23716389044856195</v>
      </c>
      <c r="H11" s="51">
        <f>IFERROR('Historical FS'!H12,0)</f>
        <v>0.23378205356190201</v>
      </c>
      <c r="I11" s="51">
        <f>IFERROR('Historical FS'!I12,0)</f>
        <v>0.18975378787878799</v>
      </c>
      <c r="J11" s="51">
        <f>IFERROR('Historical FS'!J12,0)</f>
        <v>0.22564210985773328</v>
      </c>
      <c r="K11" s="51">
        <f>IFERROR('Historical FS'!K12,0)</f>
        <v>0.21987057938299487</v>
      </c>
      <c r="L11" s="51">
        <f>IFERROR('Historical FS'!L12,0)</f>
        <v>0.22059687709872394</v>
      </c>
      <c r="M11" s="51">
        <f>IFERROR('Historical FS'!M12,0)</f>
        <v>0.35398733596402687</v>
      </c>
      <c r="O11" s="32">
        <f>IFERROR(AVERAGE(D11:M11),0)</f>
        <v>0.25350697418838197</v>
      </c>
      <c r="P11" s="5">
        <f>IFERROR(MEDIAN(D11:M11),0)</f>
        <v>0.23547297200523198</v>
      </c>
    </row>
    <row r="12" spans="2:16" x14ac:dyDescent="0.3">
      <c r="B12" t="s">
        <v>150</v>
      </c>
      <c r="D12" s="33">
        <f>IFERROR('Historical FS'!D18,0)</f>
        <v>0.11126920887877059</v>
      </c>
      <c r="E12" s="33">
        <f>IFERROR('Historical FS'!E18,0)</f>
        <v>0.10113290240776217</v>
      </c>
      <c r="F12" s="33">
        <f>IFERROR('Historical FS'!F18,0)</f>
        <v>9.7194506682258597E-2</v>
      </c>
      <c r="G12" s="33">
        <f>IFERROR('Historical FS'!G18,0)</f>
        <v>0.11121508931727904</v>
      </c>
      <c r="H12" s="33">
        <f>IFERROR('Historical FS'!H18,0)</f>
        <v>0.14145356901518649</v>
      </c>
      <c r="I12" s="33">
        <f>IFERROR('Historical FS'!I18,0)</f>
        <v>0.10798295454545465</v>
      </c>
      <c r="J12" s="33">
        <f>IFERROR('Historical FS'!J18,0)</f>
        <v>0.14929821450493092</v>
      </c>
      <c r="K12" s="33">
        <f>IFERROR('Historical FS'!K18,0)</f>
        <v>0.12427990970654641</v>
      </c>
      <c r="L12" s="33">
        <f>IFERROR('Historical FS'!L18,0)</f>
        <v>0.12562437038280724</v>
      </c>
      <c r="M12" s="33">
        <f>IFERROR('Historical FS'!M18,0)</f>
        <v>0.13865284023125635</v>
      </c>
      <c r="O12" s="32">
        <f t="shared" ref="O12:O15" si="2">IFERROR(AVERAGE(D12:M12),0)</f>
        <v>0.12081035656722523</v>
      </c>
      <c r="P12" s="5">
        <f t="shared" ref="P12:P15" si="3">IFERROR(MEDIAN(D12:M12),0)</f>
        <v>0.11777455929265851</v>
      </c>
    </row>
    <row r="13" spans="2:16" x14ac:dyDescent="0.3">
      <c r="B13" t="s">
        <v>151</v>
      </c>
      <c r="D13" s="33">
        <f>IFERROR(('Historical FS'!D17-'Historical FS'!D24)/'Historical FS'!D5,0)</f>
        <v>6.8366533864541792E-2</v>
      </c>
      <c r="E13" s="33">
        <f>IFERROR(('Historical FS'!E17-'Historical FS'!E24)/'Historical FS'!E5,0)</f>
        <v>5.7851068814862794E-2</v>
      </c>
      <c r="F13" s="33">
        <f>IFERROR(('Historical FS'!F17-'Historical FS'!F24)/'Historical FS'!F5,0)</f>
        <v>5.3641245737535079E-2</v>
      </c>
      <c r="G13" s="33">
        <f>IFERROR(('Historical FS'!G17-'Historical FS'!G24)/'Historical FS'!G5,0)</f>
        <v>7.0091708777840114E-2</v>
      </c>
      <c r="H13" s="33">
        <f>IFERROR(('Historical FS'!H17-'Historical FS'!H24)/'Historical FS'!H5,0)</f>
        <v>8.6353451648468832E-2</v>
      </c>
      <c r="I13" s="33">
        <f>IFERROR(('Historical FS'!I17-'Historical FS'!I24)/'Historical FS'!I5,0)</f>
        <v>5.3712121212121315E-2</v>
      </c>
      <c r="J13" s="33">
        <f>IFERROR(('Historical FS'!J17-'Historical FS'!J24)/'Historical FS'!J5,0)</f>
        <v>0.10833003696479478</v>
      </c>
      <c r="K13" s="33">
        <f>IFERROR(('Historical FS'!K17-'Historical FS'!K24)/'Historical FS'!K5,0)</f>
        <v>8.7235515425131804E-2</v>
      </c>
      <c r="L13" s="33">
        <f>IFERROR(('Historical FS'!L17-'Historical FS'!L24)/'Historical FS'!L5,0)</f>
        <v>8.9578786098052365E-2</v>
      </c>
      <c r="M13" s="33">
        <f>IFERROR(('Historical FS'!M17-'Historical FS'!M24)/'Historical FS'!M5,0)</f>
        <v>0.10389556758740943</v>
      </c>
      <c r="O13" s="32">
        <f t="shared" si="2"/>
        <v>7.790560361307583E-2</v>
      </c>
      <c r="P13" s="5">
        <f t="shared" si="3"/>
        <v>7.822258021315448E-2</v>
      </c>
    </row>
    <row r="14" spans="2:16" x14ac:dyDescent="0.3">
      <c r="B14" t="s">
        <v>152</v>
      </c>
      <c r="D14" s="33">
        <f>IFERROR('Historical FS'!D28,0)</f>
        <v>3.9092609155215834E-2</v>
      </c>
      <c r="E14" s="33">
        <f>IFERROR('Historical FS'!E28,0)</f>
        <v>2.2382402800556787E-2</v>
      </c>
      <c r="F14" s="33">
        <f>IFERROR('Historical FS'!F28,0)</f>
        <v>1.7846853327542687E-2</v>
      </c>
      <c r="G14" s="33">
        <f>IFERROR('Historical FS'!G28,0)</f>
        <v>3.6090835360908298E-2</v>
      </c>
      <c r="H14" s="33">
        <f>IFERROR('Historical FS'!H28,0)</f>
        <v>3.8979976526656399E-2</v>
      </c>
      <c r="I14" s="33">
        <f>IFERROR('Historical FS'!I28,0)</f>
        <v>1.1174242424242533E-2</v>
      </c>
      <c r="J14" s="33">
        <f>IFERROR('Historical FS'!J28,0)</f>
        <v>8.2509241198695987E-2</v>
      </c>
      <c r="K14" s="33">
        <f>IFERROR('Historical FS'!K28,0)</f>
        <v>6.4313017306245432E-2</v>
      </c>
      <c r="L14" s="33">
        <f>IFERROR('Historical FS'!L28,0)</f>
        <v>6.5999622229684335E-2</v>
      </c>
      <c r="M14" s="33">
        <f>IFERROR('Historical FS'!M28,0)</f>
        <v>8.2857667247866432E-2</v>
      </c>
      <c r="O14" s="32">
        <f t="shared" si="2"/>
        <v>4.612464675776147E-2</v>
      </c>
      <c r="P14" s="5">
        <f t="shared" si="3"/>
        <v>3.9036292840936113E-2</v>
      </c>
    </row>
    <row r="15" spans="2:16" x14ac:dyDescent="0.3">
      <c r="B15" s="52" t="s">
        <v>153</v>
      </c>
      <c r="C15" s="52"/>
      <c r="D15" s="53">
        <f>IFERROR('Historical FS'!D34,0)</f>
        <v>2.3335230506545207E-2</v>
      </c>
      <c r="E15" s="53">
        <f>IFERROR('Historical FS'!E34,0)</f>
        <v>9.8460520694074825E-3</v>
      </c>
      <c r="F15" s="53">
        <f>IFERROR('Historical FS'!F34,0)</f>
        <v>4.2712595545320482E-3</v>
      </c>
      <c r="G15" s="53">
        <f>IFERROR('Historical FS'!G34,0)</f>
        <v>1.806101441137932E-2</v>
      </c>
      <c r="H15" s="53">
        <f>IFERROR('Historical FS'!H34,0)</f>
        <v>1.8956503183127575E-2</v>
      </c>
      <c r="I15" s="53">
        <f>IFERROR('Historical FS'!I34,0)</f>
        <v>3.1534090909091984E-3</v>
      </c>
      <c r="J15" s="53">
        <f>IFERROR('Historical FS'!J34,0)</f>
        <v>4.9977493759633333E-2</v>
      </c>
      <c r="K15" s="53">
        <f>IFERROR('Historical FS'!K34,0)</f>
        <v>4.8890895410082895E-2</v>
      </c>
      <c r="L15" s="53">
        <f>IFERROR('Historical FS'!L34,0)</f>
        <v>4.262508394895901E-2</v>
      </c>
      <c r="M15" s="53">
        <f>IFERROR('Historical FS'!M34,0)</f>
        <v>5.8355510691015924E-2</v>
      </c>
      <c r="O15" s="32">
        <f t="shared" si="2"/>
        <v>2.77472452625592E-2</v>
      </c>
      <c r="P15" s="5">
        <f t="shared" si="3"/>
        <v>2.1145866844836391E-2</v>
      </c>
    </row>
    <row r="17" spans="2:16" x14ac:dyDescent="0.3">
      <c r="B17" s="50" t="s">
        <v>154</v>
      </c>
      <c r="C17" s="50"/>
      <c r="D17" s="51">
        <f>IFERROR('Historical FS'!D15,0)</f>
        <v>0.18219530043092935</v>
      </c>
      <c r="E17" s="51">
        <f>IFERROR('Historical FS'!E15,0)</f>
        <v>0.17306944884711328</v>
      </c>
      <c r="F17" s="51">
        <f>IFERROR('Historical FS'!F15,0)</f>
        <v>0.18941174044425468</v>
      </c>
      <c r="G17" s="51">
        <f>IFERROR('Historical FS'!G15,0)</f>
        <v>0.1259488011312829</v>
      </c>
      <c r="H17" s="51">
        <f>IFERROR('Historical FS'!H15,0)</f>
        <v>9.2328484546715522E-2</v>
      </c>
      <c r="I17" s="51">
        <f>IFERROR('Historical FS'!I15,0)</f>
        <v>8.1770833333333334E-2</v>
      </c>
      <c r="J17" s="51">
        <f>IFERROR('Historical FS'!J15,0)</f>
        <v>7.6343895352802366E-2</v>
      </c>
      <c r="K17" s="51">
        <f>IFERROR('Historical FS'!K15,0)</f>
        <v>9.5590669676448456E-2</v>
      </c>
      <c r="L17" s="51">
        <f>IFERROR('Historical FS'!L15,0)</f>
        <v>9.4972506715916713E-2</v>
      </c>
      <c r="M17" s="51">
        <f>IFERROR('Historical FS'!M15,0)</f>
        <v>0.2153344957327705</v>
      </c>
      <c r="O17" s="32">
        <f>IFERROR(AVERAGE(D17:M17),0)</f>
        <v>0.1326966176211567</v>
      </c>
      <c r="P17" s="5">
        <f t="shared" ref="P17:P18" si="4">IFERROR(MEDIAN(D17:M17),0)</f>
        <v>0.11076973540386567</v>
      </c>
    </row>
    <row r="18" spans="2:16" x14ac:dyDescent="0.3">
      <c r="B18" t="s">
        <v>155</v>
      </c>
      <c r="D18" s="33">
        <f>IFERROR('Historical FS'!D25,0)</f>
        <v>4.29026750142288E-2</v>
      </c>
      <c r="E18" s="33">
        <f>IFERROR('Historical FS'!E25,0)</f>
        <v>4.3281833592899381E-2</v>
      </c>
      <c r="F18" s="33">
        <f>IFERROR('Historical FS'!F25,0)</f>
        <v>4.3553260944723518E-2</v>
      </c>
      <c r="G18" s="33">
        <f>IFERROR('Historical FS'!G25,0)</f>
        <v>4.1123380539438932E-2</v>
      </c>
      <c r="H18" s="33">
        <f>IFERROR('Historical FS'!H25,0)</f>
        <v>5.5100117366717653E-2</v>
      </c>
      <c r="I18" s="33">
        <f>IFERROR('Historical FS'!I25,0)</f>
        <v>5.4270833333333338E-2</v>
      </c>
      <c r="J18" s="33">
        <f>IFERROR('Historical FS'!J25,0)</f>
        <v>4.0968177540136132E-2</v>
      </c>
      <c r="K18" s="33">
        <f>IFERROR('Historical FS'!K25,0)</f>
        <v>3.7044394281414594E-2</v>
      </c>
      <c r="L18" s="33">
        <f>IFERROR('Historical FS'!L25,0)</f>
        <v>3.6045584284754871E-2</v>
      </c>
      <c r="M18" s="33">
        <f>IFERROR('Historical FS'!M25,0)</f>
        <v>3.4757272643846933E-2</v>
      </c>
      <c r="O18" s="32">
        <f t="shared" ref="O18:O19" si="5">IFERROR(AVERAGE(D18:M18),0)</f>
        <v>4.290475295414941E-2</v>
      </c>
      <c r="P18" s="5">
        <f t="shared" si="4"/>
        <v>4.2013027776833869E-2</v>
      </c>
    </row>
    <row r="19" spans="2:16" x14ac:dyDescent="0.3">
      <c r="B19" s="52" t="s">
        <v>156</v>
      </c>
      <c r="C19" s="52"/>
      <c r="D19" s="53">
        <f>D13</f>
        <v>6.8366533864541792E-2</v>
      </c>
      <c r="E19" s="53">
        <f t="shared" ref="E19:M19" si="6">E13</f>
        <v>5.7851068814862794E-2</v>
      </c>
      <c r="F19" s="53">
        <f t="shared" si="6"/>
        <v>5.3641245737535079E-2</v>
      </c>
      <c r="G19" s="53">
        <f t="shared" si="6"/>
        <v>7.0091708777840114E-2</v>
      </c>
      <c r="H19" s="53">
        <f t="shared" si="6"/>
        <v>8.6353451648468832E-2</v>
      </c>
      <c r="I19" s="53">
        <f t="shared" si="6"/>
        <v>5.3712121212121315E-2</v>
      </c>
      <c r="J19" s="53">
        <f t="shared" si="6"/>
        <v>0.10833003696479478</v>
      </c>
      <c r="K19" s="53">
        <f t="shared" si="6"/>
        <v>8.7235515425131804E-2</v>
      </c>
      <c r="L19" s="53">
        <f t="shared" si="6"/>
        <v>8.9578786098052365E-2</v>
      </c>
      <c r="M19" s="53">
        <f t="shared" si="6"/>
        <v>0.10389556758740943</v>
      </c>
      <c r="O19" s="32">
        <f t="shared" si="5"/>
        <v>7.790560361307583E-2</v>
      </c>
      <c r="P19" s="5">
        <f>IFERROR(MEDIAN(D19:M19),0)</f>
        <v>7.822258021315448E-2</v>
      </c>
    </row>
    <row r="21" spans="2:16" x14ac:dyDescent="0.3">
      <c r="B21" s="50" t="s">
        <v>157</v>
      </c>
      <c r="C21" s="50"/>
      <c r="D21" s="51">
        <f>IFERROR(('Historical FS'!D17-'Historical FS'!D24)/SUM('Historical FS'!D48:D50),0)</f>
        <v>6.8198518975124273E-2</v>
      </c>
      <c r="E21" s="51">
        <f>IFERROR(('Historical FS'!E17-'Historical FS'!E24)/SUM('Historical FS'!E48:E50),0)</f>
        <v>6.5193857565982075E-2</v>
      </c>
      <c r="F21" s="51">
        <f>IFERROR(('Historical FS'!F17-'Historical FS'!F24)/SUM('Historical FS'!F48:F50),0)</f>
        <v>6.6214544768453232E-2</v>
      </c>
      <c r="G21" s="51">
        <f>IFERROR(('Historical FS'!G17-'Historical FS'!G24)/SUM('Historical FS'!G48:G50),0)</f>
        <v>9.6207915281088033E-2</v>
      </c>
      <c r="H21" s="51">
        <f>IFERROR(('Historical FS'!H17-'Historical FS'!H24)/SUM('Historical FS'!H48:H50),0)</f>
        <v>0.14004931720189759</v>
      </c>
      <c r="I21" s="51">
        <f>IFERROR(('Historical FS'!I17-'Historical FS'!I24)/SUM('Historical FS'!I48:I50),0)</f>
        <v>6.473186263880501E-2</v>
      </c>
      <c r="J21" s="51">
        <f>IFERROR(('Historical FS'!J17-'Historical FS'!J24)/SUM('Historical FS'!J48:J50),0)</f>
        <v>0.16389788884990816</v>
      </c>
      <c r="K21" s="51">
        <f>IFERROR(('Historical FS'!K17-'Historical FS'!K24)/SUM('Historical FS'!K48:K50),0)</f>
        <v>0.13762844498471027</v>
      </c>
      <c r="L21" s="51">
        <f>IFERROR(('Historical FS'!L17-'Historical FS'!L24)/SUM('Historical FS'!L48:L50),0)</f>
        <v>0.13916693837626343</v>
      </c>
      <c r="M21" s="51">
        <f>IFERROR(('Historical FS'!M17-'Historical FS'!M24)/SUM('Historical FS'!M48:M50),0)</f>
        <v>0.14084445716134017</v>
      </c>
      <c r="O21" s="32">
        <f>IFERROR(AVERAGE(D21:M21),0)</f>
        <v>0.10821337458035722</v>
      </c>
      <c r="P21" s="5">
        <f>IFERROR(MEDIAN(D21:M21),0)</f>
        <v>0.11691818013289915</v>
      </c>
    </row>
    <row r="22" spans="2:16" x14ac:dyDescent="0.3">
      <c r="B22" t="s">
        <v>158</v>
      </c>
      <c r="D22" s="33">
        <f>IFERROR('Historical FS'!D44,0)</f>
        <v>0.4183275261324032</v>
      </c>
      <c r="E22" s="33">
        <f>IFERROR('Historical FS'!E44,0)</f>
        <v>0</v>
      </c>
      <c r="F22" s="33">
        <f>IFERROR('Historical FS'!F44,0)</f>
        <v>0</v>
      </c>
      <c r="G22" s="33">
        <f>IFERROR('Historical FS'!G44,0)</f>
        <v>0.51917098445595711</v>
      </c>
      <c r="H22" s="33">
        <f>IFERROR('Historical FS'!H44,0)</f>
        <v>0.60825515947467024</v>
      </c>
      <c r="I22" s="33">
        <f>IFERROR('Historical FS'!I44,0)</f>
        <v>0</v>
      </c>
      <c r="J22" s="33">
        <f>IFERROR('Historical FS'!J44,0)</f>
        <v>0.76943231441048021</v>
      </c>
      <c r="K22" s="33">
        <f>IFERROR('Historical FS'!K44,0)</f>
        <v>0.73442501846835828</v>
      </c>
      <c r="L22" s="33">
        <f>IFERROR('Historical FS'!L44,0)</f>
        <v>0.7167897587395371</v>
      </c>
      <c r="M22" s="33">
        <f>IFERROR('Historical FS'!M44,0)</f>
        <v>0.68340934109136686</v>
      </c>
      <c r="O22" s="32">
        <f t="shared" ref="O22:O24" si="7">IFERROR(AVERAGE(D22:M22),0)</f>
        <v>0.44498101027727727</v>
      </c>
      <c r="P22" s="5">
        <f t="shared" ref="P22:P24" si="8">IFERROR(MEDIAN(D22:M22),0)</f>
        <v>0.56371307196531362</v>
      </c>
    </row>
    <row r="23" spans="2:16" x14ac:dyDescent="0.3">
      <c r="B23" t="s">
        <v>159</v>
      </c>
      <c r="D23" s="33">
        <f>IFERROR('Historical FS'!D33/SUM('Historical FS'!D48:D49),0)</f>
        <v>4.3078474871890239E-2</v>
      </c>
      <c r="E23" s="33">
        <f>IFERROR('Historical FS'!E33/SUM('Historical FS'!E48:E49),0)</f>
        <v>2.1562235904865348E-2</v>
      </c>
      <c r="F23" s="33">
        <f>IFERROR('Historical FS'!F33/SUM('Historical FS'!F48:F49),0)</f>
        <v>1.0828848223896142E-2</v>
      </c>
      <c r="G23" s="33">
        <f>IFERROR('Historical FS'!G33/SUM('Historical FS'!G48:G49),0)</f>
        <v>5.2107394630268318E-2</v>
      </c>
      <c r="H23" s="33">
        <f>IFERROR('Historical FS'!H33/SUM('Historical FS'!H48:H49),0)</f>
        <v>6.3849540295288915E-2</v>
      </c>
      <c r="I23" s="33">
        <f>IFERROR('Historical FS'!I33/SUM('Historical FS'!I48:I49),0)</f>
        <v>7.2351982618144781E-3</v>
      </c>
      <c r="J23" s="33">
        <f>IFERROR('Historical FS'!J33/SUM('Historical FS'!J48:J49),0)</f>
        <v>0.13031493962619811</v>
      </c>
      <c r="K23" s="33">
        <f>IFERROR('Historical FS'!K33/SUM('Historical FS'!K48:K49),0)</f>
        <v>0.13105495853099722</v>
      </c>
      <c r="L23" s="33">
        <f>IFERROR('Historical FS'!L33/SUM('Historical FS'!L48:L49),0)</f>
        <v>0.11713816074054845</v>
      </c>
      <c r="M23" s="33">
        <f>IFERROR('Historical FS'!M33/SUM('Historical FS'!M48:M49),0)</f>
        <v>0.15486526308098841</v>
      </c>
      <c r="O23" s="32">
        <f t="shared" si="7"/>
        <v>7.3203501416675559E-2</v>
      </c>
      <c r="P23" s="5">
        <f t="shared" si="8"/>
        <v>5.7978467462778613E-2</v>
      </c>
    </row>
    <row r="24" spans="2:16" x14ac:dyDescent="0.3">
      <c r="B24" t="s">
        <v>160</v>
      </c>
      <c r="D24" s="33">
        <f>IFERROR(D22*D23,0)</f>
        <v>1.8020911822714737E-2</v>
      </c>
      <c r="E24" s="33">
        <f t="shared" ref="E24:M24" si="9">IFERROR(E22*E23,0)</f>
        <v>0</v>
      </c>
      <c r="F24" s="33">
        <f t="shared" si="9"/>
        <v>0</v>
      </c>
      <c r="G24" s="33">
        <f t="shared" si="9"/>
        <v>2.7052647367631456E-2</v>
      </c>
      <c r="H24" s="33">
        <f t="shared" si="9"/>
        <v>3.8836812314695345E-2</v>
      </c>
      <c r="I24" s="33">
        <f t="shared" si="9"/>
        <v>0</v>
      </c>
      <c r="J24" s="33">
        <f t="shared" si="9"/>
        <v>0.10026852559884761</v>
      </c>
      <c r="K24" s="33">
        <f t="shared" si="9"/>
        <v>9.6250040339497564E-2</v>
      </c>
      <c r="L24" s="33">
        <f t="shared" si="9"/>
        <v>8.3963433976410831E-2</v>
      </c>
      <c r="M24" s="33">
        <f t="shared" si="9"/>
        <v>0.10583636740011948</v>
      </c>
      <c r="O24" s="32">
        <f t="shared" si="7"/>
        <v>4.7022873881991702E-2</v>
      </c>
      <c r="P24" s="5">
        <f t="shared" si="8"/>
        <v>3.2944729841163402E-2</v>
      </c>
    </row>
    <row r="25" spans="2:16" x14ac:dyDescent="0.3">
      <c r="B25" s="52" t="s">
        <v>173</v>
      </c>
      <c r="C25" s="52"/>
      <c r="D25" s="54">
        <f>IFERROR(('Historical FS'!D17-'Historical FS'!D24)/'Historical FS'!D21,0)</f>
        <v>2.3354071769803344</v>
      </c>
      <c r="E25" s="54">
        <f>IFERROR(('Historical FS'!E17-'Historical FS'!E24)/'Historical FS'!E21,0)</f>
        <v>1.6310472119681365</v>
      </c>
      <c r="F25" s="54">
        <f>IFERROR(('Historical FS'!F17-'Historical FS'!F24)/'Historical FS'!F21,0)</f>
        <v>1.4985935540719091</v>
      </c>
      <c r="G25" s="54">
        <f>IFERROR(('Historical FS'!G17-'Historical FS'!G24)/'Historical FS'!G21,0)</f>
        <v>2.061467889908255</v>
      </c>
      <c r="H25" s="54">
        <f>IFERROR(('Historical FS'!H17-'Historical FS'!H24)/'Historical FS'!H21,0)</f>
        <v>1.8228228228228214</v>
      </c>
      <c r="I25" s="54">
        <f>IFERROR(('Historical FS'!I17-'Historical FS'!I24)/'Historical FS'!I21,0)</f>
        <v>1.2626892252894057</v>
      </c>
      <c r="J25" s="54">
        <f>IFERROR(('Historical FS'!J17-'Historical FS'!J24)/'Historical FS'!J21,0)</f>
        <v>4.1954569466455354</v>
      </c>
      <c r="K25" s="54">
        <f>IFERROR(('Historical FS'!K17-'Historical FS'!K24)/'Historical FS'!K21,0)</f>
        <v>3.8056722689075686</v>
      </c>
      <c r="L25" s="54">
        <f>IFERROR(('Historical FS'!L17-'Historical FS'!L24)/'Historical FS'!L21,0)</f>
        <v>3.7990654205607473</v>
      </c>
      <c r="M25" s="54">
        <f>IFERROR(('Historical FS'!M17-'Historical FS'!M24)/'Historical FS'!M21,0)</f>
        <v>4.938495092693568</v>
      </c>
      <c r="O25" s="35">
        <f>IFERROR(AVERAGE(D25:M25),0)</f>
        <v>2.7350717609848281</v>
      </c>
      <c r="P25" s="5">
        <f>IFERROR(MEDIAN(D25:M25),0)</f>
        <v>2.1984375334442947</v>
      </c>
    </row>
    <row r="27" spans="2:16" x14ac:dyDescent="0.3">
      <c r="B27" s="50" t="s">
        <v>161</v>
      </c>
      <c r="C27" s="50"/>
      <c r="D27" s="55">
        <f>IFERROR('Historical FS'!D5/'Historical FS'!D60,0)</f>
        <v>10.091569982112674</v>
      </c>
      <c r="E27" s="55">
        <f>IFERROR('Historical FS'!E5/'Historical FS'!E60,0)</f>
        <v>9.6674350125911026</v>
      </c>
      <c r="F27" s="55">
        <f>IFERROR('Historical FS'!F5/'Historical FS'!F60,0)</f>
        <v>9.9897841709182114</v>
      </c>
      <c r="G27" s="55">
        <f>IFERROR('Historical FS'!G5/'Historical FS'!G60,0)</f>
        <v>9.3993354182955429</v>
      </c>
      <c r="H27" s="55">
        <f>IFERROR('Historical FS'!H5/'Historical FS'!H60,0)</f>
        <v>10.948987538940809</v>
      </c>
      <c r="I27" s="55">
        <f>IFERROR('Historical FS'!I5/'Historical FS'!I60,0)</f>
        <v>7.9332882578318689</v>
      </c>
      <c r="J27" s="55">
        <f>IFERROR('Historical FS'!J5/'Historical FS'!J60,0)</f>
        <v>8.3088343627812087</v>
      </c>
      <c r="K27" s="55">
        <f>IFERROR('Historical FS'!K5/'Historical FS'!K60,0)</f>
        <v>7.4355473995166061</v>
      </c>
      <c r="L27" s="55">
        <f>IFERROR('Historical FS'!L5/'Historical FS'!L60,0)</f>
        <v>7.5785120680742777</v>
      </c>
      <c r="M27" s="55">
        <f>IFERROR('Historical FS'!M5/'Historical FS'!M60,0)</f>
        <v>7.2258877358177784</v>
      </c>
      <c r="O27" s="35">
        <f>IFERROR(AVERAGE(D27:M27),0)</f>
        <v>8.8579181946880077</v>
      </c>
      <c r="P27" s="36">
        <f>IFERROR(MEDIAN(D27:M27),0)</f>
        <v>8.8540848905383758</v>
      </c>
    </row>
    <row r="28" spans="2:16" x14ac:dyDescent="0.3">
      <c r="B28" t="s">
        <v>162</v>
      </c>
      <c r="D28" s="56">
        <f>IFERROR('Historical FS'!D5/'Historical FS'!D51,0)</f>
        <v>5.1453792410994428</v>
      </c>
      <c r="E28" s="56">
        <f>IFERROR('Historical FS'!E5/'Historical FS'!E51,0)</f>
        <v>4.3590344363540243</v>
      </c>
      <c r="F28" s="56">
        <f>IFERROR('Historical FS'!F5/'Historical FS'!F51,0)</f>
        <v>4.2991165488036378</v>
      </c>
      <c r="G28" s="56">
        <f>IFERROR('Historical FS'!G5/'Historical FS'!G51,0)</f>
        <v>4.4541496850685443</v>
      </c>
      <c r="H28" s="56">
        <f>IFERROR('Historical FS'!H5/'Historical FS'!H51,0)</f>
        <v>2.5830366780735394</v>
      </c>
      <c r="I28" s="56">
        <f>IFERROR('Historical FS'!I5/'Historical FS'!I51,0)</f>
        <v>4.0162780968318561</v>
      </c>
      <c r="J28" s="56">
        <f>IFERROR('Historical FS'!J5/'Historical FS'!J51,0)</f>
        <v>4.1076311071268492</v>
      </c>
      <c r="K28" s="56">
        <f>IFERROR('Historical FS'!K5/'Historical FS'!K51,0)</f>
        <v>4.2750714120281019</v>
      </c>
      <c r="L28" s="56">
        <f>IFERROR('Historical FS'!L5/'Historical FS'!L51,0)</f>
        <v>4.2598006347503468</v>
      </c>
      <c r="M28" s="56">
        <f>IFERROR('Historical FS'!M5/'Historical FS'!M51,0)</f>
        <v>4.7576842472930494</v>
      </c>
      <c r="O28" s="35">
        <f t="shared" ref="O28:O31" si="10">IFERROR(AVERAGE(D28:M28),0)</f>
        <v>4.2257182087429399</v>
      </c>
      <c r="P28" s="36">
        <f t="shared" ref="P28:P31" si="11">IFERROR(MEDIAN(D28:M28),0)</f>
        <v>4.2870939804158699</v>
      </c>
    </row>
    <row r="29" spans="2:16" x14ac:dyDescent="0.3">
      <c r="B29" t="s">
        <v>163</v>
      </c>
      <c r="D29" s="56">
        <f>IFERROR('Historical FS'!D5/'Historical FS'!D61,0)</f>
        <v>15.141703395464507</v>
      </c>
      <c r="E29" s="56">
        <f>IFERROR('Historical FS'!E5/'Historical FS'!E61,0)</f>
        <v>15.541157067277828</v>
      </c>
      <c r="F29" s="56">
        <f>IFERROR('Historical FS'!F5/'Historical FS'!F61,0)</f>
        <v>14.568552947829772</v>
      </c>
      <c r="G29" s="56">
        <f>IFERROR('Historical FS'!G5/'Historical FS'!G61,0)</f>
        <v>16.445622435020521</v>
      </c>
      <c r="H29" s="56">
        <f>IFERROR('Historical FS'!H5/'Historical FS'!H61,0)</f>
        <v>15.243697478991596</v>
      </c>
      <c r="I29" s="56">
        <f>IFERROR('Historical FS'!I5/'Historical FS'!I61,0)</f>
        <v>42.324649298597194</v>
      </c>
      <c r="J29" s="56">
        <f>IFERROR('Historical FS'!J5/'Historical FS'!J61,0)</f>
        <v>33.94906228293587</v>
      </c>
      <c r="K29" s="56">
        <f>IFERROR('Historical FS'!K5/'Historical FS'!K61,0)</f>
        <v>42.585234555242245</v>
      </c>
      <c r="L29" s="56">
        <f>IFERROR('Historical FS'!L5/'Historical FS'!L61,0)</f>
        <v>41.45106568073075</v>
      </c>
      <c r="M29" s="56">
        <f>IFERROR('Historical FS'!M5/'Historical FS'!M61,0)</f>
        <v>45.328618968386024</v>
      </c>
      <c r="O29" s="35">
        <f t="shared" si="10"/>
        <v>28.257936411047627</v>
      </c>
      <c r="P29" s="36">
        <f t="shared" si="11"/>
        <v>25.197342358978197</v>
      </c>
    </row>
    <row r="30" spans="2:16" x14ac:dyDescent="0.3">
      <c r="B30" t="s">
        <v>164</v>
      </c>
      <c r="D30" s="56">
        <f>IFERROR('Historical FS'!D5/'Historical FS'!D54,0)</f>
        <v>1.5383672468742338</v>
      </c>
      <c r="E30" s="56">
        <f>IFERROR('Historical FS'!E5/'Historical FS'!E54,0)</f>
        <v>1.5803975552486789</v>
      </c>
      <c r="F30" s="56">
        <f>IFERROR('Historical FS'!F5/'Historical FS'!F54,0)</f>
        <v>1.7271552067313938</v>
      </c>
      <c r="G30" s="56">
        <f>IFERROR('Historical FS'!G5/'Historical FS'!G54,0)</f>
        <v>1.9305845511482254</v>
      </c>
      <c r="H30" s="56">
        <f>IFERROR('Historical FS'!H5/'Historical FS'!H54,0)</f>
        <v>1.5132735027784878</v>
      </c>
      <c r="I30" s="56">
        <f>IFERROR('Historical FS'!I5/'Historical FS'!I54,0)</f>
        <v>1.5579127509847601</v>
      </c>
      <c r="J30" s="56">
        <f>IFERROR('Historical FS'!J5/'Historical FS'!J54,0)</f>
        <v>1.7675153093206037</v>
      </c>
      <c r="K30" s="56">
        <f>IFERROR('Historical FS'!K5/'Historical FS'!K54,0)</f>
        <v>1.9498697152515319</v>
      </c>
      <c r="L30" s="56">
        <f>IFERROR('Historical FS'!L5/'Historical FS'!L54,0)</f>
        <v>1.9722058382226639</v>
      </c>
      <c r="M30" s="56">
        <f>IFERROR('Historical FS'!M5/'Historical FS'!M54,0)</f>
        <v>1.9566895907776838</v>
      </c>
      <c r="O30" s="35">
        <f t="shared" si="10"/>
        <v>1.7493971267338264</v>
      </c>
      <c r="P30" s="36">
        <f t="shared" si="11"/>
        <v>1.7473352580259989</v>
      </c>
    </row>
    <row r="31" spans="2:16" x14ac:dyDescent="0.3">
      <c r="B31" s="52" t="s">
        <v>165</v>
      </c>
      <c r="C31" s="52"/>
      <c r="D31" s="54">
        <f>IFERROR('Historical FS'!D5/SUM('Historical FS'!D48:D49),0)</f>
        <v>1.8460702524368606</v>
      </c>
      <c r="E31" s="54">
        <f>IFERROR('Historical FS'!E5/SUM('Historical FS'!E48:E49),0)</f>
        <v>2.1899372208137149</v>
      </c>
      <c r="F31" s="54">
        <f>IFERROR('Historical FS'!F5/SUM('Historical FS'!F48:F49),0)</f>
        <v>2.5352821774565584</v>
      </c>
      <c r="G31" s="54">
        <f>IFERROR('Historical FS'!G5/SUM('Historical FS'!G48:G49),0)</f>
        <v>2.8850757462126895</v>
      </c>
      <c r="H31" s="54">
        <f>IFERROR('Historical FS'!H5/SUM('Historical FS'!H48:H49),0)</f>
        <v>3.3682129915246621</v>
      </c>
      <c r="I31" s="54">
        <f>IFERROR('Historical FS'!I5/SUM('Historical FS'!I48:I49),0)</f>
        <v>2.2944052145573059</v>
      </c>
      <c r="J31" s="54">
        <f>IFERROR('Historical FS'!J5/SUM('Historical FS'!J48:J49),0)</f>
        <v>2.6074724805719067</v>
      </c>
      <c r="K31" s="54">
        <f>IFERROR('Historical FS'!K5/SUM('Historical FS'!K48:K49),0)</f>
        <v>2.6805595895052767</v>
      </c>
      <c r="L31" s="54">
        <f>IFERROR('Historical FS'!L5/SUM('Historical FS'!L48:L49),0)</f>
        <v>2.7481039305591604</v>
      </c>
      <c r="M31" s="54">
        <f>IFERROR('Historical FS'!M5/SUM('Historical FS'!M48:M49),0)</f>
        <v>2.6538241418360267</v>
      </c>
      <c r="O31" s="35">
        <f t="shared" si="10"/>
        <v>2.580894374547416</v>
      </c>
      <c r="P31" s="36">
        <f t="shared" si="11"/>
        <v>2.6306483112039665</v>
      </c>
    </row>
    <row r="33" spans="2:16" x14ac:dyDescent="0.3">
      <c r="B33" s="50" t="s">
        <v>45</v>
      </c>
      <c r="C33" s="50"/>
      <c r="D33" s="57">
        <f>IFERROR(365/D27,0)</f>
        <v>36.168802341653794</v>
      </c>
      <c r="E33" s="57">
        <f t="shared" ref="E33:M33" si="12">IFERROR(365/E27,0)</f>
        <v>37.755619719668672</v>
      </c>
      <c r="F33" s="57">
        <f t="shared" si="12"/>
        <v>36.537325907657824</v>
      </c>
      <c r="G33" s="57">
        <f t="shared" si="12"/>
        <v>38.832532701145844</v>
      </c>
      <c r="H33" s="57">
        <f t="shared" si="12"/>
        <v>33.336415691574494</v>
      </c>
      <c r="I33" s="57">
        <f t="shared" si="12"/>
        <v>46.008664772727272</v>
      </c>
      <c r="J33" s="57">
        <f t="shared" si="12"/>
        <v>43.929146263282092</v>
      </c>
      <c r="K33" s="57">
        <f t="shared" si="12"/>
        <v>49.088517682468016</v>
      </c>
      <c r="L33" s="57">
        <f t="shared" si="12"/>
        <v>48.162488457018128</v>
      </c>
      <c r="M33" s="57">
        <f t="shared" si="12"/>
        <v>50.512824630632281</v>
      </c>
      <c r="O33" s="34">
        <f>IFERROR(AVERAGE(D33:M33),0)</f>
        <v>42.033233816782847</v>
      </c>
      <c r="P33" s="37">
        <f>IFERROR(MEDIAN(D33:M33),0)</f>
        <v>41.380839482213972</v>
      </c>
    </row>
    <row r="34" spans="2:16" x14ac:dyDescent="0.3">
      <c r="B34" t="s">
        <v>166</v>
      </c>
      <c r="D34" s="58">
        <f>IFERROR(365/D28,0)</f>
        <v>70.937433937718524</v>
      </c>
      <c r="E34" s="58">
        <f t="shared" ref="E34:M34" si="13">IFERROR(365/E28,0)</f>
        <v>83.734140055404708</v>
      </c>
      <c r="F34" s="58">
        <f t="shared" si="13"/>
        <v>84.901164194204625</v>
      </c>
      <c r="G34" s="58">
        <f t="shared" si="13"/>
        <v>81.946056106640043</v>
      </c>
      <c r="H34" s="58">
        <f t="shared" si="13"/>
        <v>141.30654941850128</v>
      </c>
      <c r="I34" s="58">
        <f t="shared" si="13"/>
        <v>90.880160984848487</v>
      </c>
      <c r="J34" s="58">
        <f t="shared" si="13"/>
        <v>88.859001814139376</v>
      </c>
      <c r="K34" s="58">
        <f t="shared" si="13"/>
        <v>85.378690744920988</v>
      </c>
      <c r="L34" s="58">
        <f t="shared" si="13"/>
        <v>85.68476116521154</v>
      </c>
      <c r="M34" s="58">
        <f t="shared" si="13"/>
        <v>76.717995778654668</v>
      </c>
      <c r="O34" s="34">
        <f t="shared" ref="O34:O36" si="14">IFERROR(AVERAGE(D34:M34),0)</f>
        <v>89.034595420024402</v>
      </c>
      <c r="P34" s="37">
        <f t="shared" ref="P34:P36" si="15">IFERROR(MEDIAN(D34:M34),0)</f>
        <v>85.139927469562807</v>
      </c>
    </row>
    <row r="35" spans="2:16" x14ac:dyDescent="0.3">
      <c r="B35" t="s">
        <v>167</v>
      </c>
      <c r="D35" s="58">
        <f>IFERROR(365/D29,0)</f>
        <v>24.105610212212373</v>
      </c>
      <c r="E35" s="58">
        <f t="shared" ref="E35:M35" si="16">IFERROR(365/E29,0)</f>
        <v>23.486024780517386</v>
      </c>
      <c r="F35" s="58">
        <f t="shared" si="16"/>
        <v>25.053963925385794</v>
      </c>
      <c r="G35" s="58">
        <f t="shared" si="16"/>
        <v>22.194356062969199</v>
      </c>
      <c r="H35" s="58">
        <f t="shared" si="16"/>
        <v>23.944321940463066</v>
      </c>
      <c r="I35" s="58">
        <f t="shared" si="16"/>
        <v>8.6238162878787872</v>
      </c>
      <c r="J35" s="58">
        <f t="shared" si="16"/>
        <v>10.751401524968285</v>
      </c>
      <c r="K35" s="58">
        <f t="shared" si="16"/>
        <v>8.5710458991723097</v>
      </c>
      <c r="L35" s="58">
        <f t="shared" si="16"/>
        <v>8.8055637172599059</v>
      </c>
      <c r="M35" s="58">
        <f t="shared" si="16"/>
        <v>8.0523079746719279</v>
      </c>
      <c r="O35" s="34">
        <f t="shared" si="14"/>
        <v>16.358841232549899</v>
      </c>
      <c r="P35" s="37">
        <f t="shared" si="15"/>
        <v>16.472878793968743</v>
      </c>
    </row>
    <row r="36" spans="2:16" x14ac:dyDescent="0.3">
      <c r="B36" s="52" t="s">
        <v>168</v>
      </c>
      <c r="C36" s="52"/>
      <c r="D36" s="59">
        <f>IFERROR(SUM(D33,D35)-D34,0)</f>
        <v>-10.663021383852353</v>
      </c>
      <c r="E36" s="59">
        <f t="shared" ref="E36:M36" si="17">IFERROR(SUM(E33,E35)-E34,0)</f>
        <v>-22.492495555218653</v>
      </c>
      <c r="F36" s="59">
        <f t="shared" si="17"/>
        <v>-23.309874361161008</v>
      </c>
      <c r="G36" s="59">
        <f t="shared" si="17"/>
        <v>-20.919167342525</v>
      </c>
      <c r="H36" s="59">
        <f t="shared" si="17"/>
        <v>-84.02581178646372</v>
      </c>
      <c r="I36" s="59">
        <f t="shared" si="17"/>
        <v>-36.247679924242426</v>
      </c>
      <c r="J36" s="59">
        <f t="shared" si="17"/>
        <v>-34.178454025888996</v>
      </c>
      <c r="K36" s="59">
        <f t="shared" si="17"/>
        <v>-27.71912716328066</v>
      </c>
      <c r="L36" s="59">
        <f t="shared" si="17"/>
        <v>-28.716708990933505</v>
      </c>
      <c r="M36" s="59">
        <f t="shared" si="17"/>
        <v>-18.152863173350461</v>
      </c>
      <c r="O36" s="34">
        <f t="shared" si="14"/>
        <v>-30.642520370691678</v>
      </c>
      <c r="P36" s="37">
        <f t="shared" si="15"/>
        <v>-25.514500762220834</v>
      </c>
    </row>
    <row r="38" spans="2:16" x14ac:dyDescent="0.3">
      <c r="B38" s="50" t="s">
        <v>169</v>
      </c>
      <c r="C38" s="50"/>
      <c r="D38" s="51">
        <f>IFERROR('Historical FS'!D80/'Historical FS'!D5,0)</f>
        <v>5.1809090169932519</v>
      </c>
      <c r="E38" s="51">
        <f>IFERROR('Historical FS'!E80/'Historical FS'!E5,0)</f>
        <v>5.4043028239866588</v>
      </c>
      <c r="F38" s="51">
        <f>IFERROR('Historical FS'!F80/'Historical FS'!F5,0)</f>
        <v>4.0582424634286296</v>
      </c>
      <c r="G38" s="51">
        <f>IFERROR('Historical FS'!G80/'Historical FS'!G5,0)</f>
        <v>1.8116122860648409</v>
      </c>
      <c r="H38" s="51">
        <f>IFERROR('Historical FS'!H80/'Historical FS'!H5,0)</f>
        <v>1.0377173951701819</v>
      </c>
      <c r="I38" s="51">
        <f>IFERROR('Historical FS'!I80/'Historical FS'!I5,0)</f>
        <v>3.0017045454545452</v>
      </c>
      <c r="J38" s="51">
        <f>IFERROR('Historical FS'!J80/'Historical FS'!J5,0)</f>
        <v>1.9714784553899034</v>
      </c>
      <c r="K38" s="51">
        <f>IFERROR('Historical FS'!K80/'Historical FS'!K5,0)</f>
        <v>0.21261098570353648</v>
      </c>
      <c r="L38" s="51">
        <f>IFERROR('Historical FS'!L80/'Historical FS'!L5,0)</f>
        <v>1.6926733546004029</v>
      </c>
      <c r="M38" s="51">
        <f>IFERROR('Historical FS'!M80/'Historical FS'!M5,0)</f>
        <v>3.4523722125355603</v>
      </c>
      <c r="O38" s="32">
        <f>IFERROR(AVERAGE(D38:M38),0)</f>
        <v>2.7823623539327511</v>
      </c>
      <c r="P38" s="5">
        <f>IFERROR(MEDIAN(D38:M38),0)</f>
        <v>2.4865915004222243</v>
      </c>
    </row>
    <row r="39" spans="2:16" x14ac:dyDescent="0.3">
      <c r="B39" t="s">
        <v>170</v>
      </c>
      <c r="D39" s="33">
        <f>IFERROR('Historical FS'!D80/'Historical FS'!D65,0)</f>
        <v>4.3289219815755864</v>
      </c>
      <c r="E39" s="33">
        <f>IFERROR('Historical FS'!E80/'Historical FS'!E65,0)</f>
        <v>4.8391893876473064</v>
      </c>
      <c r="F39" s="33">
        <f>IFERROR('Historical FS'!F80/'Historical FS'!F65,0)</f>
        <v>3.8919821955833322</v>
      </c>
      <c r="G39" s="33">
        <f>IFERROR('Historical FS'!G80/'Historical FS'!G65,0)</f>
        <v>1.9008498892634653</v>
      </c>
      <c r="H39" s="33">
        <f>IFERROR('Historical FS'!H80/'Historical FS'!H65,0)</f>
        <v>1.0338565657997307</v>
      </c>
      <c r="I39" s="33">
        <f>IFERROR('Historical FS'!I80/'Historical FS'!I65,0)</f>
        <v>2.7825766354155697</v>
      </c>
      <c r="J39" s="33">
        <f>IFERROR('Historical FS'!J80/'Historical FS'!J65,0)</f>
        <v>2.1798506899932129</v>
      </c>
      <c r="K39" s="33">
        <f>IFERROR('Historical FS'!K80/'Historical FS'!K65,0)</f>
        <v>0.2450106481128215</v>
      </c>
      <c r="L39" s="33">
        <f>IFERROR('Historical FS'!L80/'Historical FS'!L65,0)</f>
        <v>1.9269271660833107</v>
      </c>
      <c r="M39" s="33">
        <f>IFERROR('Historical FS'!M80/'Historical FS'!M65,0)</f>
        <v>3.6423267206908903</v>
      </c>
      <c r="O39" s="32">
        <f t="shared" ref="O39:O40" si="18">IFERROR(AVERAGE(D39:M39),0)</f>
        <v>2.6771491880165224</v>
      </c>
      <c r="P39" s="5">
        <f t="shared" ref="P39:P40" si="19">IFERROR(MEDIAN(D39:M39),0)</f>
        <v>2.4812136627043913</v>
      </c>
    </row>
    <row r="40" spans="2:16" x14ac:dyDescent="0.3">
      <c r="B40" s="52" t="s">
        <v>171</v>
      </c>
      <c r="C40" s="52"/>
      <c r="D40" s="53">
        <f>IFERROR('Historical FS'!D80/'Historical FS'!D50,0)</f>
        <v>11.243965103475535</v>
      </c>
      <c r="E40" s="53">
        <f>IFERROR('Historical FS'!E80/'Historical FS'!E50,0)</f>
        <v>12.546675668497963</v>
      </c>
      <c r="F40" s="53">
        <f>IFERROR('Historical FS'!F80/'Historical FS'!F50,0)</f>
        <v>9.7629164429295177</v>
      </c>
      <c r="G40" s="53">
        <f>IFERROR('Historical FS'!G80/'Historical FS'!G50,0)</f>
        <v>4.7432756179897639</v>
      </c>
      <c r="H40" s="53">
        <f>IFERROR('Historical FS'!H80/'Historical FS'!H50,0)</f>
        <v>3.2459116698186672</v>
      </c>
      <c r="I40" s="53">
        <f>IFERROR('Historical FS'!I80/'Historical FS'!I50,0)</f>
        <v>7.6200778883600169</v>
      </c>
      <c r="J40" s="53">
        <f>IFERROR('Historical FS'!J80/'Historical FS'!J50,0)</f>
        <v>7.1057741943413388</v>
      </c>
      <c r="K40" s="53">
        <f>IFERROR('Historical FS'!K80/'Historical FS'!K50,0)</f>
        <v>0.81525251592650727</v>
      </c>
      <c r="L40" s="53">
        <f>IFERROR('Historical FS'!L80/'Historical FS'!L50,0)</f>
        <v>6.0497693432847015</v>
      </c>
      <c r="M40" s="53">
        <f>IFERROR('Historical FS'!M80/'Historical FS'!M50,0)</f>
        <v>9.567412229950536</v>
      </c>
      <c r="O40" s="32">
        <f t="shared" si="18"/>
        <v>7.2701030674574554</v>
      </c>
      <c r="P40" s="5">
        <f t="shared" si="19"/>
        <v>7.3629260413506774</v>
      </c>
    </row>
  </sheetData>
  <mergeCells count="1">
    <mergeCell ref="B2:P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46"/>
  <sheetViews>
    <sheetView showGridLines="0" workbookViewId="0">
      <selection activeCell="J20" sqref="J20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21.6640625" customWidth="1"/>
  </cols>
  <sheetData>
    <row r="2" spans="2:15" x14ac:dyDescent="0.3">
      <c r="B2" s="78" t="str">
        <f>'Data Sheet'!$B$1&amp;" -" &amp;'Data Sheet'!A17</f>
        <v>APOLLO HOSPITALS ENTERPRISE LTD -Sales</v>
      </c>
      <c r="C2" s="78"/>
      <c r="D2" s="78"/>
      <c r="E2" s="78"/>
      <c r="G2" s="79" t="str">
        <f>'Data Sheet'!$B$1&amp;" - "&amp;'Historical FS'!B17</f>
        <v>APOLLO HOSPITALS ENTERPRISE LTD - EBITDA</v>
      </c>
      <c r="H2" s="79"/>
      <c r="I2" s="79"/>
      <c r="J2" s="79"/>
      <c r="L2" s="80" t="str">
        <f>'Data Sheet'!B1&amp; " - " &amp;'Historical FS'!B38</f>
        <v>APOLLO HOSPITALS ENTERPRISE LTD - EPS(Earning per share)</v>
      </c>
      <c r="M2" s="80"/>
      <c r="N2" s="80"/>
      <c r="O2" s="80"/>
    </row>
    <row r="3" spans="2:15" x14ac:dyDescent="0.3">
      <c r="B3" s="70" t="s">
        <v>177</v>
      </c>
      <c r="C3" s="70" t="s">
        <v>178</v>
      </c>
      <c r="D3" s="71" t="s">
        <v>6</v>
      </c>
      <c r="E3" s="71" t="s">
        <v>22</v>
      </c>
      <c r="G3" s="70" t="s">
        <v>177</v>
      </c>
      <c r="H3" s="70" t="s">
        <v>178</v>
      </c>
      <c r="I3" s="71" t="s">
        <v>6</v>
      </c>
      <c r="J3" s="71" t="s">
        <v>22</v>
      </c>
      <c r="L3" s="70" t="s">
        <v>177</v>
      </c>
      <c r="M3" s="70" t="s">
        <v>178</v>
      </c>
      <c r="N3" s="71" t="s">
        <v>6</v>
      </c>
      <c r="O3" s="71" t="s">
        <v>22</v>
      </c>
    </row>
    <row r="4" spans="2:15" x14ac:dyDescent="0.3">
      <c r="B4">
        <v>1</v>
      </c>
      <c r="C4" s="39">
        <v>2015</v>
      </c>
      <c r="D4" s="40">
        <f t="array" ref="D4:D13">TRANSPOSE('Data Sheet'!B17:K17)</f>
        <v>6149.5</v>
      </c>
      <c r="G4">
        <v>1</v>
      </c>
      <c r="H4" s="39">
        <v>2015</v>
      </c>
      <c r="I4" s="40">
        <f t="array" ref="I4:I13">TRANSPOSE('Historical FS'!D17:M17)</f>
        <v>684.24999999999977</v>
      </c>
      <c r="L4">
        <v>1</v>
      </c>
      <c r="M4" s="39">
        <v>2015</v>
      </c>
      <c r="N4" s="40">
        <f t="array" ref="N4:N13">TRANSPOSE('Historical FS'!D38:M38)</f>
        <v>10.31631919482385</v>
      </c>
    </row>
    <row r="5" spans="2:15" x14ac:dyDescent="0.3">
      <c r="B5">
        <f>B4+1</f>
        <v>2</v>
      </c>
      <c r="C5" s="39">
        <f>C4+1</f>
        <v>2016</v>
      </c>
      <c r="D5" s="40">
        <v>7255.7</v>
      </c>
      <c r="E5" s="29">
        <f>D5/D4-1</f>
        <v>0.17988454345881766</v>
      </c>
      <c r="G5">
        <f>G4+1</f>
        <v>2</v>
      </c>
      <c r="H5" s="39">
        <f>H4+1</f>
        <v>2016</v>
      </c>
      <c r="I5" s="40">
        <v>733.79</v>
      </c>
      <c r="J5" s="29">
        <f>I5/I4-1</f>
        <v>7.2400438436244441E-2</v>
      </c>
      <c r="L5">
        <f>L4+1</f>
        <v>2</v>
      </c>
      <c r="M5" s="39">
        <f>M4+1</f>
        <v>2016</v>
      </c>
      <c r="N5" s="40">
        <v>5.1358734723220607</v>
      </c>
      <c r="O5" s="29">
        <f>N5/N4-1</f>
        <v>-0.50216027874564473</v>
      </c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0">
        <v>8243.4699999999993</v>
      </c>
      <c r="E6" s="29">
        <f t="shared" ref="E6:E18" si="2">D6/D5-1</f>
        <v>0.13613710599942119</v>
      </c>
      <c r="G6">
        <f t="shared" ref="G6:H18" si="3">G5+1</f>
        <v>3</v>
      </c>
      <c r="H6" s="39">
        <f t="shared" si="3"/>
        <v>2017</v>
      </c>
      <c r="I6" s="40">
        <v>801.21999999999821</v>
      </c>
      <c r="J6" s="29">
        <f t="shared" ref="J6:J18" si="4">I6/I5-1</f>
        <v>9.1892775862301601E-2</v>
      </c>
      <c r="L6">
        <f t="shared" ref="L6:M6" si="5">L5+1</f>
        <v>3</v>
      </c>
      <c r="M6" s="39">
        <f t="shared" si="5"/>
        <v>2017</v>
      </c>
      <c r="N6" s="40">
        <v>2.5312724658517829</v>
      </c>
      <c r="O6" s="29">
        <f t="shared" ref="O6:O18" si="6">N6/N5-1</f>
        <v>-0.50713885778277756</v>
      </c>
    </row>
    <row r="7" spans="2:15" x14ac:dyDescent="0.3">
      <c r="B7">
        <f t="shared" si="0"/>
        <v>4</v>
      </c>
      <c r="C7" s="39">
        <f t="shared" si="1"/>
        <v>2018</v>
      </c>
      <c r="D7" s="40">
        <v>9617.4</v>
      </c>
      <c r="E7" s="29">
        <f t="shared" si="2"/>
        <v>0.16666889064920487</v>
      </c>
      <c r="G7">
        <f t="shared" si="3"/>
        <v>4</v>
      </c>
      <c r="H7" s="39">
        <f t="shared" si="3"/>
        <v>2018</v>
      </c>
      <c r="I7" s="40">
        <v>1069.5999999999995</v>
      </c>
      <c r="J7" s="29">
        <f t="shared" si="4"/>
        <v>0.3349641796260725</v>
      </c>
      <c r="L7">
        <f t="shared" ref="L7:M7" si="7">L6+1</f>
        <v>4</v>
      </c>
      <c r="M7" s="39">
        <f t="shared" si="7"/>
        <v>2018</v>
      </c>
      <c r="N7" s="40">
        <v>12.487419122933101</v>
      </c>
      <c r="O7" s="29">
        <f t="shared" si="6"/>
        <v>3.933257597273724</v>
      </c>
    </row>
    <row r="8" spans="2:15" x14ac:dyDescent="0.3">
      <c r="B8">
        <f t="shared" si="0"/>
        <v>5</v>
      </c>
      <c r="C8" s="39">
        <f t="shared" si="1"/>
        <v>2019</v>
      </c>
      <c r="D8" s="40">
        <v>11246.8</v>
      </c>
      <c r="E8" s="29">
        <f t="shared" si="2"/>
        <v>0.16942208913011836</v>
      </c>
      <c r="G8">
        <f t="shared" si="3"/>
        <v>5</v>
      </c>
      <c r="H8" s="39">
        <f t="shared" si="3"/>
        <v>2019</v>
      </c>
      <c r="I8" s="40">
        <v>1590.8999999999992</v>
      </c>
      <c r="J8" s="29">
        <f t="shared" si="4"/>
        <v>0.48737845923709799</v>
      </c>
      <c r="L8">
        <f t="shared" ref="L8:M8" si="8">L7+1</f>
        <v>5</v>
      </c>
      <c r="M8" s="39">
        <f t="shared" si="8"/>
        <v>2019</v>
      </c>
      <c r="N8" s="40">
        <v>15.32710280373826</v>
      </c>
      <c r="O8" s="29">
        <f t="shared" si="6"/>
        <v>0.22740356937248074</v>
      </c>
    </row>
    <row r="9" spans="2:15" x14ac:dyDescent="0.3">
      <c r="B9">
        <f t="shared" si="0"/>
        <v>6</v>
      </c>
      <c r="C9" s="39">
        <f t="shared" si="1"/>
        <v>2020</v>
      </c>
      <c r="D9" s="40">
        <v>10560</v>
      </c>
      <c r="E9" s="29">
        <f t="shared" si="2"/>
        <v>-6.1066258846960819E-2</v>
      </c>
      <c r="G9">
        <f t="shared" si="3"/>
        <v>6</v>
      </c>
      <c r="H9" s="39">
        <f t="shared" si="3"/>
        <v>2020</v>
      </c>
      <c r="I9" s="40">
        <v>1140.3000000000011</v>
      </c>
      <c r="J9" s="29">
        <f t="shared" si="4"/>
        <v>-0.28323590420516587</v>
      </c>
      <c r="L9">
        <f t="shared" ref="L9:M9" si="9">L8+1</f>
        <v>6</v>
      </c>
      <c r="M9" s="39">
        <f t="shared" si="9"/>
        <v>2020</v>
      </c>
      <c r="N9" s="40">
        <v>2.3157162726009131</v>
      </c>
      <c r="O9" s="29">
        <f t="shared" si="6"/>
        <v>-0.8489136334339642</v>
      </c>
    </row>
    <row r="10" spans="2:15" x14ac:dyDescent="0.3">
      <c r="B10">
        <f t="shared" si="0"/>
        <v>7</v>
      </c>
      <c r="C10" s="39">
        <f t="shared" si="1"/>
        <v>2021</v>
      </c>
      <c r="D10" s="40">
        <v>14662.6</v>
      </c>
      <c r="E10" s="29">
        <f t="shared" si="2"/>
        <v>0.38850378787878781</v>
      </c>
      <c r="G10">
        <f t="shared" si="3"/>
        <v>7</v>
      </c>
      <c r="H10" s="39">
        <f t="shared" si="3"/>
        <v>2021</v>
      </c>
      <c r="I10" s="40">
        <v>2189.1</v>
      </c>
      <c r="J10" s="29">
        <f t="shared" si="4"/>
        <v>0.91975795843198971</v>
      </c>
      <c r="L10">
        <f t="shared" ref="L10:M10" si="10">L9+1</f>
        <v>7</v>
      </c>
      <c r="M10" s="39">
        <f t="shared" si="10"/>
        <v>2021</v>
      </c>
      <c r="N10" s="40">
        <v>50.959666203059783</v>
      </c>
      <c r="O10" s="29">
        <f t="shared" si="6"/>
        <v>21.006006006005251</v>
      </c>
    </row>
    <row r="11" spans="2:15" x14ac:dyDescent="0.3">
      <c r="B11">
        <f t="shared" si="0"/>
        <v>8</v>
      </c>
      <c r="C11" s="39">
        <f t="shared" si="1"/>
        <v>2022</v>
      </c>
      <c r="D11" s="40">
        <v>16612.5</v>
      </c>
      <c r="E11" s="29">
        <f t="shared" si="2"/>
        <v>0.13298460027553083</v>
      </c>
      <c r="G11">
        <f t="shared" si="3"/>
        <v>8</v>
      </c>
      <c r="H11" s="39">
        <f t="shared" si="3"/>
        <v>2022</v>
      </c>
      <c r="I11" s="40">
        <v>2064.6000000000022</v>
      </c>
      <c r="J11" s="29">
        <f t="shared" si="4"/>
        <v>-5.6872687405782107E-2</v>
      </c>
      <c r="L11">
        <f t="shared" ref="L11:M11" si="11">L10+1</f>
        <v>8</v>
      </c>
      <c r="M11" s="39">
        <f t="shared" si="11"/>
        <v>2022</v>
      </c>
      <c r="N11" s="40">
        <v>56.481223922114189</v>
      </c>
      <c r="O11" s="29">
        <f t="shared" si="6"/>
        <v>0.10835152838428286</v>
      </c>
    </row>
    <row r="12" spans="2:15" x14ac:dyDescent="0.3">
      <c r="B12">
        <f t="shared" si="0"/>
        <v>9</v>
      </c>
      <c r="C12" s="39">
        <f t="shared" si="1"/>
        <v>2023</v>
      </c>
      <c r="D12" s="40">
        <v>19059.2</v>
      </c>
      <c r="E12" s="29">
        <f t="shared" si="2"/>
        <v>0.14728066215199398</v>
      </c>
      <c r="G12">
        <f t="shared" si="3"/>
        <v>9</v>
      </c>
      <c r="H12" s="39">
        <f t="shared" si="3"/>
        <v>2023</v>
      </c>
      <c r="I12" s="40">
        <v>2394.2999999999997</v>
      </c>
      <c r="J12" s="29">
        <f t="shared" si="4"/>
        <v>0.15969195001452929</v>
      </c>
      <c r="L12">
        <f t="shared" ref="L12:M12" si="12">L11+1</f>
        <v>9</v>
      </c>
      <c r="M12" s="39">
        <f t="shared" si="12"/>
        <v>2023</v>
      </c>
      <c r="N12" s="40">
        <v>56.495132127955465</v>
      </c>
      <c r="O12" s="29">
        <f t="shared" si="6"/>
        <v>2.4624476729573352E-4</v>
      </c>
    </row>
    <row r="13" spans="2:15" x14ac:dyDescent="0.3">
      <c r="B13">
        <f t="shared" si="0"/>
        <v>10</v>
      </c>
      <c r="C13" s="39">
        <f t="shared" si="1"/>
        <v>2024</v>
      </c>
      <c r="D13" s="40">
        <v>21794</v>
      </c>
      <c r="E13" s="29">
        <f t="shared" si="2"/>
        <v>0.14348975822699783</v>
      </c>
      <c r="G13">
        <f t="shared" si="3"/>
        <v>10</v>
      </c>
      <c r="H13" s="39">
        <f t="shared" si="3"/>
        <v>2024</v>
      </c>
      <c r="I13" s="40">
        <v>3021.8000000000011</v>
      </c>
      <c r="J13" s="29">
        <f t="shared" si="4"/>
        <v>0.262080775174373</v>
      </c>
      <c r="L13">
        <f t="shared" ref="L13:M13" si="13">L12+1</f>
        <v>10</v>
      </c>
      <c r="M13" s="39">
        <f t="shared" si="13"/>
        <v>2024</v>
      </c>
      <c r="N13" s="40">
        <v>88.442280945758071</v>
      </c>
      <c r="O13" s="29">
        <f t="shared" si="6"/>
        <v>0.56548498276711201</v>
      </c>
    </row>
    <row r="14" spans="2:15" x14ac:dyDescent="0.3">
      <c r="B14" s="64">
        <f t="shared" si="0"/>
        <v>11</v>
      </c>
      <c r="C14" s="65">
        <f t="shared" si="1"/>
        <v>2025</v>
      </c>
      <c r="D14" s="66">
        <f>FORECAST(B14,$D$4:$D$13,$B$4:$B$13)</f>
        <v>21844.082000000002</v>
      </c>
      <c r="E14" s="67">
        <f t="shared" si="2"/>
        <v>2.2979719188769288E-3</v>
      </c>
      <c r="G14" s="64">
        <f t="shared" si="3"/>
        <v>11</v>
      </c>
      <c r="H14" s="65">
        <f t="shared" si="3"/>
        <v>2025</v>
      </c>
      <c r="I14" s="66">
        <f>FORECAST(G14,$I$4:$I$13,$G$4:$G$13)</f>
        <v>2965.1966666666681</v>
      </c>
      <c r="J14" s="67">
        <f t="shared" si="4"/>
        <v>-1.8731661040880643E-2</v>
      </c>
      <c r="L14" s="64">
        <f t="shared" ref="L14:M14" si="14">L13+1</f>
        <v>11</v>
      </c>
      <c r="M14" s="65">
        <f t="shared" si="14"/>
        <v>2025</v>
      </c>
      <c r="N14" s="66">
        <f>FORECAST(L14,$N$4:$N$13,$L$4:$L$13)</f>
        <v>77.875986597728968</v>
      </c>
      <c r="O14" s="67">
        <f t="shared" si="6"/>
        <v>-0.1194710746380393</v>
      </c>
    </row>
    <row r="15" spans="2:15" x14ac:dyDescent="0.3">
      <c r="B15" s="64">
        <f t="shared" si="0"/>
        <v>12</v>
      </c>
      <c r="C15" s="65">
        <f t="shared" si="1"/>
        <v>2026</v>
      </c>
      <c r="D15" s="66">
        <f t="shared" ref="D15:D18" si="15">FORECAST(B15,$D$4:$D$13,$B$4:$B$13)</f>
        <v>23539.348363636367</v>
      </c>
      <c r="E15" s="67">
        <f t="shared" si="2"/>
        <v>7.7607581020633587E-2</v>
      </c>
      <c r="G15" s="64">
        <f t="shared" si="3"/>
        <v>12</v>
      </c>
      <c r="H15" s="65">
        <f t="shared" si="3"/>
        <v>2026</v>
      </c>
      <c r="I15" s="66">
        <f t="shared" ref="I15:I18" si="16">FORECAST(G15,$I$4:$I$13,$G$4:$G$13)</f>
        <v>3219.0531515151533</v>
      </c>
      <c r="J15" s="67">
        <f t="shared" si="4"/>
        <v>8.5612022872620708E-2</v>
      </c>
      <c r="L15" s="64">
        <f t="shared" ref="L15:M15" si="17">L14+1</f>
        <v>12</v>
      </c>
      <c r="M15" s="65">
        <f t="shared" si="17"/>
        <v>2026</v>
      </c>
      <c r="N15" s="66">
        <f t="shared" ref="N15:N18" si="18">FORECAST(L15,$N$4:$N$13,$L$4:$L$13)</f>
        <v>86.571765860385938</v>
      </c>
      <c r="O15" s="67">
        <f t="shared" si="6"/>
        <v>0.11166188246930742</v>
      </c>
    </row>
    <row r="16" spans="2:15" x14ac:dyDescent="0.3">
      <c r="B16" s="64">
        <f t="shared" si="0"/>
        <v>13</v>
      </c>
      <c r="C16" s="65">
        <f t="shared" si="1"/>
        <v>2027</v>
      </c>
      <c r="D16" s="66">
        <f t="shared" si="15"/>
        <v>25234.614727272725</v>
      </c>
      <c r="E16" s="67">
        <f t="shared" si="2"/>
        <v>7.2018406688572956E-2</v>
      </c>
      <c r="G16" s="64">
        <f t="shared" si="3"/>
        <v>13</v>
      </c>
      <c r="H16" s="65">
        <f t="shared" si="3"/>
        <v>2027</v>
      </c>
      <c r="I16" s="66">
        <f t="shared" si="16"/>
        <v>3472.9096363636381</v>
      </c>
      <c r="J16" s="67">
        <f t="shared" si="4"/>
        <v>7.886060679954876E-2</v>
      </c>
      <c r="L16" s="64">
        <f t="shared" ref="L16:M16" si="19">L15+1</f>
        <v>13</v>
      </c>
      <c r="M16" s="65">
        <f t="shared" si="19"/>
        <v>2027</v>
      </c>
      <c r="N16" s="66">
        <f t="shared" si="18"/>
        <v>95.267545123042879</v>
      </c>
      <c r="O16" s="67">
        <f t="shared" si="6"/>
        <v>0.10044590376821705</v>
      </c>
    </row>
    <row r="17" spans="2:15" x14ac:dyDescent="0.3">
      <c r="B17" s="64">
        <f t="shared" si="0"/>
        <v>14</v>
      </c>
      <c r="C17" s="65">
        <f t="shared" si="1"/>
        <v>2028</v>
      </c>
      <c r="D17" s="66">
        <f t="shared" si="15"/>
        <v>26929.88109090909</v>
      </c>
      <c r="E17" s="67">
        <f t="shared" si="2"/>
        <v>6.7180196010846016E-2</v>
      </c>
      <c r="G17" s="64">
        <f t="shared" si="3"/>
        <v>14</v>
      </c>
      <c r="H17" s="65">
        <f t="shared" si="3"/>
        <v>2028</v>
      </c>
      <c r="I17" s="66">
        <f t="shared" si="16"/>
        <v>3726.7661212121234</v>
      </c>
      <c r="J17" s="67">
        <f t="shared" si="4"/>
        <v>7.3096196396946755E-2</v>
      </c>
      <c r="L17" s="64">
        <f t="shared" ref="L17:M17" si="20">L16+1</f>
        <v>14</v>
      </c>
      <c r="M17" s="65">
        <f t="shared" si="20"/>
        <v>2028</v>
      </c>
      <c r="N17" s="66">
        <f t="shared" si="18"/>
        <v>103.96332438569982</v>
      </c>
      <c r="O17" s="67">
        <f t="shared" si="6"/>
        <v>9.1277457096494929E-2</v>
      </c>
    </row>
    <row r="18" spans="2:15" x14ac:dyDescent="0.3">
      <c r="B18" s="64">
        <f t="shared" si="0"/>
        <v>15</v>
      </c>
      <c r="C18" s="65">
        <f t="shared" si="1"/>
        <v>2029</v>
      </c>
      <c r="D18" s="66">
        <f t="shared" si="15"/>
        <v>28625.147454545455</v>
      </c>
      <c r="E18" s="67">
        <f t="shared" si="2"/>
        <v>6.29511269624079E-2</v>
      </c>
      <c r="G18" s="64">
        <f t="shared" si="3"/>
        <v>15</v>
      </c>
      <c r="H18" s="65">
        <f t="shared" si="3"/>
        <v>2029</v>
      </c>
      <c r="I18" s="66">
        <f t="shared" si="16"/>
        <v>3980.6226060606082</v>
      </c>
      <c r="J18" s="67">
        <f t="shared" si="4"/>
        <v>6.8117095785425574E-2</v>
      </c>
      <c r="L18" s="64">
        <f t="shared" ref="L18:M18" si="21">L17+1</f>
        <v>15</v>
      </c>
      <c r="M18" s="65">
        <f t="shared" si="21"/>
        <v>2029</v>
      </c>
      <c r="N18" s="66">
        <f t="shared" si="18"/>
        <v>112.65910364835679</v>
      </c>
      <c r="O18" s="67">
        <f t="shared" si="6"/>
        <v>8.3642758771314218E-2</v>
      </c>
    </row>
    <row r="33" spans="2:10" x14ac:dyDescent="0.3">
      <c r="B33" s="68"/>
      <c r="C33" s="68"/>
    </row>
    <row r="41" spans="2:10" x14ac:dyDescent="0.3">
      <c r="B41" s="69"/>
      <c r="C41" s="69"/>
      <c r="D41" s="69"/>
      <c r="E41" s="69"/>
      <c r="F41" s="69"/>
      <c r="G41" s="69"/>
    </row>
    <row r="46" spans="2:10" x14ac:dyDescent="0.3">
      <c r="B46" s="69"/>
      <c r="C46" s="69"/>
      <c r="D46" s="69"/>
      <c r="E46" s="69"/>
      <c r="F46" s="69"/>
      <c r="G46" s="69"/>
      <c r="H46" s="69"/>
      <c r="I46" s="69"/>
      <c r="J46" s="69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2025-06-17T17:29:08Z</cp:lastPrinted>
  <dcterms:created xsi:type="dcterms:W3CDTF">2012-08-17T09:55:37Z</dcterms:created>
  <dcterms:modified xsi:type="dcterms:W3CDTF">2025-06-23T14:21:07Z</dcterms:modified>
</cp:coreProperties>
</file>