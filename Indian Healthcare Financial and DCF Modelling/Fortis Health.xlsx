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2D06CE3-6F56-4554-9928-CFD8F06EEC92}" xr6:coauthVersionLast="47" xr6:coauthVersionMax="47" xr10:uidLastSave="{00000000-0000-0000-0000-000000000000}"/>
  <bookViews>
    <workbookView xWindow="-108" yWindow="-108" windowWidth="23256" windowHeight="12456" firstSheet="9" activeTab="1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&gt;" sheetId="9" r:id="rId5"/>
    <sheet name="Data Sheet" sheetId="6" r:id="rId6"/>
    <sheet name="Financials&gt;" sheetId="7" r:id="rId7"/>
    <sheet name="Historical FS" sheetId="8" r:id="rId8"/>
    <sheet name="Cash Flow Data" sheetId="10" r:id="rId9"/>
    <sheet name="Ratio Analysis" sheetId="11" r:id="rId10"/>
    <sheet name="Forecasting" sheetId="12" r:id="rId11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11" l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2" i="12"/>
  <c r="G2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B2" i="12"/>
  <c r="D4" i="12" a="1"/>
  <c r="D4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E35" i="11"/>
  <c r="G34" i="11"/>
  <c r="I30" i="11"/>
  <c r="H30" i="11"/>
  <c r="M29" i="11"/>
  <c r="M35" i="11" s="1"/>
  <c r="H29" i="11"/>
  <c r="H35" i="11" s="1"/>
  <c r="G29" i="11"/>
  <c r="G35" i="11" s="1"/>
  <c r="F29" i="11"/>
  <c r="F35" i="11" s="1"/>
  <c r="E29" i="11"/>
  <c r="G28" i="11"/>
  <c r="E28" i="11"/>
  <c r="E34" i="11" s="1"/>
  <c r="M27" i="11"/>
  <c r="M33" i="11" s="1"/>
  <c r="L27" i="11"/>
  <c r="L33" i="11" s="1"/>
  <c r="E27" i="11"/>
  <c r="E33" i="11" s="1"/>
  <c r="D29" i="11"/>
  <c r="D28" i="11"/>
  <c r="D27" i="11"/>
  <c r="N21" i="8"/>
  <c r="M21" i="8"/>
  <c r="L21" i="8"/>
  <c r="K21" i="8"/>
  <c r="J21" i="8"/>
  <c r="I21" i="8"/>
  <c r="H21" i="8"/>
  <c r="G21" i="8"/>
  <c r="F21" i="8"/>
  <c r="E21" i="8"/>
  <c r="D21" i="8"/>
  <c r="M3" i="11"/>
  <c r="L3" i="11"/>
  <c r="K3" i="11"/>
  <c r="J3" i="11"/>
  <c r="I3" i="11"/>
  <c r="H3" i="11"/>
  <c r="G3" i="11"/>
  <c r="F3" i="11"/>
  <c r="E3" i="11"/>
  <c r="D3" i="11"/>
  <c r="M104" i="8"/>
  <c r="L104" i="8"/>
  <c r="K104" i="8"/>
  <c r="J104" i="8"/>
  <c r="I104" i="8"/>
  <c r="H104" i="8"/>
  <c r="G104" i="8"/>
  <c r="F104" i="8"/>
  <c r="E104" i="8"/>
  <c r="D104" i="8"/>
  <c r="M103" i="8"/>
  <c r="L103" i="8"/>
  <c r="K103" i="8"/>
  <c r="J103" i="8"/>
  <c r="I103" i="8"/>
  <c r="H103" i="8"/>
  <c r="G103" i="8"/>
  <c r="F103" i="8"/>
  <c r="E103" i="8"/>
  <c r="D103" i="8"/>
  <c r="M102" i="8"/>
  <c r="L102" i="8"/>
  <c r="K102" i="8"/>
  <c r="J102" i="8"/>
  <c r="I102" i="8"/>
  <c r="H102" i="8"/>
  <c r="G102" i="8"/>
  <c r="F102" i="8"/>
  <c r="E102" i="8"/>
  <c r="D102" i="8"/>
  <c r="M101" i="8"/>
  <c r="L101" i="8"/>
  <c r="K101" i="8"/>
  <c r="J101" i="8"/>
  <c r="I101" i="8"/>
  <c r="H101" i="8"/>
  <c r="G101" i="8"/>
  <c r="F101" i="8"/>
  <c r="E101" i="8"/>
  <c r="D101" i="8"/>
  <c r="M100" i="8"/>
  <c r="L100" i="8"/>
  <c r="K100" i="8"/>
  <c r="J100" i="8"/>
  <c r="I100" i="8"/>
  <c r="H100" i="8"/>
  <c r="G100" i="8"/>
  <c r="F100" i="8"/>
  <c r="E100" i="8"/>
  <c r="D100" i="8"/>
  <c r="M99" i="8"/>
  <c r="L99" i="8"/>
  <c r="K99" i="8"/>
  <c r="J99" i="8"/>
  <c r="I99" i="8"/>
  <c r="H99" i="8"/>
  <c r="G99" i="8"/>
  <c r="F99" i="8"/>
  <c r="E99" i="8"/>
  <c r="D99" i="8"/>
  <c r="M98" i="8"/>
  <c r="L98" i="8"/>
  <c r="K98" i="8"/>
  <c r="J98" i="8"/>
  <c r="I98" i="8"/>
  <c r="H98" i="8"/>
  <c r="G98" i="8"/>
  <c r="F98" i="8"/>
  <c r="E98" i="8"/>
  <c r="D98" i="8"/>
  <c r="M97" i="8"/>
  <c r="L97" i="8"/>
  <c r="K97" i="8"/>
  <c r="J97" i="8"/>
  <c r="I97" i="8"/>
  <c r="H97" i="8"/>
  <c r="G97" i="8"/>
  <c r="F97" i="8"/>
  <c r="E97" i="8"/>
  <c r="D97" i="8"/>
  <c r="M93" i="8"/>
  <c r="L93" i="8"/>
  <c r="K93" i="8"/>
  <c r="J93" i="8"/>
  <c r="I93" i="8"/>
  <c r="H93" i="8"/>
  <c r="G93" i="8"/>
  <c r="F93" i="8"/>
  <c r="E93" i="8"/>
  <c r="D93" i="8"/>
  <c r="M92" i="8"/>
  <c r="L92" i="8"/>
  <c r="K92" i="8"/>
  <c r="J92" i="8"/>
  <c r="I92" i="8"/>
  <c r="H92" i="8"/>
  <c r="G92" i="8"/>
  <c r="F92" i="8"/>
  <c r="E92" i="8"/>
  <c r="D92" i="8"/>
  <c r="M91" i="8"/>
  <c r="L91" i="8"/>
  <c r="K91" i="8"/>
  <c r="J91" i="8"/>
  <c r="I91" i="8"/>
  <c r="H91" i="8"/>
  <c r="G91" i="8"/>
  <c r="F91" i="8"/>
  <c r="E91" i="8"/>
  <c r="D91" i="8"/>
  <c r="M90" i="8"/>
  <c r="L90" i="8"/>
  <c r="K90" i="8"/>
  <c r="J90" i="8"/>
  <c r="I90" i="8"/>
  <c r="H90" i="8"/>
  <c r="G90" i="8"/>
  <c r="F90" i="8"/>
  <c r="E90" i="8"/>
  <c r="D90" i="8"/>
  <c r="M89" i="8"/>
  <c r="L89" i="8"/>
  <c r="K89" i="8"/>
  <c r="J89" i="8"/>
  <c r="I89" i="8"/>
  <c r="H89" i="8"/>
  <c r="G89" i="8"/>
  <c r="F89" i="8"/>
  <c r="E89" i="8"/>
  <c r="D89" i="8"/>
  <c r="M88" i="8"/>
  <c r="L88" i="8"/>
  <c r="K88" i="8"/>
  <c r="J88" i="8"/>
  <c r="I88" i="8"/>
  <c r="H88" i="8"/>
  <c r="G88" i="8"/>
  <c r="F88" i="8"/>
  <c r="E88" i="8"/>
  <c r="D88" i="8"/>
  <c r="M87" i="8"/>
  <c r="L87" i="8"/>
  <c r="K87" i="8"/>
  <c r="J87" i="8"/>
  <c r="I87" i="8"/>
  <c r="H87" i="8"/>
  <c r="G87" i="8"/>
  <c r="F87" i="8"/>
  <c r="E87" i="8"/>
  <c r="D87" i="8"/>
  <c r="M86" i="8"/>
  <c r="L86" i="8"/>
  <c r="K86" i="8"/>
  <c r="J86" i="8"/>
  <c r="I86" i="8"/>
  <c r="H86" i="8"/>
  <c r="G86" i="8"/>
  <c r="F86" i="8"/>
  <c r="E86" i="8"/>
  <c r="D86" i="8"/>
  <c r="M85" i="8"/>
  <c r="L85" i="8"/>
  <c r="K85" i="8"/>
  <c r="J85" i="8"/>
  <c r="I85" i="8"/>
  <c r="H85" i="8"/>
  <c r="G85" i="8"/>
  <c r="F85" i="8"/>
  <c r="E85" i="8"/>
  <c r="D85" i="8"/>
  <c r="M84" i="8"/>
  <c r="L84" i="8"/>
  <c r="K84" i="8"/>
  <c r="J84" i="8"/>
  <c r="I84" i="8"/>
  <c r="H84" i="8"/>
  <c r="G84" i="8"/>
  <c r="F84" i="8"/>
  <c r="E84" i="8"/>
  <c r="D84" i="8"/>
  <c r="M83" i="8"/>
  <c r="L83" i="8"/>
  <c r="K83" i="8"/>
  <c r="J83" i="8"/>
  <c r="I83" i="8"/>
  <c r="H83" i="8"/>
  <c r="G83" i="8"/>
  <c r="F83" i="8"/>
  <c r="E83" i="8"/>
  <c r="D83" i="8"/>
  <c r="M79" i="8"/>
  <c r="L79" i="8"/>
  <c r="K79" i="8"/>
  <c r="J79" i="8"/>
  <c r="I79" i="8"/>
  <c r="H79" i="8"/>
  <c r="G79" i="8"/>
  <c r="F79" i="8"/>
  <c r="E79" i="8"/>
  <c r="M78" i="8"/>
  <c r="L78" i="8"/>
  <c r="K78" i="8"/>
  <c r="J78" i="8"/>
  <c r="I78" i="8"/>
  <c r="H78" i="8"/>
  <c r="G78" i="8"/>
  <c r="F78" i="8"/>
  <c r="E78" i="8"/>
  <c r="M77" i="8"/>
  <c r="L77" i="8"/>
  <c r="K77" i="8"/>
  <c r="J77" i="8"/>
  <c r="I77" i="8"/>
  <c r="H77" i="8"/>
  <c r="G77" i="8"/>
  <c r="F77" i="8"/>
  <c r="E77" i="8"/>
  <c r="M76" i="8"/>
  <c r="L76" i="8"/>
  <c r="K76" i="8"/>
  <c r="J76" i="8"/>
  <c r="I76" i="8"/>
  <c r="H76" i="8"/>
  <c r="G76" i="8"/>
  <c r="F76" i="8"/>
  <c r="E76" i="8"/>
  <c r="M75" i="8"/>
  <c r="L75" i="8"/>
  <c r="K75" i="8"/>
  <c r="J75" i="8"/>
  <c r="I75" i="8"/>
  <c r="H75" i="8"/>
  <c r="G75" i="8"/>
  <c r="F75" i="8"/>
  <c r="E75" i="8"/>
  <c r="M74" i="8"/>
  <c r="L74" i="8"/>
  <c r="K74" i="8"/>
  <c r="J74" i="8"/>
  <c r="I74" i="8"/>
  <c r="H74" i="8"/>
  <c r="G74" i="8"/>
  <c r="F74" i="8"/>
  <c r="E74" i="8"/>
  <c r="M73" i="8"/>
  <c r="L73" i="8"/>
  <c r="K73" i="8"/>
  <c r="J73" i="8"/>
  <c r="I73" i="8"/>
  <c r="H73" i="8"/>
  <c r="G73" i="8"/>
  <c r="F73" i="8"/>
  <c r="E73" i="8"/>
  <c r="M72" i="8"/>
  <c r="L72" i="8"/>
  <c r="K72" i="8"/>
  <c r="J72" i="8"/>
  <c r="I72" i="8"/>
  <c r="H72" i="8"/>
  <c r="G72" i="8"/>
  <c r="F72" i="8"/>
  <c r="E72" i="8"/>
  <c r="D74" i="8"/>
  <c r="D79" i="8"/>
  <c r="D78" i="8"/>
  <c r="D77" i="8"/>
  <c r="D76" i="8"/>
  <c r="D75" i="8"/>
  <c r="D73" i="8"/>
  <c r="D72" i="8"/>
  <c r="M57" i="8"/>
  <c r="L57" i="8"/>
  <c r="K57" i="8"/>
  <c r="J57" i="8"/>
  <c r="I57" i="8"/>
  <c r="H57" i="8"/>
  <c r="G57" i="8"/>
  <c r="F57" i="8"/>
  <c r="E57" i="8"/>
  <c r="D57" i="8"/>
  <c r="M62" i="8"/>
  <c r="L62" i="8"/>
  <c r="K62" i="8"/>
  <c r="J62" i="8"/>
  <c r="I62" i="8"/>
  <c r="H62" i="8"/>
  <c r="G62" i="8"/>
  <c r="F62" i="8"/>
  <c r="E62" i="8"/>
  <c r="D62" i="8"/>
  <c r="M61" i="8"/>
  <c r="L61" i="8"/>
  <c r="K61" i="8"/>
  <c r="J61" i="8"/>
  <c r="I61" i="8"/>
  <c r="H61" i="8"/>
  <c r="G61" i="8"/>
  <c r="F61" i="8"/>
  <c r="E61" i="8"/>
  <c r="D61" i="8"/>
  <c r="M60" i="8"/>
  <c r="L60" i="8"/>
  <c r="K60" i="8"/>
  <c r="J60" i="8"/>
  <c r="I60" i="8"/>
  <c r="H60" i="8"/>
  <c r="H63" i="8" s="1"/>
  <c r="G60" i="8"/>
  <c r="G27" i="11" s="1"/>
  <c r="G33" i="11" s="1"/>
  <c r="G36" i="11" s="1"/>
  <c r="F60" i="8"/>
  <c r="E60" i="8"/>
  <c r="D60" i="8"/>
  <c r="M56" i="8"/>
  <c r="L56" i="8"/>
  <c r="K56" i="8"/>
  <c r="J56" i="8"/>
  <c r="I56" i="8"/>
  <c r="H56" i="8"/>
  <c r="G56" i="8"/>
  <c r="F56" i="8"/>
  <c r="E56" i="8"/>
  <c r="D56" i="8"/>
  <c r="M55" i="8"/>
  <c r="L55" i="8"/>
  <c r="K55" i="8"/>
  <c r="J55" i="8"/>
  <c r="I55" i="8"/>
  <c r="H55" i="8"/>
  <c r="G55" i="8"/>
  <c r="F55" i="8"/>
  <c r="E55" i="8"/>
  <c r="D55" i="8"/>
  <c r="M54" i="8"/>
  <c r="M30" i="11" s="1"/>
  <c r="L54" i="8"/>
  <c r="K54" i="8"/>
  <c r="J54" i="8"/>
  <c r="I54" i="8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H28" i="11" s="1"/>
  <c r="H34" i="11" s="1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M31" i="11" s="1"/>
  <c r="L48" i="8"/>
  <c r="L31" i="11" s="1"/>
  <c r="K48" i="8"/>
  <c r="J48" i="8"/>
  <c r="I48" i="8"/>
  <c r="H48" i="8"/>
  <c r="G48" i="8"/>
  <c r="G31" i="11" s="1"/>
  <c r="F48" i="8"/>
  <c r="E48" i="8"/>
  <c r="E31" i="11" s="1"/>
  <c r="D52" i="8"/>
  <c r="D51" i="8"/>
  <c r="D50" i="8"/>
  <c r="D49" i="8"/>
  <c r="D48" i="8"/>
  <c r="D31" i="11" s="1"/>
  <c r="M36" i="8"/>
  <c r="M41" i="8" s="1"/>
  <c r="M9" i="11" s="1"/>
  <c r="L36" i="8"/>
  <c r="L41" i="8" s="1"/>
  <c r="L9" i="11" s="1"/>
  <c r="K36" i="8"/>
  <c r="K41" i="8" s="1"/>
  <c r="J36" i="8"/>
  <c r="J41" i="8" s="1"/>
  <c r="I36" i="8"/>
  <c r="I41" i="8" s="1"/>
  <c r="H36" i="8"/>
  <c r="H41" i="8" s="1"/>
  <c r="G36" i="8"/>
  <c r="G41" i="8" s="1"/>
  <c r="G9" i="11" s="1"/>
  <c r="F36" i="8"/>
  <c r="F41" i="8" s="1"/>
  <c r="E36" i="8"/>
  <c r="E41" i="8" s="1"/>
  <c r="D36" i="8"/>
  <c r="D41" i="8" s="1"/>
  <c r="N30" i="8"/>
  <c r="M30" i="8"/>
  <c r="L30" i="8"/>
  <c r="K30" i="8"/>
  <c r="J30" i="8"/>
  <c r="I30" i="8"/>
  <c r="H30" i="8"/>
  <c r="G30" i="8"/>
  <c r="F30" i="8"/>
  <c r="E30" i="8"/>
  <c r="D30" i="8"/>
  <c r="M24" i="8"/>
  <c r="L24" i="8"/>
  <c r="K24" i="8"/>
  <c r="J24" i="8"/>
  <c r="I24" i="8"/>
  <c r="H24" i="8"/>
  <c r="G24" i="8"/>
  <c r="F24" i="8"/>
  <c r="E24" i="8"/>
  <c r="D24" i="8"/>
  <c r="N24" i="8"/>
  <c r="N14" i="8"/>
  <c r="M14" i="8"/>
  <c r="L14" i="8"/>
  <c r="K14" i="8"/>
  <c r="J14" i="8"/>
  <c r="I14" i="8"/>
  <c r="H14" i="8"/>
  <c r="H15" i="8" s="1"/>
  <c r="H17" i="11" s="1"/>
  <c r="G14" i="8"/>
  <c r="G15" i="8" s="1"/>
  <c r="G17" i="11" s="1"/>
  <c r="F14" i="8"/>
  <c r="E14" i="8"/>
  <c r="D14" i="8"/>
  <c r="N8" i="8"/>
  <c r="M8" i="8"/>
  <c r="M12" i="8" s="1"/>
  <c r="M11" i="11" s="1"/>
  <c r="L8" i="8"/>
  <c r="L12" i="8" s="1"/>
  <c r="L11" i="11" s="1"/>
  <c r="K8" i="8"/>
  <c r="K12" i="8" s="1"/>
  <c r="K11" i="11" s="1"/>
  <c r="J8" i="8"/>
  <c r="I8" i="8"/>
  <c r="H8" i="8"/>
  <c r="G8" i="8"/>
  <c r="F8" i="8"/>
  <c r="E8" i="8"/>
  <c r="D8" i="8"/>
  <c r="D12" i="8" s="1"/>
  <c r="D11" i="11" s="1"/>
  <c r="N5" i="8"/>
  <c r="N12" i="8" s="1"/>
  <c r="M5" i="8"/>
  <c r="L5" i="8"/>
  <c r="L28" i="11" s="1"/>
  <c r="L34" i="11" s="1"/>
  <c r="K5" i="8"/>
  <c r="K31" i="11" s="1"/>
  <c r="J5" i="8"/>
  <c r="J12" i="8" s="1"/>
  <c r="J11" i="11" s="1"/>
  <c r="I5" i="8"/>
  <c r="I12" i="8" s="1"/>
  <c r="I11" i="11" s="1"/>
  <c r="H5" i="8"/>
  <c r="H12" i="8" s="1"/>
  <c r="H11" i="11" s="1"/>
  <c r="G5" i="8"/>
  <c r="G30" i="11" s="1"/>
  <c r="F5" i="8"/>
  <c r="F30" i="11" s="1"/>
  <c r="E5" i="8"/>
  <c r="E30" i="11" s="1"/>
  <c r="D5" i="8"/>
  <c r="D30" i="11" s="1"/>
  <c r="M3" i="8"/>
  <c r="L3" i="8"/>
  <c r="K3" i="8"/>
  <c r="J3" i="8"/>
  <c r="I3" i="8"/>
  <c r="H3" i="8"/>
  <c r="G3" i="8"/>
  <c r="F3" i="8"/>
  <c r="E3" i="8"/>
  <c r="D3" i="8"/>
  <c r="B2" i="8"/>
  <c r="C6" i="3"/>
  <c r="D6" i="3"/>
  <c r="E6" i="3"/>
  <c r="F6" i="3"/>
  <c r="G6" i="3"/>
  <c r="H6" i="3"/>
  <c r="L6" i="1" s="1"/>
  <c r="I6" i="3"/>
  <c r="I14" i="3" s="1"/>
  <c r="J6" i="3"/>
  <c r="J14" i="3" s="1"/>
  <c r="K6" i="3"/>
  <c r="B6" i="3"/>
  <c r="C5" i="1"/>
  <c r="D5" i="1"/>
  <c r="E5" i="1"/>
  <c r="F5" i="1"/>
  <c r="G5" i="1"/>
  <c r="H5" i="1"/>
  <c r="I5" i="1"/>
  <c r="J5" i="1"/>
  <c r="K5" i="1"/>
  <c r="B5" i="1"/>
  <c r="B6" i="6"/>
  <c r="L13" i="1" s="1"/>
  <c r="L14" i="1" s="1"/>
  <c r="L25" i="1" s="1"/>
  <c r="C17" i="2"/>
  <c r="D17" i="2"/>
  <c r="E17" i="2"/>
  <c r="F17" i="2"/>
  <c r="G17" i="2"/>
  <c r="H17" i="2"/>
  <c r="I17" i="2"/>
  <c r="J17" i="2"/>
  <c r="J20" i="2" s="1"/>
  <c r="K17" i="2"/>
  <c r="C18" i="2"/>
  <c r="D18" i="2"/>
  <c r="E18" i="2"/>
  <c r="F18" i="2"/>
  <c r="G18" i="2"/>
  <c r="H18" i="2"/>
  <c r="I18" i="2"/>
  <c r="I21" i="2" s="1"/>
  <c r="J18" i="2"/>
  <c r="K18" i="2"/>
  <c r="K21" i="2" s="1"/>
  <c r="B17" i="2"/>
  <c r="C4" i="2"/>
  <c r="C23" i="2" s="1"/>
  <c r="D4" i="2"/>
  <c r="E4" i="2"/>
  <c r="E5" i="2"/>
  <c r="F4" i="2"/>
  <c r="F23" i="2" s="1"/>
  <c r="G4" i="2"/>
  <c r="H4" i="2"/>
  <c r="I4" i="2"/>
  <c r="I5" i="2"/>
  <c r="J4" i="2"/>
  <c r="J5" i="2"/>
  <c r="J23" i="2" s="1"/>
  <c r="K4" i="2"/>
  <c r="K23" i="2" s="1"/>
  <c r="C5" i="2"/>
  <c r="D5" i="2"/>
  <c r="D23" i="2" s="1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D16" i="2" s="1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E14" i="3" s="1"/>
  <c r="F4" i="3"/>
  <c r="G4" i="3"/>
  <c r="G14" i="3" s="1"/>
  <c r="H4" i="3"/>
  <c r="I4" i="3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L12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0" i="2" s="1"/>
  <c r="D4" i="1"/>
  <c r="E4" i="1"/>
  <c r="E20" i="2" s="1"/>
  <c r="F4" i="1"/>
  <c r="F20" i="2" s="1"/>
  <c r="G4" i="1"/>
  <c r="G6" i="1" s="1"/>
  <c r="G19" i="1" s="1"/>
  <c r="H4" i="1"/>
  <c r="I4" i="1"/>
  <c r="J4" i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H12" i="1"/>
  <c r="H13" i="1" s="1"/>
  <c r="I12" i="1"/>
  <c r="I13" i="1" s="1"/>
  <c r="J12" i="1"/>
  <c r="J13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B7" i="1"/>
  <c r="B4" i="1"/>
  <c r="B6" i="1" s="1"/>
  <c r="B19" i="1" s="1"/>
  <c r="A1" i="1"/>
  <c r="A1" i="2" s="1"/>
  <c r="A1" i="4" s="1"/>
  <c r="E1" i="6"/>
  <c r="H1" i="1" s="1"/>
  <c r="H16" i="2"/>
  <c r="F16" i="2"/>
  <c r="H23" i="2"/>
  <c r="I6" i="1"/>
  <c r="I19" i="1" s="1"/>
  <c r="J6" i="1"/>
  <c r="J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J21" i="2"/>
  <c r="E21" i="2"/>
  <c r="C21" i="2"/>
  <c r="B18" i="2"/>
  <c r="B21" i="2" s="1"/>
  <c r="B13" i="2"/>
  <c r="B12" i="2"/>
  <c r="B11" i="2"/>
  <c r="B10" i="2"/>
  <c r="B8" i="2"/>
  <c r="B7" i="2"/>
  <c r="B6" i="2"/>
  <c r="B3" i="2"/>
  <c r="H14" i="3"/>
  <c r="F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D20" i="2"/>
  <c r="L4" i="1"/>
  <c r="L23" i="1" s="1"/>
  <c r="A1" i="3"/>
  <c r="O30" i="11" l="1"/>
  <c r="E36" i="11"/>
  <c r="L36" i="11"/>
  <c r="L5" i="1"/>
  <c r="K30" i="11"/>
  <c r="D33" i="11"/>
  <c r="J14" i="1"/>
  <c r="I23" i="1"/>
  <c r="I16" i="2"/>
  <c r="M15" i="8"/>
  <c r="M17" i="11" s="1"/>
  <c r="H22" i="8"/>
  <c r="F28" i="11"/>
  <c r="F34" i="11" s="1"/>
  <c r="I29" i="11"/>
  <c r="I35" i="11" s="1"/>
  <c r="L30" i="11"/>
  <c r="D34" i="11"/>
  <c r="K16" i="2"/>
  <c r="J29" i="11"/>
  <c r="J35" i="11" s="1"/>
  <c r="D35" i="11"/>
  <c r="K29" i="11"/>
  <c r="K35" i="11" s="1"/>
  <c r="G23" i="2"/>
  <c r="H9" i="11"/>
  <c r="E12" i="8"/>
  <c r="E11" i="11" s="1"/>
  <c r="O11" i="11" s="1"/>
  <c r="F27" i="11"/>
  <c r="F33" i="11" s="1"/>
  <c r="I28" i="11"/>
  <c r="I34" i="11" s="1"/>
  <c r="L29" i="11"/>
  <c r="L35" i="11" s="1"/>
  <c r="F31" i="11"/>
  <c r="O31" i="11" s="1"/>
  <c r="J30" i="11"/>
  <c r="P30" i="11" s="1"/>
  <c r="L11" i="1"/>
  <c r="G80" i="8"/>
  <c r="F12" i="8"/>
  <c r="F11" i="11" s="1"/>
  <c r="P11" i="11" s="1"/>
  <c r="J28" i="11"/>
  <c r="J34" i="11" s="1"/>
  <c r="J36" i="11" s="1"/>
  <c r="L10" i="1"/>
  <c r="K6" i="1"/>
  <c r="K19" i="1" s="1"/>
  <c r="K24" i="1" s="1"/>
  <c r="G12" i="8"/>
  <c r="G11" i="11" s="1"/>
  <c r="H27" i="11"/>
  <c r="H33" i="11" s="1"/>
  <c r="H36" i="11" s="1"/>
  <c r="K28" i="11"/>
  <c r="K34" i="11" s="1"/>
  <c r="H31" i="11"/>
  <c r="E1" i="3"/>
  <c r="E23" i="2"/>
  <c r="D21" i="2"/>
  <c r="G13" i="1"/>
  <c r="G14" i="1" s="1"/>
  <c r="H25" i="8"/>
  <c r="H18" i="11" s="1"/>
  <c r="I27" i="11"/>
  <c r="I33" i="11" s="1"/>
  <c r="I31" i="11"/>
  <c r="H23" i="1"/>
  <c r="E1" i="2"/>
  <c r="C14" i="1"/>
  <c r="J27" i="11"/>
  <c r="J33" i="11" s="1"/>
  <c r="M28" i="11"/>
  <c r="M34" i="11" s="1"/>
  <c r="M36" i="11" s="1"/>
  <c r="J31" i="11"/>
  <c r="K27" i="11"/>
  <c r="K33" i="11" s="1"/>
  <c r="B15" i="12"/>
  <c r="D13" i="12"/>
  <c r="D12" i="12"/>
  <c r="D11" i="12"/>
  <c r="D10" i="12"/>
  <c r="D9" i="12"/>
  <c r="E9" i="12" s="1"/>
  <c r="D8" i="12"/>
  <c r="D7" i="12"/>
  <c r="D6" i="12"/>
  <c r="D5" i="12"/>
  <c r="E5" i="12" s="1"/>
  <c r="J9" i="11"/>
  <c r="K9" i="11"/>
  <c r="G63" i="8"/>
  <c r="L58" i="8"/>
  <c r="F80" i="8"/>
  <c r="H80" i="8"/>
  <c r="H107" i="8" s="1"/>
  <c r="I63" i="8"/>
  <c r="G94" i="8"/>
  <c r="E105" i="8"/>
  <c r="G105" i="8"/>
  <c r="D58" i="8"/>
  <c r="J63" i="8"/>
  <c r="H94" i="8"/>
  <c r="F94" i="8"/>
  <c r="K80" i="8"/>
  <c r="I105" i="8"/>
  <c r="M105" i="8"/>
  <c r="D94" i="8"/>
  <c r="E58" i="8"/>
  <c r="G58" i="8"/>
  <c r="K63" i="8"/>
  <c r="E94" i="8"/>
  <c r="N25" i="8"/>
  <c r="F9" i="11"/>
  <c r="F58" i="8"/>
  <c r="L63" i="8"/>
  <c r="L65" i="8" s="1"/>
  <c r="L67" i="8" s="1"/>
  <c r="D80" i="8"/>
  <c r="I80" i="8"/>
  <c r="L80" i="8"/>
  <c r="M63" i="8"/>
  <c r="J80" i="8"/>
  <c r="D105" i="8"/>
  <c r="H58" i="8"/>
  <c r="H65" i="8" s="1"/>
  <c r="H67" i="8" s="1"/>
  <c r="G107" i="8"/>
  <c r="I9" i="11"/>
  <c r="I58" i="8"/>
  <c r="I65" i="8" s="1"/>
  <c r="I67" i="8" s="1"/>
  <c r="K58" i="8"/>
  <c r="M58" i="8"/>
  <c r="E63" i="8"/>
  <c r="I94" i="8"/>
  <c r="M94" i="8"/>
  <c r="F105" i="8"/>
  <c r="G22" i="8"/>
  <c r="G25" i="8"/>
  <c r="G18" i="11" s="1"/>
  <c r="J58" i="8"/>
  <c r="D63" i="8"/>
  <c r="F63" i="8"/>
  <c r="M80" i="8"/>
  <c r="J94" i="8"/>
  <c r="L94" i="8"/>
  <c r="L107" i="8" s="1"/>
  <c r="K94" i="8"/>
  <c r="H105" i="8"/>
  <c r="L105" i="8"/>
  <c r="F6" i="8"/>
  <c r="F5" i="11" s="1"/>
  <c r="G11" i="8"/>
  <c r="G17" i="8" s="1"/>
  <c r="I15" i="8"/>
  <c r="I17" i="11" s="1"/>
  <c r="J105" i="8"/>
  <c r="H6" i="8"/>
  <c r="H5" i="11" s="1"/>
  <c r="E80" i="8"/>
  <c r="K105" i="8"/>
  <c r="E9" i="11"/>
  <c r="I107" i="8"/>
  <c r="I25" i="8"/>
  <c r="I18" i="11" s="1"/>
  <c r="N6" i="8"/>
  <c r="J22" i="8"/>
  <c r="J25" i="8"/>
  <c r="J18" i="11" s="1"/>
  <c r="K25" i="8"/>
  <c r="K18" i="11" s="1"/>
  <c r="J15" i="8"/>
  <c r="J17" i="11" s="1"/>
  <c r="D22" i="8"/>
  <c r="G6" i="8"/>
  <c r="G5" i="11" s="1"/>
  <c r="H11" i="8"/>
  <c r="H17" i="8" s="1"/>
  <c r="E25" i="8"/>
  <c r="E18" i="11" s="1"/>
  <c r="M25" i="8"/>
  <c r="M18" i="11" s="1"/>
  <c r="F22" i="8"/>
  <c r="H9" i="8"/>
  <c r="M9" i="8"/>
  <c r="J11" i="8"/>
  <c r="J17" i="8" s="1"/>
  <c r="D25" i="8"/>
  <c r="D18" i="11" s="1"/>
  <c r="M22" i="8"/>
  <c r="L22" i="8"/>
  <c r="I11" i="8"/>
  <c r="I17" i="8" s="1"/>
  <c r="F25" i="8"/>
  <c r="F18" i="11" s="1"/>
  <c r="D15" i="8"/>
  <c r="D17" i="11" s="1"/>
  <c r="E9" i="8"/>
  <c r="F15" i="8"/>
  <c r="F17" i="11" s="1"/>
  <c r="G9" i="8"/>
  <c r="I6" i="8"/>
  <c r="I5" i="11" s="1"/>
  <c r="I9" i="8"/>
  <c r="L25" i="8"/>
  <c r="L18" i="11" s="1"/>
  <c r="D9" i="8"/>
  <c r="J9" i="8"/>
  <c r="K6" i="8"/>
  <c r="K5" i="11" s="1"/>
  <c r="F9" i="8"/>
  <c r="N9" i="8"/>
  <c r="N22" i="8"/>
  <c r="K11" i="8"/>
  <c r="K17" i="8" s="1"/>
  <c r="K15" i="8"/>
  <c r="K17" i="11" s="1"/>
  <c r="L11" i="8"/>
  <c r="L17" i="8" s="1"/>
  <c r="L15" i="8"/>
  <c r="L17" i="11" s="1"/>
  <c r="E6" i="8"/>
  <c r="E5" i="11" s="1"/>
  <c r="E22" i="8"/>
  <c r="L6" i="8"/>
  <c r="L5" i="11" s="1"/>
  <c r="E11" i="8"/>
  <c r="E17" i="8" s="1"/>
  <c r="E15" i="8"/>
  <c r="E17" i="11" s="1"/>
  <c r="I22" i="8"/>
  <c r="M6" i="8"/>
  <c r="M5" i="11" s="1"/>
  <c r="F11" i="8"/>
  <c r="F17" i="8" s="1"/>
  <c r="K9" i="8"/>
  <c r="M11" i="8"/>
  <c r="M17" i="8" s="1"/>
  <c r="L9" i="8"/>
  <c r="N11" i="8"/>
  <c r="N17" i="8" s="1"/>
  <c r="N18" i="8" s="1"/>
  <c r="N15" i="8"/>
  <c r="J6" i="8"/>
  <c r="J5" i="11" s="1"/>
  <c r="D11" i="8"/>
  <c r="D17" i="8" s="1"/>
  <c r="K22" i="8"/>
  <c r="N11" i="1"/>
  <c r="M11" i="1"/>
  <c r="B14" i="1"/>
  <c r="L19" i="1"/>
  <c r="L24" i="1" s="1"/>
  <c r="G20" i="2"/>
  <c r="D6" i="1"/>
  <c r="D19" i="1" s="1"/>
  <c r="H24" i="1" s="1"/>
  <c r="J16" i="2"/>
  <c r="G16" i="2"/>
  <c r="D13" i="1"/>
  <c r="E13" i="1" s="1"/>
  <c r="E14" i="1" s="1"/>
  <c r="I25" i="1" s="1"/>
  <c r="E24" i="2"/>
  <c r="L7" i="1"/>
  <c r="D14" i="3"/>
  <c r="D24" i="2"/>
  <c r="F21" i="2"/>
  <c r="K24" i="2"/>
  <c r="B14" i="3"/>
  <c r="G21" i="2"/>
  <c r="E6" i="1"/>
  <c r="E19" i="1" s="1"/>
  <c r="I24" i="1" s="1"/>
  <c r="I14" i="1"/>
  <c r="K25" i="1" s="1"/>
  <c r="M25" i="1" s="1"/>
  <c r="M14" i="1" s="1"/>
  <c r="C24" i="2"/>
  <c r="I23" i="2"/>
  <c r="J23" i="1"/>
  <c r="H21" i="2"/>
  <c r="B23" i="2"/>
  <c r="H14" i="1"/>
  <c r="C6" i="1"/>
  <c r="C19" i="1" s="1"/>
  <c r="L8" i="1"/>
  <c r="J24" i="2"/>
  <c r="B20" i="2"/>
  <c r="K14" i="3"/>
  <c r="I24" i="2"/>
  <c r="H24" i="2"/>
  <c r="B16" i="2"/>
  <c r="G24" i="2"/>
  <c r="L9" i="1"/>
  <c r="M9" i="1" s="1"/>
  <c r="E16" i="2"/>
  <c r="F24" i="2"/>
  <c r="J25" i="1"/>
  <c r="N9" i="1"/>
  <c r="N8" i="1"/>
  <c r="M8" i="1"/>
  <c r="I20" i="2"/>
  <c r="J24" i="1"/>
  <c r="H20" i="2"/>
  <c r="K23" i="1"/>
  <c r="M23" i="1" s="1"/>
  <c r="M4" i="1" s="1"/>
  <c r="H6" i="1"/>
  <c r="H19" i="1" s="1"/>
  <c r="F6" i="1"/>
  <c r="F19" i="1" s="1"/>
  <c r="E1" i="4"/>
  <c r="P5" i="11" l="1"/>
  <c r="O5" i="11"/>
  <c r="L40" i="11"/>
  <c r="L39" i="11"/>
  <c r="L38" i="11"/>
  <c r="F38" i="11"/>
  <c r="F40" i="11"/>
  <c r="K36" i="11"/>
  <c r="O28" i="11"/>
  <c r="I39" i="11"/>
  <c r="I38" i="11"/>
  <c r="I40" i="11"/>
  <c r="I36" i="11"/>
  <c r="P27" i="11"/>
  <c r="L25" i="11"/>
  <c r="L21" i="11"/>
  <c r="L13" i="11"/>
  <c r="L19" i="11" s="1"/>
  <c r="L18" i="8"/>
  <c r="L12" i="11" s="1"/>
  <c r="D40" i="11"/>
  <c r="D38" i="11"/>
  <c r="K40" i="11"/>
  <c r="K38" i="11"/>
  <c r="F36" i="11"/>
  <c r="M25" i="11"/>
  <c r="M21" i="11"/>
  <c r="M18" i="8"/>
  <c r="M12" i="11" s="1"/>
  <c r="M13" i="11"/>
  <c r="M19" i="11" s="1"/>
  <c r="K25" i="11"/>
  <c r="K21" i="11"/>
  <c r="K13" i="11"/>
  <c r="K19" i="11" s="1"/>
  <c r="K18" i="8"/>
  <c r="K12" i="11" s="1"/>
  <c r="P9" i="11"/>
  <c r="O9" i="11"/>
  <c r="J18" i="8"/>
  <c r="J12" i="11" s="1"/>
  <c r="J25" i="11"/>
  <c r="J21" i="11"/>
  <c r="J13" i="11"/>
  <c r="J19" i="11" s="1"/>
  <c r="P34" i="11"/>
  <c r="D36" i="11"/>
  <c r="O34" i="11"/>
  <c r="O17" i="11"/>
  <c r="P17" i="11"/>
  <c r="P31" i="11"/>
  <c r="H39" i="11"/>
  <c r="H40" i="11"/>
  <c r="H38" i="11"/>
  <c r="M24" i="1"/>
  <c r="F6" i="11"/>
  <c r="F18" i="8"/>
  <c r="F12" i="11" s="1"/>
  <c r="F25" i="11"/>
  <c r="F21" i="11"/>
  <c r="F13" i="11"/>
  <c r="F19" i="11" s="1"/>
  <c r="H18" i="8"/>
  <c r="H12" i="11" s="1"/>
  <c r="H25" i="11"/>
  <c r="H21" i="11"/>
  <c r="H13" i="11"/>
  <c r="H19" i="11" s="1"/>
  <c r="M107" i="8"/>
  <c r="M40" i="11"/>
  <c r="M38" i="11"/>
  <c r="E38" i="11"/>
  <c r="E40" i="11"/>
  <c r="I18" i="8"/>
  <c r="I12" i="11" s="1"/>
  <c r="I25" i="11"/>
  <c r="I21" i="11"/>
  <c r="I13" i="11"/>
  <c r="I19" i="11" s="1"/>
  <c r="G38" i="11"/>
  <c r="G39" i="11"/>
  <c r="G40" i="11"/>
  <c r="O35" i="11"/>
  <c r="P35" i="11"/>
  <c r="O29" i="11"/>
  <c r="P29" i="11"/>
  <c r="E6" i="11"/>
  <c r="E13" i="11"/>
  <c r="E19" i="11" s="1"/>
  <c r="E18" i="8"/>
  <c r="E12" i="11" s="1"/>
  <c r="E25" i="11"/>
  <c r="E21" i="11"/>
  <c r="O33" i="11"/>
  <c r="P33" i="11"/>
  <c r="D21" i="11"/>
  <c r="I4" i="12" a="1"/>
  <c r="D13" i="11"/>
  <c r="D18" i="8"/>
  <c r="D12" i="11" s="1"/>
  <c r="D25" i="11"/>
  <c r="O18" i="11"/>
  <c r="P18" i="11"/>
  <c r="G27" i="8"/>
  <c r="G28" i="8" s="1"/>
  <c r="G14" i="11" s="1"/>
  <c r="G18" i="8"/>
  <c r="G12" i="11" s="1"/>
  <c r="G25" i="11"/>
  <c r="G21" i="11"/>
  <c r="G13" i="11"/>
  <c r="G19" i="11" s="1"/>
  <c r="J39" i="11"/>
  <c r="J40" i="11"/>
  <c r="J38" i="11"/>
  <c r="O27" i="11"/>
  <c r="P28" i="11"/>
  <c r="E12" i="12"/>
  <c r="E13" i="12"/>
  <c r="E10" i="12"/>
  <c r="E6" i="12"/>
  <c r="E7" i="12"/>
  <c r="D14" i="12"/>
  <c r="E14" i="12" s="1"/>
  <c r="E8" i="12"/>
  <c r="E11" i="12"/>
  <c r="B16" i="12"/>
  <c r="D15" i="12"/>
  <c r="E107" i="8"/>
  <c r="K107" i="8"/>
  <c r="F65" i="8"/>
  <c r="F67" i="8" s="1"/>
  <c r="D107" i="8"/>
  <c r="G65" i="8"/>
  <c r="G67" i="8" s="1"/>
  <c r="E65" i="8"/>
  <c r="E67" i="8" s="1"/>
  <c r="F107" i="8"/>
  <c r="J65" i="8"/>
  <c r="J67" i="8" s="1"/>
  <c r="G19" i="8"/>
  <c r="H6" i="11"/>
  <c r="M6" i="11"/>
  <c r="D65" i="8"/>
  <c r="D67" i="8" s="1"/>
  <c r="J107" i="8"/>
  <c r="K65" i="8"/>
  <c r="K67" i="8" s="1"/>
  <c r="J6" i="11"/>
  <c r="M65" i="8"/>
  <c r="M67" i="8" s="1"/>
  <c r="I6" i="11"/>
  <c r="H27" i="8"/>
  <c r="K6" i="11"/>
  <c r="I19" i="8"/>
  <c r="I27" i="8"/>
  <c r="H19" i="8"/>
  <c r="J19" i="8"/>
  <c r="L6" i="11"/>
  <c r="J27" i="8"/>
  <c r="G6" i="11"/>
  <c r="E19" i="8"/>
  <c r="E27" i="8"/>
  <c r="M27" i="8"/>
  <c r="M19" i="8"/>
  <c r="D19" i="8"/>
  <c r="D27" i="8"/>
  <c r="N27" i="8"/>
  <c r="N19" i="8"/>
  <c r="L27" i="8"/>
  <c r="L19" i="8"/>
  <c r="K27" i="8"/>
  <c r="K19" i="8"/>
  <c r="F19" i="8"/>
  <c r="F27" i="8"/>
  <c r="D14" i="1"/>
  <c r="H25" i="1" s="1"/>
  <c r="N25" i="1" s="1"/>
  <c r="N14" i="1" s="1"/>
  <c r="N24" i="1"/>
  <c r="N23" i="1"/>
  <c r="N4" i="1" s="1"/>
  <c r="N6" i="1" s="1"/>
  <c r="N10" i="1" s="1"/>
  <c r="N12" i="1" s="1"/>
  <c r="N13" i="1" s="1"/>
  <c r="M6" i="1"/>
  <c r="M10" i="1" s="1"/>
  <c r="M12" i="1" s="1"/>
  <c r="M13" i="1" s="1"/>
  <c r="M15" i="1" s="1"/>
  <c r="K39" i="11" l="1"/>
  <c r="P38" i="11"/>
  <c r="O38" i="11"/>
  <c r="D39" i="11"/>
  <c r="F39" i="11"/>
  <c r="P6" i="11"/>
  <c r="O6" i="11"/>
  <c r="P36" i="11"/>
  <c r="O36" i="11"/>
  <c r="P25" i="11"/>
  <c r="O25" i="11"/>
  <c r="E39" i="11"/>
  <c r="G7" i="11"/>
  <c r="G33" i="8"/>
  <c r="G23" i="11" s="1"/>
  <c r="O12" i="11"/>
  <c r="P12" i="11"/>
  <c r="P40" i="11"/>
  <c r="O40" i="11"/>
  <c r="G31" i="8"/>
  <c r="O13" i="11"/>
  <c r="D19" i="11"/>
  <c r="P13" i="11"/>
  <c r="M39" i="11"/>
  <c r="I4" i="12"/>
  <c r="I6" i="12"/>
  <c r="I7" i="12"/>
  <c r="J7" i="12" s="1"/>
  <c r="I10" i="12"/>
  <c r="I8" i="12"/>
  <c r="J8" i="12" s="1"/>
  <c r="I12" i="12"/>
  <c r="I13" i="12"/>
  <c r="J13" i="12" s="1"/>
  <c r="I11" i="12"/>
  <c r="J11" i="12" s="1"/>
  <c r="I9" i="12"/>
  <c r="J9" i="12" s="1"/>
  <c r="I5" i="12"/>
  <c r="O21" i="11"/>
  <c r="P21" i="11"/>
  <c r="B17" i="12"/>
  <c r="D16" i="12"/>
  <c r="E16" i="12" s="1"/>
  <c r="E15" i="12"/>
  <c r="K7" i="11"/>
  <c r="M7" i="11"/>
  <c r="L7" i="11"/>
  <c r="E7" i="11"/>
  <c r="J28" i="8"/>
  <c r="J14" i="11" s="1"/>
  <c r="J7" i="11"/>
  <c r="I31" i="8"/>
  <c r="I7" i="11"/>
  <c r="I28" i="8"/>
  <c r="I14" i="11" s="1"/>
  <c r="I33" i="8"/>
  <c r="I23" i="11" s="1"/>
  <c r="J31" i="8"/>
  <c r="H7" i="11"/>
  <c r="H28" i="8"/>
  <c r="H14" i="11" s="1"/>
  <c r="H31" i="8"/>
  <c r="H33" i="8"/>
  <c r="H23" i="11" s="1"/>
  <c r="F7" i="11"/>
  <c r="J33" i="8"/>
  <c r="J23" i="11" s="1"/>
  <c r="F28" i="8"/>
  <c r="F14" i="11" s="1"/>
  <c r="F31" i="8"/>
  <c r="F33" i="8"/>
  <c r="F23" i="11" s="1"/>
  <c r="K28" i="8"/>
  <c r="K14" i="11" s="1"/>
  <c r="K31" i="8"/>
  <c r="K33" i="8"/>
  <c r="G38" i="8"/>
  <c r="G34" i="8"/>
  <c r="G15" i="11" s="1"/>
  <c r="L28" i="8"/>
  <c r="L14" i="11" s="1"/>
  <c r="L33" i="8"/>
  <c r="L23" i="11" s="1"/>
  <c r="L31" i="8"/>
  <c r="N33" i="8"/>
  <c r="N28" i="8"/>
  <c r="N31" i="8"/>
  <c r="E28" i="8"/>
  <c r="E14" i="11" s="1"/>
  <c r="E31" i="8"/>
  <c r="E33" i="8"/>
  <c r="E23" i="11" s="1"/>
  <c r="M28" i="8"/>
  <c r="M14" i="11" s="1"/>
  <c r="M33" i="8"/>
  <c r="M23" i="11" s="1"/>
  <c r="M31" i="8"/>
  <c r="D33" i="8"/>
  <c r="D23" i="11" s="1"/>
  <c r="D28" i="8"/>
  <c r="D14" i="11" s="1"/>
  <c r="D31" i="8"/>
  <c r="N5" i="1"/>
  <c r="N15" i="1"/>
  <c r="M5" i="1"/>
  <c r="I14" i="12" l="1"/>
  <c r="J14" i="12" s="1"/>
  <c r="I18" i="12"/>
  <c r="I16" i="12"/>
  <c r="I17" i="12"/>
  <c r="J17" i="12" s="1"/>
  <c r="I15" i="12"/>
  <c r="J15" i="12" s="1"/>
  <c r="P7" i="11"/>
  <c r="O7" i="11"/>
  <c r="J5" i="12"/>
  <c r="O19" i="11"/>
  <c r="P19" i="11"/>
  <c r="O14" i="11"/>
  <c r="P14" i="11"/>
  <c r="K8" i="11"/>
  <c r="K23" i="11"/>
  <c r="P23" i="11" s="1"/>
  <c r="J12" i="12"/>
  <c r="P39" i="11"/>
  <c r="O39" i="11"/>
  <c r="J10" i="12"/>
  <c r="J6" i="12"/>
  <c r="B18" i="12"/>
  <c r="D18" i="12" s="1"/>
  <c r="D17" i="12"/>
  <c r="E17" i="12" s="1"/>
  <c r="M8" i="11"/>
  <c r="E8" i="11"/>
  <c r="F8" i="11"/>
  <c r="G8" i="11"/>
  <c r="L8" i="11"/>
  <c r="H8" i="11"/>
  <c r="H38" i="8"/>
  <c r="H34" i="8"/>
  <c r="H15" i="11" s="1"/>
  <c r="I8" i="11"/>
  <c r="I34" i="8"/>
  <c r="I15" i="11" s="1"/>
  <c r="I38" i="8"/>
  <c r="N34" i="8"/>
  <c r="J8" i="11"/>
  <c r="J38" i="8"/>
  <c r="J34" i="8"/>
  <c r="J15" i="11" s="1"/>
  <c r="G42" i="8"/>
  <c r="G44" i="8"/>
  <c r="G22" i="11" s="1"/>
  <c r="G24" i="11" s="1"/>
  <c r="D34" i="8"/>
  <c r="D15" i="11" s="1"/>
  <c r="D38" i="8"/>
  <c r="L34" i="8"/>
  <c r="L15" i="11" s="1"/>
  <c r="L38" i="8"/>
  <c r="M34" i="8"/>
  <c r="M15" i="11" s="1"/>
  <c r="M38" i="8"/>
  <c r="E34" i="8"/>
  <c r="E15" i="11" s="1"/>
  <c r="E38" i="8"/>
  <c r="K34" i="8"/>
  <c r="K15" i="11" s="1"/>
  <c r="K38" i="8"/>
  <c r="F38" i="8"/>
  <c r="F34" i="8"/>
  <c r="F15" i="11" s="1"/>
  <c r="N4" i="12" l="1" a="1"/>
  <c r="O15" i="11"/>
  <c r="P15" i="11"/>
  <c r="J16" i="12"/>
  <c r="O23" i="11"/>
  <c r="J18" i="12"/>
  <c r="P8" i="11"/>
  <c r="O8" i="11"/>
  <c r="E18" i="12"/>
  <c r="J39" i="8"/>
  <c r="J44" i="8"/>
  <c r="J22" i="11" s="1"/>
  <c r="J24" i="11" s="1"/>
  <c r="J42" i="8"/>
  <c r="I44" i="8"/>
  <c r="I22" i="11" s="1"/>
  <c r="I24" i="11" s="1"/>
  <c r="I42" i="8"/>
  <c r="I39" i="8"/>
  <c r="H39" i="8"/>
  <c r="H42" i="8"/>
  <c r="H44" i="8"/>
  <c r="H22" i="11" s="1"/>
  <c r="H24" i="11" s="1"/>
  <c r="F39" i="8"/>
  <c r="F44" i="8"/>
  <c r="F22" i="11" s="1"/>
  <c r="F24" i="11" s="1"/>
  <c r="F42" i="8"/>
  <c r="K39" i="8"/>
  <c r="K42" i="8"/>
  <c r="K44" i="8"/>
  <c r="K22" i="11" s="1"/>
  <c r="K24" i="11" s="1"/>
  <c r="E39" i="8"/>
  <c r="E44" i="8"/>
  <c r="E22" i="11" s="1"/>
  <c r="E24" i="11" s="1"/>
  <c r="E42" i="8"/>
  <c r="M39" i="8"/>
  <c r="M42" i="8"/>
  <c r="M44" i="8"/>
  <c r="M22" i="11" s="1"/>
  <c r="M24" i="11" s="1"/>
  <c r="L42" i="8"/>
  <c r="L44" i="8"/>
  <c r="L22" i="11" s="1"/>
  <c r="L24" i="11" s="1"/>
  <c r="D42" i="8"/>
  <c r="D44" i="8"/>
  <c r="D22" i="11" s="1"/>
  <c r="L39" i="8"/>
  <c r="G39" i="8"/>
  <c r="P22" i="11" l="1"/>
  <c r="D24" i="11"/>
  <c r="O22" i="11"/>
  <c r="N8" i="12"/>
  <c r="O8" i="12" s="1"/>
  <c r="N7" i="12"/>
  <c r="N6" i="12"/>
  <c r="N11" i="12"/>
  <c r="N5" i="12"/>
  <c r="N10" i="12"/>
  <c r="O10" i="12" s="1"/>
  <c r="N13" i="12"/>
  <c r="N4" i="12"/>
  <c r="N12" i="12"/>
  <c r="O12" i="12" s="1"/>
  <c r="N9" i="12"/>
  <c r="N14" i="12" l="1"/>
  <c r="O14" i="12" s="1"/>
  <c r="N16" i="12"/>
  <c r="N17" i="12"/>
  <c r="O17" i="12" s="1"/>
  <c r="N15" i="12"/>
  <c r="O15" i="12" s="1"/>
  <c r="N18" i="12"/>
  <c r="O18" i="12" s="1"/>
  <c r="O6" i="12"/>
  <c r="O11" i="12"/>
  <c r="O7" i="12"/>
  <c r="O13" i="12"/>
  <c r="O5" i="12"/>
  <c r="P24" i="11"/>
  <c r="O24" i="11"/>
  <c r="O9" i="12"/>
  <c r="O16" i="12" l="1"/>
</calcChain>
</file>

<file path=xl/sharedStrings.xml><?xml version="1.0" encoding="utf-8"?>
<sst xmlns="http://schemas.openxmlformats.org/spreadsheetml/2006/main" count="294" uniqueCount="180">
  <si>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</si>
  <si>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</si>
  <si>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</si>
  <si>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</si>
  <si>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</si>
  <si>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</si>
  <si>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</si>
  <si>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</si>
  <si>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</si>
  <si>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</si>
  <si>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</si>
  <si>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</si>
  <si>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</si>
  <si>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</si>
  <si>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</si>
  <si>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</si>
  <si>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</si>
  <si>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</si>
  <si>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</si>
  <si>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</si>
  <si>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</si>
  <si>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</si>
  <si>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</si>
  <si>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</si>
  <si>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</si>
  <si>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</si>
  <si>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</si>
  <si>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</si>
  <si>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</si>
  <si>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</si>
  <si>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</si>
  <si>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</si>
  <si>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</si>
  <si>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</si>
  <si>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</si>
  <si>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</si>
  <si>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</si>
  <si>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</si>
  <si>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</si>
  <si>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</si>
  <si>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</si>
  <si>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</si>
  <si>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</si>
  <si>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</si>
  <si>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</si>
  <si>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</si>
  <si>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</si>
  <si>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</si>
  <si>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</si>
  <si>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</si>
  <si>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</si>
  <si>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</si>
  <si>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</si>
  <si>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FORTIS HEALTHCARE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</si>
  <si>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</si>
  <si>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</si>
  <si>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</si>
  <si>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</si>
  <si>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</si>
  <si>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</si>
  <si>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</si>
  <si>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</si>
  <si>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</si>
  <si>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</si>
  <si>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</si>
  <si>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</si>
  <si>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</si>
  <si>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</si>
  <si>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</si>
  <si>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</si>
  <si>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</si>
  <si>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</si>
  <si>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</si>
  <si>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</si>
  <si>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</si>
  <si>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</si>
  <si>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</si>
  <si>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</si>
  <si>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</si>
  <si>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</si>
  <si>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G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</si>
  <si>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</si>
  <si>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</si>
  <si>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</si>
  <si>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</si>
  <si>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</si>
  <si>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</si>
  <si>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</si>
  <si>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</si>
  <si>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</si>
  <si>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</si>
  <si>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</si>
  <si>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</si>
  <si>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 xml:space="preserve"> Interest % Sales</t>
  </si>
  <si>
    <t>Depreciation % Sales</t>
  </si>
  <si>
    <t>Earning before Taxes</t>
  </si>
  <si>
    <t>EBT % Sales</t>
  </si>
  <si>
    <t xml:space="preserve"> </t>
  </si>
  <si>
    <t>Effective Tax Rate</t>
  </si>
  <si>
    <t>Net Profit</t>
  </si>
  <si>
    <t>Net Margins</t>
  </si>
  <si>
    <t>EPS(Earning per share)</t>
  </si>
  <si>
    <t>Dividend per share</t>
  </si>
  <si>
    <t>EPS Growth%)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</si>
  <si>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</si>
  <si>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</si>
  <si>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</si>
  <si>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</si>
  <si>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</si>
  <si>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</si>
  <si>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</si>
  <si>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</si>
  <si>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</si>
  <si>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</si>
  <si>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</si>
  <si>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</si>
  <si>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</si>
  <si>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</si>
  <si>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</si>
  <si>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</si>
  <si>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</si>
  <si>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</si>
  <si>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</si>
  <si>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</si>
  <si>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</si>
  <si>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</si>
  <si>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</si>
  <si>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</si>
  <si>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</si>
  <si>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</si>
  <si>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</si>
  <si>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</si>
  <si>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</si>
  <si>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</si>
  <si>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</si>
  <si>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</si>
  <si>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</si>
  <si>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</si>
  <si>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</si>
  <si>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Cash from Operating Activities</t>
  </si>
  <si>
    <t>Cash Flow Statements</t>
  </si>
  <si>
    <t>Operating Activites</t>
  </si>
  <si>
    <t>Investing Activites</t>
  </si>
  <si>
    <t>Cash from Investing Activities</t>
  </si>
  <si>
    <t>Financial Activities</t>
  </si>
  <si>
    <t>Cash from Financing Activites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</si>
  <si>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</si>
  <si>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</si>
  <si>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</si>
  <si>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</si>
  <si>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</si>
  <si>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</si>
  <si>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</si>
  <si>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</si>
  <si>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</si>
  <si>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</si>
  <si>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</si>
  <si>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</si>
  <si>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</si>
  <si>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</si>
  <si>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</si>
  <si>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</si>
  <si>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</si>
  <si>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</si>
  <si>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</si>
  <si>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</si>
  <si>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</si>
  <si>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</si>
  <si>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</si>
  <si>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</si>
  <si>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</si>
  <si>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</si>
  <si>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</si>
  <si>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Interest Coverage Ratio</t>
  </si>
  <si>
    <t>Mean</t>
  </si>
  <si>
    <t>Median</t>
  </si>
  <si>
    <t>Trend</t>
  </si>
  <si>
    <t>Year Weight</t>
  </si>
  <si>
    <t>Year</t>
  </si>
  <si>
    <t>Operating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</si>
</sst>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#,##0.00\)"/>
    <numFmt numFmtId="167" formatCode="0.0%"/>
    <numFmt numFmtId="168" formatCode="&quot;₹&quot;\ #,##0.00"/>
    <numFmt numFmtId="169" formatCode="0.00\x"/>
    <numFmt numFmtId="170" formatCode="#,##0.00&quot;x&quot;"/>
    <numFmt numFmtId="171" formatCode="0.00&quot;x&quot;"/>
    <numFmt numFmtId="172" formatCode="0&quot;A&quot;"/>
    <numFmt numFmtId="173" formatCode="0&quot;E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dotted">
        <color rgb="FF002060"/>
      </top>
      <bottom/>
      <diagonal/>
    </border>
    <border>
      <left/>
      <right/>
      <top/>
      <bottom style="dotted">
        <color rgb="FF002060"/>
      </bottom>
      <diagonal/>
    </border>
    <border>
      <left/>
      <right/>
      <top style="dashDot">
        <color rgb="FF002060"/>
      </top>
      <bottom style="dashDot">
        <color rgb="FF002060"/>
      </bottom>
      <diagonal/>
    </border>
    <border>
      <left/>
      <right/>
      <top style="dashDot">
        <color auto="1"/>
      </top>
      <bottom style="dashDot">
        <color auto="1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dashDot">
        <color rgb="FF002060"/>
      </top>
      <bottom/>
      <diagonal/>
    </border>
    <border>
      <left/>
      <right/>
      <top/>
      <bottom style="dashDot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82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8" fillId="6" borderId="0" xfId="0" applyFont="1" applyFill="1"/>
    <xf numFmtId="17" fontId="8" fillId="6" borderId="0" xfId="0" applyNumberFormat="1" applyFont="1" applyFill="1"/>
    <xf numFmtId="0" fontId="8" fillId="6" borderId="0" xfId="0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67" fontId="9" fillId="0" borderId="0" xfId="6" applyNumberFormat="1" applyFont="1"/>
    <xf numFmtId="168" fontId="0" fillId="0" borderId="0" xfId="0" applyNumberFormat="1"/>
    <xf numFmtId="10" fontId="9" fillId="0" borderId="0" xfId="6" applyNumberFormat="1" applyFont="1"/>
    <xf numFmtId="167" fontId="0" fillId="0" borderId="0" xfId="6" applyNumberFormat="1" applyFont="1"/>
    <xf numFmtId="167" fontId="3" fillId="0" borderId="0" xfId="6" applyNumberFormat="1" applyFont="1"/>
    <xf numFmtId="43" fontId="0" fillId="0" borderId="0" xfId="1" applyFont="1" applyFill="1" applyBorder="1"/>
    <xf numFmtId="10" fontId="0" fillId="0" borderId="0" xfId="6" applyNumberFormat="1" applyFont="1"/>
    <xf numFmtId="0" fontId="0" fillId="0" borderId="1" xfId="0" applyBorder="1"/>
    <xf numFmtId="10" fontId="0" fillId="0" borderId="0" xfId="6" applyNumberFormat="1" applyFont="1" applyBorder="1"/>
    <xf numFmtId="0" fontId="0" fillId="0" borderId="2" xfId="0" applyBorder="1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4" fontId="0" fillId="0" borderId="0" xfId="6" applyNumberFormat="1" applyFont="1"/>
    <xf numFmtId="170" fontId="0" fillId="0" borderId="0" xfId="6" applyNumberFormat="1" applyFont="1"/>
    <xf numFmtId="171" fontId="0" fillId="0" borderId="0" xfId="0" applyNumberFormat="1"/>
    <xf numFmtId="2" fontId="0" fillId="0" borderId="0" xfId="0" applyNumberFormat="1"/>
    <xf numFmtId="17" fontId="8" fillId="6" borderId="0" xfId="0" applyNumberFormat="1" applyFont="1" applyFill="1" applyAlignment="1">
      <alignment horizontal="right"/>
    </xf>
    <xf numFmtId="172" fontId="0" fillId="0" borderId="0" xfId="0" applyNumberFormat="1"/>
    <xf numFmtId="4" fontId="0" fillId="0" borderId="0" xfId="0" applyNumberFormat="1"/>
    <xf numFmtId="43" fontId="4" fillId="0" borderId="0" xfId="2" applyNumberFormat="1" applyBorder="1" applyAlignment="1" applyProtection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3" fontId="2" fillId="7" borderId="0" xfId="5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" fillId="8" borderId="0" xfId="0" applyFont="1" applyFill="1"/>
    <xf numFmtId="0" fontId="0" fillId="8" borderId="0" xfId="0" applyFill="1"/>
    <xf numFmtId="0" fontId="1" fillId="0" borderId="3" xfId="0" applyFont="1" applyBorder="1"/>
    <xf numFmtId="168" fontId="1" fillId="0" borderId="3" xfId="0" applyNumberFormat="1" applyFont="1" applyBorder="1"/>
    <xf numFmtId="166" fontId="1" fillId="0" borderId="3" xfId="0" applyNumberFormat="1" applyFont="1" applyBorder="1"/>
    <xf numFmtId="0" fontId="0" fillId="0" borderId="0" xfId="0" applyBorder="1"/>
    <xf numFmtId="43" fontId="1" fillId="0" borderId="3" xfId="1" applyFont="1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166" fontId="1" fillId="0" borderId="4" xfId="0" applyNumberFormat="1" applyFont="1" applyBorder="1"/>
    <xf numFmtId="0" fontId="1" fillId="0" borderId="5" xfId="0" applyFont="1" applyBorder="1"/>
    <xf numFmtId="0" fontId="0" fillId="0" borderId="5" xfId="0" applyBorder="1"/>
    <xf numFmtId="166" fontId="1" fillId="0" borderId="5" xfId="0" applyNumberFormat="1" applyFont="1" applyBorder="1"/>
    <xf numFmtId="3" fontId="11" fillId="0" borderId="0" xfId="0" applyNumberFormat="1" applyFont="1"/>
    <xf numFmtId="0" fontId="11" fillId="0" borderId="0" xfId="0" applyFont="1"/>
    <xf numFmtId="0" fontId="5" fillId="9" borderId="0" xfId="0" applyFont="1" applyFill="1"/>
    <xf numFmtId="17" fontId="5" fillId="9" borderId="0" xfId="0" applyNumberFormat="1" applyFont="1" applyFill="1"/>
    <xf numFmtId="0" fontId="10" fillId="6" borderId="0" xfId="0" applyFont="1" applyFill="1" applyAlignment="1">
      <alignment horizontal="center" vertical="center"/>
    </xf>
    <xf numFmtId="0" fontId="0" fillId="0" borderId="6" xfId="0" applyBorder="1"/>
    <xf numFmtId="10" fontId="0" fillId="0" borderId="6" xfId="6" applyNumberFormat="1" applyFont="1" applyBorder="1"/>
    <xf numFmtId="0" fontId="0" fillId="0" borderId="7" xfId="0" applyBorder="1"/>
    <xf numFmtId="10" fontId="0" fillId="0" borderId="7" xfId="6" applyNumberFormat="1" applyFont="1" applyBorder="1"/>
    <xf numFmtId="169" fontId="0" fillId="0" borderId="7" xfId="0" applyNumberFormat="1" applyBorder="1"/>
    <xf numFmtId="169" fontId="0" fillId="0" borderId="6" xfId="0" applyNumberFormat="1" applyBorder="1"/>
    <xf numFmtId="169" fontId="0" fillId="0" borderId="0" xfId="0" applyNumberFormat="1" applyBorder="1"/>
    <xf numFmtId="0" fontId="0" fillId="10" borderId="0" xfId="0" applyFill="1"/>
    <xf numFmtId="173" fontId="0" fillId="10" borderId="0" xfId="0" applyNumberFormat="1" applyFill="1"/>
    <xf numFmtId="167" fontId="0" fillId="10" borderId="0" xfId="6" applyNumberFormat="1" applyFont="1" applyFill="1"/>
    <xf numFmtId="4" fontId="0" fillId="10" borderId="0" xfId="0" applyNumberFormat="1" applyFill="1"/>
    <xf numFmtId="0" fontId="5" fillId="9" borderId="0" xfId="0" applyFont="1" applyFill="1" applyAlignment="1">
      <alignment horizontal="right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sqref="A1:A1048576"/>
    </sheetView>
  </sheetViews>
  <sheetFormatPr defaultColWidth="8.77734375" defaultRowHeight="14.4" x14ac:dyDescent="0.3"/>
  <cols>
    <col min="1" max="1" width="22.21875" bestFit="1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FORTIS HEALTHCARE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4198.8900000000003</v>
      </c>
      <c r="C4" s="1">
        <f>'Data Sheet'!C17</f>
        <v>4573.72</v>
      </c>
      <c r="D4" s="1">
        <f>'Data Sheet'!D17</f>
        <v>4560.8100000000004</v>
      </c>
      <c r="E4" s="1">
        <f>'Data Sheet'!E17</f>
        <v>4469.3500000000004</v>
      </c>
      <c r="F4" s="1">
        <f>'Data Sheet'!F17</f>
        <v>4632.32</v>
      </c>
      <c r="G4" s="1">
        <f>'Data Sheet'!G17</f>
        <v>4030.12</v>
      </c>
      <c r="H4" s="1">
        <f>'Data Sheet'!H17</f>
        <v>5717.62</v>
      </c>
      <c r="I4" s="1">
        <f>'Data Sheet'!I17</f>
        <v>6297.64</v>
      </c>
      <c r="J4" s="1">
        <f>'Data Sheet'!J17</f>
        <v>6892.91</v>
      </c>
      <c r="K4" s="1">
        <f>'Data Sheet'!K17</f>
        <v>7782.75</v>
      </c>
      <c r="L4" s="1">
        <f>SUM(Quarters!H4:K4)</f>
        <v>7782.75</v>
      </c>
      <c r="M4" s="1">
        <f>$K4+M23*K4</f>
        <v>8787.4638668573934</v>
      </c>
      <c r="N4" s="1">
        <f>$K4+N23*L4</f>
        <v>8335.097808319817</v>
      </c>
    </row>
    <row r="5" spans="1:14" x14ac:dyDescent="0.3">
      <c r="A5" t="s">
        <v>7</v>
      </c>
      <c r="B5" s="6">
        <f>SUM('Data Sheet'!B18,'Data Sheet'!B20:B24, -1*'Data Sheet'!B19)</f>
        <v>4106.4799999999996</v>
      </c>
      <c r="C5" s="6">
        <f>SUM('Data Sheet'!C18,'Data Sheet'!C20:C24, -1*'Data Sheet'!C19)</f>
        <v>4219.66</v>
      </c>
      <c r="D5" s="6">
        <f>SUM('Data Sheet'!D18,'Data Sheet'!D20:D24, -1*'Data Sheet'!D19)</f>
        <v>4286.7499999999991</v>
      </c>
      <c r="E5" s="6">
        <f>SUM('Data Sheet'!E18,'Data Sheet'!E20:E24, -1*'Data Sheet'!E19)</f>
        <v>4237.9400000000005</v>
      </c>
      <c r="F5" s="6">
        <f>SUM('Data Sheet'!F18,'Data Sheet'!F20:F24, -1*'Data Sheet'!F19)</f>
        <v>4021.9300000000003</v>
      </c>
      <c r="G5" s="6">
        <f>SUM('Data Sheet'!G18,'Data Sheet'!G20:G24, -1*'Data Sheet'!G19)</f>
        <v>3625.670000000001</v>
      </c>
      <c r="H5" s="6">
        <f>SUM('Data Sheet'!H18,'Data Sheet'!H20:H24, -1*'Data Sheet'!H19)</f>
        <v>4648.6599999999989</v>
      </c>
      <c r="I5" s="6">
        <f>SUM('Data Sheet'!I18,'Data Sheet'!I20:I24, -1*'Data Sheet'!I19)</f>
        <v>5196.2999999999993</v>
      </c>
      <c r="J5" s="6">
        <f>SUM('Data Sheet'!J18,'Data Sheet'!J20:J24, -1*'Data Sheet'!J19)</f>
        <v>5625.2800000000007</v>
      </c>
      <c r="K5" s="6">
        <f>SUM('Data Sheet'!K18,'Data Sheet'!K20:K24, -1*'Data Sheet'!K19)</f>
        <v>6194.81</v>
      </c>
      <c r="L5" s="6">
        <f>SUM(Quarters!H5:K5)</f>
        <v>6194.8099999999995</v>
      </c>
      <c r="M5" s="6">
        <f t="shared" ref="M5:N5" si="0">M4-M6</f>
        <v>6994.5288024216188</v>
      </c>
      <c r="N5" s="6">
        <f t="shared" si="0"/>
        <v>7238.6217915490779</v>
      </c>
    </row>
    <row r="6" spans="1:14" s="2" customFormat="1" x14ac:dyDescent="0.3">
      <c r="A6" s="2" t="s">
        <v>8</v>
      </c>
      <c r="B6" s="1">
        <f>B4-B5</f>
        <v>92.410000000000764</v>
      </c>
      <c r="C6" s="1">
        <f t="shared" ref="C6:K6" si="1">C4-C5</f>
        <v>354.0600000000004</v>
      </c>
      <c r="D6" s="1">
        <f t="shared" si="1"/>
        <v>274.06000000000131</v>
      </c>
      <c r="E6" s="1">
        <f t="shared" si="1"/>
        <v>231.40999999999985</v>
      </c>
      <c r="F6" s="1">
        <f t="shared" si="1"/>
        <v>610.38999999999942</v>
      </c>
      <c r="G6" s="1">
        <f t="shared" si="1"/>
        <v>404.44999999999891</v>
      </c>
      <c r="H6" s="1">
        <f t="shared" si="1"/>
        <v>1068.9600000000009</v>
      </c>
      <c r="I6" s="1">
        <f t="shared" si="1"/>
        <v>1101.3400000000011</v>
      </c>
      <c r="J6" s="1">
        <f t="shared" si="1"/>
        <v>1267.6299999999992</v>
      </c>
      <c r="K6" s="1">
        <f t="shared" si="1"/>
        <v>1587.9399999999996</v>
      </c>
      <c r="L6" s="1">
        <f>SUM(Quarters!H6:K6)</f>
        <v>1587.9399999999998</v>
      </c>
      <c r="M6" s="1">
        <f>M4*M24</f>
        <v>1792.9350644357748</v>
      </c>
      <c r="N6" s="1">
        <f>N4*N24</f>
        <v>1096.4760167707389</v>
      </c>
    </row>
    <row r="7" spans="1:14" x14ac:dyDescent="0.3">
      <c r="A7" t="s">
        <v>9</v>
      </c>
      <c r="B7" s="6">
        <f>'Data Sheet'!B25</f>
        <v>299.49</v>
      </c>
      <c r="C7" s="6">
        <f>'Data Sheet'!C25</f>
        <v>649.25</v>
      </c>
      <c r="D7" s="6">
        <f>'Data Sheet'!D25</f>
        <v>-689.09</v>
      </c>
      <c r="E7" s="6">
        <f>'Data Sheet'!E25</f>
        <v>228.24</v>
      </c>
      <c r="F7" s="6">
        <f>'Data Sheet'!F25</f>
        <v>125.76</v>
      </c>
      <c r="G7" s="6">
        <f>'Data Sheet'!G25</f>
        <v>95.33</v>
      </c>
      <c r="H7" s="6">
        <f>'Data Sheet'!H25</f>
        <v>366.52</v>
      </c>
      <c r="I7" s="6">
        <f>'Data Sheet'!I25</f>
        <v>157.16999999999999</v>
      </c>
      <c r="J7" s="6">
        <f>'Data Sheet'!J25</f>
        <v>63.78</v>
      </c>
      <c r="K7" s="6">
        <f>'Data Sheet'!K25</f>
        <v>-10.88</v>
      </c>
      <c r="L7" s="6">
        <f>SUM(Quarters!H7:K7)</f>
        <v>-10.879999999999995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225.1</v>
      </c>
      <c r="C8" s="6">
        <f>'Data Sheet'!C26</f>
        <v>222.18</v>
      </c>
      <c r="D8" s="6">
        <f>'Data Sheet'!D26</f>
        <v>238.96</v>
      </c>
      <c r="E8" s="6">
        <f>'Data Sheet'!E26</f>
        <v>232.92</v>
      </c>
      <c r="F8" s="6">
        <f>'Data Sheet'!F26</f>
        <v>291.73</v>
      </c>
      <c r="G8" s="6">
        <f>'Data Sheet'!G26</f>
        <v>290.60000000000002</v>
      </c>
      <c r="H8" s="6">
        <f>'Data Sheet'!H26</f>
        <v>300.83999999999997</v>
      </c>
      <c r="I8" s="6">
        <f>'Data Sheet'!I26</f>
        <v>315.74</v>
      </c>
      <c r="J8" s="6">
        <f>'Data Sheet'!J26</f>
        <v>342.5</v>
      </c>
      <c r="K8" s="6">
        <f>'Data Sheet'!K26</f>
        <v>385.61</v>
      </c>
      <c r="L8" s="6">
        <f>SUM(Quarters!H8:K8)</f>
        <v>385.61</v>
      </c>
      <c r="M8" s="6">
        <f>+$L8</f>
        <v>385.61</v>
      </c>
      <c r="N8" s="6">
        <f>+$L8</f>
        <v>385.61</v>
      </c>
    </row>
    <row r="9" spans="1:14" x14ac:dyDescent="0.3">
      <c r="A9" t="s">
        <v>11</v>
      </c>
      <c r="B9" s="6">
        <f>'Data Sheet'!B27</f>
        <v>133.05000000000001</v>
      </c>
      <c r="C9" s="6">
        <f>'Data Sheet'!C27</f>
        <v>229.44</v>
      </c>
      <c r="D9" s="6">
        <f>'Data Sheet'!D27</f>
        <v>257.79000000000002</v>
      </c>
      <c r="E9" s="6">
        <f>'Data Sheet'!E27</f>
        <v>336.83</v>
      </c>
      <c r="F9" s="6">
        <f>'Data Sheet'!F27</f>
        <v>205.06</v>
      </c>
      <c r="G9" s="6">
        <f>'Data Sheet'!G27</f>
        <v>165.88</v>
      </c>
      <c r="H9" s="6">
        <f>'Data Sheet'!H27</f>
        <v>146.85</v>
      </c>
      <c r="I9" s="6">
        <f>'Data Sheet'!I27</f>
        <v>129.09</v>
      </c>
      <c r="J9" s="6">
        <f>'Data Sheet'!J27</f>
        <v>130.94999999999999</v>
      </c>
      <c r="K9" s="6">
        <f>'Data Sheet'!K27</f>
        <v>184.41</v>
      </c>
      <c r="L9" s="6">
        <f>SUM(Quarters!H9:K9)</f>
        <v>184.41</v>
      </c>
      <c r="M9" s="6">
        <f>+$L9</f>
        <v>184.41</v>
      </c>
      <c r="N9" s="6">
        <f>+$L9</f>
        <v>184.41</v>
      </c>
    </row>
    <row r="10" spans="1:14" x14ac:dyDescent="0.3">
      <c r="A10" t="s">
        <v>12</v>
      </c>
      <c r="B10" s="6">
        <f>'Data Sheet'!B28</f>
        <v>33.75</v>
      </c>
      <c r="C10" s="6">
        <f>'Data Sheet'!C28</f>
        <v>551.69000000000005</v>
      </c>
      <c r="D10" s="6">
        <f>'Data Sheet'!D28</f>
        <v>-911.78</v>
      </c>
      <c r="E10" s="6">
        <f>'Data Sheet'!E28</f>
        <v>-110.1</v>
      </c>
      <c r="F10" s="6">
        <f>'Data Sheet'!F28</f>
        <v>239.36</v>
      </c>
      <c r="G10" s="6">
        <f>'Data Sheet'!G28</f>
        <v>43.3</v>
      </c>
      <c r="H10" s="6">
        <f>'Data Sheet'!H28</f>
        <v>987.79</v>
      </c>
      <c r="I10" s="6">
        <f>'Data Sheet'!I28</f>
        <v>813.68</v>
      </c>
      <c r="J10" s="6">
        <f>'Data Sheet'!J28</f>
        <v>857.96</v>
      </c>
      <c r="K10" s="6">
        <f>'Data Sheet'!K28</f>
        <v>1007.04</v>
      </c>
      <c r="L10" s="6">
        <f>SUM(Quarters!H10:K10)</f>
        <v>1007.04</v>
      </c>
      <c r="M10" s="6">
        <f>M6+M7-SUM(M8:M9)</f>
        <v>1222.9150644357749</v>
      </c>
      <c r="N10" s="6">
        <f>N6+N7-SUM(N8:N9)</f>
        <v>526.45601677073887</v>
      </c>
    </row>
    <row r="11" spans="1:14" x14ac:dyDescent="0.3">
      <c r="A11" t="s">
        <v>13</v>
      </c>
      <c r="B11" s="6">
        <f>'Data Sheet'!B29</f>
        <v>-8.01</v>
      </c>
      <c r="C11" s="6">
        <f>'Data Sheet'!C29</f>
        <v>72.400000000000006</v>
      </c>
      <c r="D11" s="6">
        <f>'Data Sheet'!D29</f>
        <v>22.65</v>
      </c>
      <c r="E11" s="6">
        <f>'Data Sheet'!E29</f>
        <v>113.61</v>
      </c>
      <c r="F11" s="6">
        <f>'Data Sheet'!F29</f>
        <v>147.87</v>
      </c>
      <c r="G11" s="6">
        <f>'Data Sheet'!G29</f>
        <v>99.46</v>
      </c>
      <c r="H11" s="6">
        <f>'Data Sheet'!H29</f>
        <v>197.84</v>
      </c>
      <c r="I11" s="6">
        <f>'Data Sheet'!I29</f>
        <v>180.7</v>
      </c>
      <c r="J11" s="6">
        <f>'Data Sheet'!J29</f>
        <v>212.74</v>
      </c>
      <c r="K11" s="6">
        <f>'Data Sheet'!K29</f>
        <v>197.66</v>
      </c>
      <c r="L11" s="6">
        <f>SUM(Quarters!H11:K11)</f>
        <v>197.66</v>
      </c>
      <c r="M11" s="7">
        <f>IF($L10&gt;0,$L11/$L10,0)</f>
        <v>0.19627820146170957</v>
      </c>
      <c r="N11" s="7">
        <f>IF($L10&gt;0,$L11/$L10,0)</f>
        <v>0.19627820146170957</v>
      </c>
    </row>
    <row r="12" spans="1:14" s="2" customFormat="1" x14ac:dyDescent="0.3">
      <c r="A12" s="2" t="s">
        <v>14</v>
      </c>
      <c r="B12" s="1">
        <f>'Data Sheet'!B30</f>
        <v>18.420000000000002</v>
      </c>
      <c r="C12" s="1">
        <f>'Data Sheet'!C30</f>
        <v>421.66</v>
      </c>
      <c r="D12" s="1">
        <f>'Data Sheet'!D30</f>
        <v>-1009.22</v>
      </c>
      <c r="E12" s="1">
        <f>'Data Sheet'!E30</f>
        <v>-298.94</v>
      </c>
      <c r="F12" s="1">
        <f>'Data Sheet'!F30</f>
        <v>57.94</v>
      </c>
      <c r="G12" s="1">
        <f>'Data Sheet'!G30</f>
        <v>-109.76</v>
      </c>
      <c r="H12" s="1">
        <f>'Data Sheet'!H30</f>
        <v>555.12</v>
      </c>
      <c r="I12" s="1">
        <f>'Data Sheet'!I30</f>
        <v>588.73</v>
      </c>
      <c r="J12" s="1">
        <f>'Data Sheet'!J30</f>
        <v>598.88</v>
      </c>
      <c r="K12" s="1">
        <f>'Data Sheet'!K30</f>
        <v>774.21</v>
      </c>
      <c r="L12" s="1">
        <f>SUM(Quarters!H12:K12)</f>
        <v>774.21</v>
      </c>
      <c r="M12" s="1">
        <f>M10-M11*M10</f>
        <v>982.88349504789028</v>
      </c>
      <c r="N12" s="1">
        <f>N10-N11*N10</f>
        <v>423.12417665028261</v>
      </c>
    </row>
    <row r="13" spans="1:14" x14ac:dyDescent="0.3">
      <c r="A13" t="s">
        <v>47</v>
      </c>
      <c r="B13" s="6">
        <f>IF('Data Sheet'!B93&gt;0,B12/'Data Sheet'!B93,0)</f>
        <v>0.3977542647376377</v>
      </c>
      <c r="C13" s="6">
        <f>IF('Data Sheet'!C93&gt;0,C12/'Data Sheet'!C93,0)</f>
        <v>8.1448715472281243</v>
      </c>
      <c r="D13" s="6">
        <f>IF('Data Sheet'!D93&gt;0,D12/'Data Sheet'!D93,0)</f>
        <v>-19.456718719876616</v>
      </c>
      <c r="E13" s="6">
        <f>IF('Data Sheet'!E93&gt;0,E12/'Data Sheet'!E93,0)</f>
        <v>-3.9594701986754965</v>
      </c>
      <c r="F13" s="6">
        <f>IF('Data Sheet'!F93&gt;0,F12/'Data Sheet'!F93,0)</f>
        <v>0.76741721854304634</v>
      </c>
      <c r="G13" s="6">
        <f>IF('Data Sheet'!G93&gt;0,G12/'Data Sheet'!G93,0)</f>
        <v>-1.4537748344370862</v>
      </c>
      <c r="H13" s="6">
        <f>IF('Data Sheet'!H93&gt;0,H12/'Data Sheet'!H93,0)</f>
        <v>7.3525827814569533</v>
      </c>
      <c r="I13" s="6">
        <f>IF('Data Sheet'!I93&gt;0,I12/'Data Sheet'!I93,0)</f>
        <v>7.7977483443708611</v>
      </c>
      <c r="J13" s="6">
        <f>IF('Data Sheet'!J93&gt;0,J12/'Data Sheet'!J93,0)</f>
        <v>7.9321854304635764</v>
      </c>
      <c r="K13" s="6">
        <f>IF('Data Sheet'!K93&gt;0,K12/'Data Sheet'!K93,0)</f>
        <v>10.254437086092716</v>
      </c>
      <c r="L13" s="6">
        <f>IF('Data Sheet'!$B6&gt;0,'Profit &amp; Loss'!L12/'Data Sheet'!$B6,0)</f>
        <v>10.257017528446889</v>
      </c>
      <c r="M13" s="6">
        <f>IF('Data Sheet'!$B6&gt;0,'Profit &amp; Loss'!M12/'Data Sheet'!$B6,0)</f>
        <v>13.021600388947897</v>
      </c>
      <c r="N13" s="6">
        <f>IF('Data Sheet'!$B6&gt;0,'Profit &amp; Loss'!N12/'Data Sheet'!$B6,0)</f>
        <v>5.6057040035799153</v>
      </c>
    </row>
    <row r="14" spans="1:14" x14ac:dyDescent="0.3">
      <c r="A14" t="s">
        <v>16</v>
      </c>
      <c r="B14" s="6">
        <f>IF(B15&gt;0,B15/B13,"")</f>
        <v>441.22719869706839</v>
      </c>
      <c r="C14" s="6">
        <f t="shared" ref="C14:K14" si="2">IF(C15&gt;0,C15/C13,"")</f>
        <v>22.185739695489257</v>
      </c>
      <c r="D14" s="6">
        <f t="shared" si="2"/>
        <v>-6.339712352113513</v>
      </c>
      <c r="E14" s="6">
        <f t="shared" si="2"/>
        <v>-34.284889944470464</v>
      </c>
      <c r="F14" s="6">
        <f t="shared" si="2"/>
        <v>164.3825509147394</v>
      </c>
      <c r="G14" s="6">
        <f t="shared" si="2"/>
        <v>-136.98820153061223</v>
      </c>
      <c r="H14" s="6">
        <f t="shared" si="2"/>
        <v>39.496325118893211</v>
      </c>
      <c r="I14" s="6">
        <f t="shared" si="2"/>
        <v>33.330134357005754</v>
      </c>
      <c r="J14" s="6">
        <f t="shared" si="2"/>
        <v>52.974051562917445</v>
      </c>
      <c r="K14" s="6">
        <f t="shared" si="2"/>
        <v>68.102226786014128</v>
      </c>
      <c r="L14" s="6">
        <f t="shared" ref="L14" si="3">IF(L13&gt;0,L15/L13,0)</f>
        <v>74.246728923677026</v>
      </c>
      <c r="M14" s="6">
        <f>M25</f>
        <v>74.246728923677026</v>
      </c>
      <c r="N14" s="6">
        <f>N25</f>
        <v>53.629893349701511</v>
      </c>
    </row>
    <row r="15" spans="1:14" s="2" customFormat="1" x14ac:dyDescent="0.3">
      <c r="A15" s="2" t="s">
        <v>48</v>
      </c>
      <c r="B15" s="1">
        <f>'Data Sheet'!B90</f>
        <v>175.5</v>
      </c>
      <c r="C15" s="1">
        <f>'Data Sheet'!C90</f>
        <v>180.7</v>
      </c>
      <c r="D15" s="1">
        <f>'Data Sheet'!D90</f>
        <v>123.35</v>
      </c>
      <c r="E15" s="1">
        <f>'Data Sheet'!E90</f>
        <v>135.75</v>
      </c>
      <c r="F15" s="1">
        <f>'Data Sheet'!F90</f>
        <v>126.15</v>
      </c>
      <c r="G15" s="1">
        <f>'Data Sheet'!G90</f>
        <v>199.15</v>
      </c>
      <c r="H15" s="1">
        <f>'Data Sheet'!H90</f>
        <v>290.39999999999998</v>
      </c>
      <c r="I15" s="1">
        <f>'Data Sheet'!I90</f>
        <v>259.89999999999998</v>
      </c>
      <c r="J15" s="1">
        <f>'Data Sheet'!J90</f>
        <v>420.2</v>
      </c>
      <c r="K15" s="1">
        <f>'Data Sheet'!K90</f>
        <v>698.35</v>
      </c>
      <c r="L15" s="1">
        <f>'Data Sheet'!B8</f>
        <v>761.55</v>
      </c>
      <c r="M15" s="8">
        <f>M13*M14</f>
        <v>966.81123423066185</v>
      </c>
      <c r="N15" s="9">
        <f>N13*N14</f>
        <v>300.63330786198566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0.12824214835323491</v>
      </c>
      <c r="J18" s="5">
        <f>IF('Data Sheet'!J30&gt;0, 'Data Sheet'!J31/'Data Sheet'!J30, 0)</f>
        <v>0.12606866150146942</v>
      </c>
      <c r="K18" s="5">
        <f>IF('Data Sheet'!K30&gt;0, 'Data Sheet'!K31/'Data Sheet'!K30, 0)</f>
        <v>9.7518761059660813E-2</v>
      </c>
    </row>
    <row r="19" spans="1:14" x14ac:dyDescent="0.3">
      <c r="A19" t="s">
        <v>179</v>
      </c>
      <c r="B19" s="5">
        <f t="shared" ref="B19:L19" si="4">IF(B6&gt;0,B6/B4,0)</f>
        <v>2.2008197404552336E-2</v>
      </c>
      <c r="C19" s="5">
        <f t="shared" ref="C19:K19" si="5">IF(C6&gt;0,C6/C4,0)</f>
        <v>7.7411822324060145E-2</v>
      </c>
      <c r="D19" s="5">
        <f t="shared" si="5"/>
        <v>6.0090203275295677E-2</v>
      </c>
      <c r="E19" s="5">
        <f t="shared" si="5"/>
        <v>5.1777104053162055E-2</v>
      </c>
      <c r="F19" s="5">
        <f t="shared" si="5"/>
        <v>0.13176766717325217</v>
      </c>
      <c r="G19" s="5">
        <f t="shared" si="5"/>
        <v>0.10035681319662912</v>
      </c>
      <c r="H19" s="5">
        <f t="shared" si="5"/>
        <v>0.18695890947632074</v>
      </c>
      <c r="I19" s="5">
        <f t="shared" si="5"/>
        <v>0.17488138413755011</v>
      </c>
      <c r="J19" s="5">
        <f t="shared" si="5"/>
        <v>0.18390346022217022</v>
      </c>
      <c r="K19" s="5">
        <f t="shared" si="5"/>
        <v>0.20403327872538621</v>
      </c>
      <c r="L19" s="5">
        <f t="shared" si="4"/>
        <v>0.20403327872538624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55</v>
      </c>
      <c r="I22" s="12" t="s">
        <v>56</v>
      </c>
      <c r="J22" s="12" t="s">
        <v>57</v>
      </c>
      <c r="K22" s="12" t="s">
        <v>58</v>
      </c>
      <c r="L22" s="13" t="s">
        <v>59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7.0970776180632411E-2</v>
      </c>
      <c r="I23" s="5">
        <f>IF(D4=0,"",POWER($K4/D4,1/7)-1)</f>
        <v>7.9334033470789267E-2</v>
      </c>
      <c r="J23" s="5">
        <f>IF(F4=0,"",POWER($K4/F4,1/5)-1)</f>
        <v>0.1093457029579501</v>
      </c>
      <c r="K23" s="5">
        <f>IF(H4=0,"",POWER($K4/H4, 1/3)-1)</f>
        <v>0.10825388898669619</v>
      </c>
      <c r="L23" s="5">
        <f>IF(ISERROR(MAX(IF(J4=0,"",(K4-J4)/J4),IF(K4=0,"",(L4-K4)/K4))),"",MAX(IF(J4=0,"",(K4-J4)/J4),IF(K4=0,"",(L4-K4)/K4)))</f>
        <v>0.1290949685981683</v>
      </c>
      <c r="M23" s="16">
        <f>MAX(K23:L23)</f>
        <v>0.1290949685981683</v>
      </c>
      <c r="N23" s="16">
        <f>MIN(H23:L23)</f>
        <v>7.0970776180632411E-2</v>
      </c>
    </row>
    <row r="24" spans="1:14" x14ac:dyDescent="0.3">
      <c r="G24" t="s">
        <v>18</v>
      </c>
      <c r="H24" s="5">
        <f>IF(SUM(B4:$K$4)=0,"",SUMPRODUCT(B19:$K$19,B4:$K$4)/SUM(B4:$K$4))</f>
        <v>0.13154926816530851</v>
      </c>
      <c r="I24" s="5">
        <f>IF(SUM(E4:$K$4)=0,"",SUMPRODUCT(E19:$K$19,E4:$K$4)/SUM(E4:$K$4))</f>
        <v>0.15750108418035838</v>
      </c>
      <c r="J24" s="5">
        <f>IF(SUM(G4:$K$4)=0,"",SUMPRODUCT(G19:$K$19,G4:$K$4)/SUM(G4:$K$4))</f>
        <v>0.1767622450281631</v>
      </c>
      <c r="K24" s="5">
        <f>IF(SUM(I4:$K$4)=0, "", SUMPRODUCT(I19:$K$19,I4:$K$4)/SUM(I4:$K$4))</f>
        <v>0.18866415871608189</v>
      </c>
      <c r="L24" s="5">
        <f>L19</f>
        <v>0.20403327872538624</v>
      </c>
      <c r="M24" s="16">
        <f>MAX(K24:L24)</f>
        <v>0.20403327872538624</v>
      </c>
      <c r="N24" s="16">
        <f>MIN(H24:L24)</f>
        <v>0.13154926816530851</v>
      </c>
    </row>
    <row r="25" spans="1:14" x14ac:dyDescent="0.3">
      <c r="G25" t="s">
        <v>23</v>
      </c>
      <c r="H25" s="6">
        <f>IF(ISERROR(AVERAGEIF(B14:$L14,"&gt;0")),"",AVERAGEIF(B14:$L14,"&gt;0"))</f>
        <v>111.99311950697556</v>
      </c>
      <c r="I25" s="6">
        <f>IF(ISERROR(AVERAGEIF(E14:$L14,"&gt;0")),"",AVERAGEIF(E14:$L14,"&gt;0"))</f>
        <v>72.08866961054116</v>
      </c>
      <c r="J25" s="6">
        <f>IF(ISERROR(AVERAGEIF(G14:$L14,"&gt;0")),"",AVERAGEIF(G14:$L14,"&gt;0"))</f>
        <v>53.629893349701511</v>
      </c>
      <c r="K25" s="6">
        <f>IF(ISERROR(AVERAGEIF(I14:$L14,"&gt;0")),"",AVERAGEIF(I14:$L14,"&gt;0"))</f>
        <v>57.163285407403592</v>
      </c>
      <c r="L25" s="6">
        <f>L14</f>
        <v>74.246728923677026</v>
      </c>
      <c r="M25" s="1">
        <f>MAX(K25:L25)</f>
        <v>74.246728923677026</v>
      </c>
      <c r="N25" s="1">
        <f>MIN(H25:L25)</f>
        <v>53.629893349701511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5" sqref="A15"/>
    </sheetView>
  </sheetViews>
  <sheetFormatPr defaultColWidth="8.77734375" defaultRowHeight="14.4" x14ac:dyDescent="0.3"/>
  <cols>
    <col min="1" max="1" width="22.77734375" bestFit="1" customWidth="1"/>
    <col min="2" max="11" width="13.44140625" bestFit="1" customWidth="1"/>
  </cols>
  <sheetData>
    <row r="1" spans="1:11" s="2" customFormat="1" x14ac:dyDescent="0.3">
      <c r="A1" s="2" t="str">
        <f>'Profit &amp; Loss'!A1</f>
        <v>FORTIS HEALTHCARE LTD</v>
      </c>
      <c r="E1" t="str">
        <f>UPDATE</f>
        <v/>
      </c>
    </row>
    <row r="3" spans="1:11" s="2" customFormat="1" x14ac:dyDescent="0.3">
      <c r="A3" s="11" t="s">
        <v>2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6</v>
      </c>
      <c r="B4" s="1">
        <f>'Data Sheet'!B42</f>
        <v>1559.88</v>
      </c>
      <c r="C4" s="1">
        <f>'Data Sheet'!C42</f>
        <v>1642.7</v>
      </c>
      <c r="D4" s="1">
        <f>'Data Sheet'!D42</f>
        <v>1657.41</v>
      </c>
      <c r="E4" s="1">
        <f>'Data Sheet'!E42</f>
        <v>1769.95</v>
      </c>
      <c r="F4" s="1">
        <f>'Data Sheet'!F42</f>
        <v>1679.68</v>
      </c>
      <c r="G4" s="1">
        <f>'Data Sheet'!G42</f>
        <v>1785.88</v>
      </c>
      <c r="H4" s="1">
        <f>'Data Sheet'!H42</f>
        <v>1858.9</v>
      </c>
      <c r="I4" s="1">
        <f>'Data Sheet'!I42</f>
        <v>1988.39</v>
      </c>
      <c r="J4" s="1">
        <f>'Data Sheet'!J42</f>
        <v>1928.26</v>
      </c>
      <c r="K4" s="1">
        <f>'Data Sheet'!K42</f>
        <v>2007.2</v>
      </c>
    </row>
    <row r="5" spans="1:11" x14ac:dyDescent="0.3">
      <c r="A5" t="s">
        <v>7</v>
      </c>
      <c r="B5" s="6">
        <f>'Data Sheet'!B43</f>
        <v>1283.44</v>
      </c>
      <c r="C5" s="6">
        <f>'Data Sheet'!C43</f>
        <v>1371.83</v>
      </c>
      <c r="D5" s="6">
        <f>'Data Sheet'!D43</f>
        <v>1385.57</v>
      </c>
      <c r="E5" s="6">
        <f>'Data Sheet'!E43</f>
        <v>1439.78</v>
      </c>
      <c r="F5" s="6">
        <f>'Data Sheet'!F43</f>
        <v>1395.71</v>
      </c>
      <c r="G5" s="6">
        <f>'Data Sheet'!G43</f>
        <v>1404.84</v>
      </c>
      <c r="H5" s="6">
        <f>'Data Sheet'!H43</f>
        <v>1516.38</v>
      </c>
      <c r="I5" s="6">
        <f>'Data Sheet'!I43</f>
        <v>1553.56</v>
      </c>
      <c r="J5" s="6">
        <f>'Data Sheet'!J43</f>
        <v>1553.14</v>
      </c>
      <c r="K5" s="6">
        <f>'Data Sheet'!K43</f>
        <v>1571.73</v>
      </c>
    </row>
    <row r="6" spans="1:11" s="2" customFormat="1" x14ac:dyDescent="0.3">
      <c r="A6" s="2" t="s">
        <v>8</v>
      </c>
      <c r="B6" s="1">
        <f>'Data Sheet'!B50</f>
        <v>276.44</v>
      </c>
      <c r="C6" s="1">
        <f>'Data Sheet'!C50</f>
        <v>270.87</v>
      </c>
      <c r="D6" s="1">
        <f>'Data Sheet'!D50</f>
        <v>271.83999999999997</v>
      </c>
      <c r="E6" s="1">
        <f>'Data Sheet'!E50</f>
        <v>330.17</v>
      </c>
      <c r="F6" s="1">
        <f>'Data Sheet'!F50</f>
        <v>283.97000000000003</v>
      </c>
      <c r="G6" s="1">
        <f>'Data Sheet'!G50</f>
        <v>381.04</v>
      </c>
      <c r="H6" s="1">
        <f>'Data Sheet'!H50</f>
        <v>342.52</v>
      </c>
      <c r="I6" s="1">
        <f>'Data Sheet'!I50</f>
        <v>434.83</v>
      </c>
      <c r="J6" s="1">
        <f>'Data Sheet'!J50</f>
        <v>375.12</v>
      </c>
      <c r="K6" s="1">
        <f>'Data Sheet'!K50</f>
        <v>435.47</v>
      </c>
    </row>
    <row r="7" spans="1:11" x14ac:dyDescent="0.3">
      <c r="A7" t="s">
        <v>9</v>
      </c>
      <c r="B7" s="6">
        <f>'Data Sheet'!B44</f>
        <v>25.78</v>
      </c>
      <c r="C7" s="6">
        <f>'Data Sheet'!C44</f>
        <v>26.04</v>
      </c>
      <c r="D7" s="6">
        <f>'Data Sheet'!D44</f>
        <v>9.6199999999999992</v>
      </c>
      <c r="E7" s="6">
        <f>'Data Sheet'!E44</f>
        <v>18.47</v>
      </c>
      <c r="F7" s="6">
        <f>'Data Sheet'!F44</f>
        <v>19.05</v>
      </c>
      <c r="G7" s="6">
        <f>'Data Sheet'!G44</f>
        <v>17.260000000000002</v>
      </c>
      <c r="H7" s="6">
        <f>'Data Sheet'!H44</f>
        <v>13.8</v>
      </c>
      <c r="I7" s="6">
        <f>'Data Sheet'!I44</f>
        <v>-42.3</v>
      </c>
      <c r="J7" s="6">
        <f>'Data Sheet'!J44</f>
        <v>46.75</v>
      </c>
      <c r="K7" s="6">
        <f>'Data Sheet'!K44</f>
        <v>-29.13</v>
      </c>
    </row>
    <row r="8" spans="1:11" x14ac:dyDescent="0.3">
      <c r="A8" t="s">
        <v>10</v>
      </c>
      <c r="B8" s="6">
        <f>'Data Sheet'!B45</f>
        <v>82.75</v>
      </c>
      <c r="C8" s="6">
        <f>'Data Sheet'!C45</f>
        <v>81.78</v>
      </c>
      <c r="D8" s="6">
        <f>'Data Sheet'!D45</f>
        <v>79.239999999999995</v>
      </c>
      <c r="E8" s="6">
        <f>'Data Sheet'!E45</f>
        <v>84.12</v>
      </c>
      <c r="F8" s="6">
        <f>'Data Sheet'!F45</f>
        <v>86.91</v>
      </c>
      <c r="G8" s="6">
        <f>'Data Sheet'!G45</f>
        <v>92.23</v>
      </c>
      <c r="H8" s="6">
        <f>'Data Sheet'!H45</f>
        <v>91</v>
      </c>
      <c r="I8" s="6">
        <f>'Data Sheet'!I45</f>
        <v>95.05</v>
      </c>
      <c r="J8" s="6">
        <f>'Data Sheet'!J45</f>
        <v>97.33</v>
      </c>
      <c r="K8" s="6">
        <f>'Data Sheet'!K45</f>
        <v>102.23</v>
      </c>
    </row>
    <row r="9" spans="1:11" x14ac:dyDescent="0.3">
      <c r="A9" t="s">
        <v>11</v>
      </c>
      <c r="B9" s="6">
        <f>'Data Sheet'!B46</f>
        <v>33.369999999999997</v>
      </c>
      <c r="C9" s="6">
        <f>'Data Sheet'!C46</f>
        <v>31.72</v>
      </c>
      <c r="D9" s="6">
        <f>'Data Sheet'!D46</f>
        <v>31.49</v>
      </c>
      <c r="E9" s="6">
        <f>'Data Sheet'!E46</f>
        <v>31.81</v>
      </c>
      <c r="F9" s="6">
        <f>'Data Sheet'!F46</f>
        <v>32.96</v>
      </c>
      <c r="G9" s="6">
        <f>'Data Sheet'!G46</f>
        <v>34.69</v>
      </c>
      <c r="H9" s="6">
        <f>'Data Sheet'!H46</f>
        <v>35.270000000000003</v>
      </c>
      <c r="I9" s="6">
        <f>'Data Sheet'!I46</f>
        <v>36.43</v>
      </c>
      <c r="J9" s="6">
        <f>'Data Sheet'!J46</f>
        <v>45.15</v>
      </c>
      <c r="K9" s="6">
        <f>'Data Sheet'!K46</f>
        <v>67.56</v>
      </c>
    </row>
    <row r="10" spans="1:11" x14ac:dyDescent="0.3">
      <c r="A10" t="s">
        <v>12</v>
      </c>
      <c r="B10" s="6">
        <f>'Data Sheet'!B47</f>
        <v>186.1</v>
      </c>
      <c r="C10" s="6">
        <f>'Data Sheet'!C47</f>
        <v>183.41</v>
      </c>
      <c r="D10" s="6">
        <f>'Data Sheet'!D47</f>
        <v>170.73</v>
      </c>
      <c r="E10" s="6">
        <f>'Data Sheet'!E47</f>
        <v>232.71</v>
      </c>
      <c r="F10" s="6">
        <f>'Data Sheet'!F47</f>
        <v>183.15</v>
      </c>
      <c r="G10" s="6">
        <f>'Data Sheet'!G47</f>
        <v>271.38</v>
      </c>
      <c r="H10" s="6">
        <f>'Data Sheet'!H47</f>
        <v>230.05</v>
      </c>
      <c r="I10" s="6">
        <f>'Data Sheet'!I47</f>
        <v>261.05</v>
      </c>
      <c r="J10" s="6">
        <f>'Data Sheet'!J47</f>
        <v>279.39</v>
      </c>
      <c r="K10" s="6">
        <f>'Data Sheet'!K47</f>
        <v>236.55</v>
      </c>
    </row>
    <row r="11" spans="1:11" x14ac:dyDescent="0.3">
      <c r="A11" t="s">
        <v>13</v>
      </c>
      <c r="B11" s="6">
        <f>'Data Sheet'!B48</f>
        <v>43.97</v>
      </c>
      <c r="C11" s="6">
        <f>'Data Sheet'!C48</f>
        <v>45.11</v>
      </c>
      <c r="D11" s="6">
        <f>'Data Sheet'!D48</f>
        <v>46.78</v>
      </c>
      <c r="E11" s="6">
        <f>'Data Sheet'!E48</f>
        <v>48.81</v>
      </c>
      <c r="F11" s="6">
        <f>'Data Sheet'!F48</f>
        <v>48.92</v>
      </c>
      <c r="G11" s="6">
        <f>'Data Sheet'!G48</f>
        <v>68.239999999999995</v>
      </c>
      <c r="H11" s="6">
        <f>'Data Sheet'!H48</f>
        <v>56.07</v>
      </c>
      <c r="I11" s="6">
        <f>'Data Sheet'!I48</f>
        <v>67.97</v>
      </c>
      <c r="J11" s="6">
        <f>'Data Sheet'!J48</f>
        <v>25.09</v>
      </c>
      <c r="K11" s="6">
        <f>'Data Sheet'!K48</f>
        <v>48.53</v>
      </c>
    </row>
    <row r="12" spans="1:11" s="2" customFormat="1" x14ac:dyDescent="0.3">
      <c r="A12" s="2" t="s">
        <v>14</v>
      </c>
      <c r="B12" s="1">
        <f>'Data Sheet'!B49</f>
        <v>129.56</v>
      </c>
      <c r="C12" s="1">
        <f>'Data Sheet'!C49</f>
        <v>132.55000000000001</v>
      </c>
      <c r="D12" s="1">
        <f>'Data Sheet'!D49</f>
        <v>111.76</v>
      </c>
      <c r="E12" s="1">
        <f>'Data Sheet'!E49</f>
        <v>173.72</v>
      </c>
      <c r="F12" s="1">
        <f>'Data Sheet'!F49</f>
        <v>134.66999999999999</v>
      </c>
      <c r="G12" s="1">
        <f>'Data Sheet'!G49</f>
        <v>178.73</v>
      </c>
      <c r="H12" s="1">
        <f>'Data Sheet'!H49</f>
        <v>165.96</v>
      </c>
      <c r="I12" s="1">
        <f>'Data Sheet'!I49</f>
        <v>176.46</v>
      </c>
      <c r="J12" s="1">
        <f>'Data Sheet'!J49</f>
        <v>247.9</v>
      </c>
      <c r="K12" s="1">
        <f>'Data Sheet'!K49</f>
        <v>183.89</v>
      </c>
    </row>
    <row r="14" spans="1:11" s="2" customFormat="1" x14ac:dyDescent="0.3">
      <c r="A14" s="2" t="s">
        <v>179</v>
      </c>
      <c r="B14" s="10">
        <f>IF(B4&gt;0,B6/B4,"")</f>
        <v>0.17721876041746801</v>
      </c>
      <c r="C14" s="10">
        <f t="shared" ref="C14:K14" si="0">IF(C4&gt;0,C6/C4,"")</f>
        <v>0.16489316369391854</v>
      </c>
      <c r="D14" s="10">
        <f t="shared" si="0"/>
        <v>0.16401493897104516</v>
      </c>
      <c r="E14" s="10">
        <f t="shared" si="0"/>
        <v>0.18654199271165853</v>
      </c>
      <c r="F14" s="10">
        <f t="shared" si="0"/>
        <v>0.16906196418365405</v>
      </c>
      <c r="G14" s="10">
        <f t="shared" si="0"/>
        <v>0.21336259995072457</v>
      </c>
      <c r="H14" s="10">
        <f t="shared" si="0"/>
        <v>0.18425950831136692</v>
      </c>
      <c r="I14" s="10">
        <f t="shared" si="0"/>
        <v>0.21868446330951169</v>
      </c>
      <c r="J14" s="10">
        <f t="shared" si="0"/>
        <v>0.19453808096418534</v>
      </c>
      <c r="K14" s="10">
        <f t="shared" si="0"/>
        <v>0.21695396572339579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J19" activePane="bottomRight" state="frozen"/>
      <selection activeCell="C4" sqref="C4"/>
      <selection pane="topRight" activeCell="C4" sqref="C4"/>
      <selection pane="bottomLeft" activeCell="C4" sqref="C4"/>
      <selection pane="bottomRight" activeCell="J1" sqref="J1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FORTIS HEALTHCARE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463.13</v>
      </c>
      <c r="C4" s="14">
        <f>'Data Sheet'!C57</f>
        <v>517.73</v>
      </c>
      <c r="D4" s="14">
        <f>'Data Sheet'!D57</f>
        <v>518.66</v>
      </c>
      <c r="E4" s="14">
        <f>'Data Sheet'!E57</f>
        <v>754.95</v>
      </c>
      <c r="F4" s="14">
        <f>'Data Sheet'!F57</f>
        <v>754.96</v>
      </c>
      <c r="G4" s="14">
        <f>'Data Sheet'!G57</f>
        <v>754.96</v>
      </c>
      <c r="H4" s="14">
        <f>'Data Sheet'!H57</f>
        <v>754.96</v>
      </c>
      <c r="I4" s="14">
        <f>'Data Sheet'!I57</f>
        <v>754.96</v>
      </c>
      <c r="J4" s="14">
        <f>'Data Sheet'!J57</f>
        <v>754.96</v>
      </c>
      <c r="K4" s="14">
        <f>'Data Sheet'!K57</f>
        <v>754.96</v>
      </c>
    </row>
    <row r="5" spans="1:11" x14ac:dyDescent="0.3">
      <c r="A5" t="s">
        <v>25</v>
      </c>
      <c r="B5" s="14">
        <f>'Data Sheet'!B58</f>
        <v>3998.03</v>
      </c>
      <c r="C5" s="14">
        <f>'Data Sheet'!C58</f>
        <v>4625.76</v>
      </c>
      <c r="D5" s="14">
        <f>'Data Sheet'!D58</f>
        <v>3543.07</v>
      </c>
      <c r="E5" s="14">
        <f>'Data Sheet'!E58</f>
        <v>5845.85</v>
      </c>
      <c r="F5" s="14">
        <f>'Data Sheet'!F58</f>
        <v>5906.13</v>
      </c>
      <c r="G5" s="14">
        <f>'Data Sheet'!G58</f>
        <v>5364.85</v>
      </c>
      <c r="H5" s="14">
        <f>'Data Sheet'!H58</f>
        <v>5423.28</v>
      </c>
      <c r="I5" s="14">
        <f>'Data Sheet'!I58</f>
        <v>6487.3</v>
      </c>
      <c r="J5" s="14">
        <f>'Data Sheet'!J58</f>
        <v>6907.94</v>
      </c>
      <c r="K5" s="14">
        <f>'Data Sheet'!K58</f>
        <v>8161.56</v>
      </c>
    </row>
    <row r="6" spans="1:11" x14ac:dyDescent="0.3">
      <c r="A6" t="s">
        <v>61</v>
      </c>
      <c r="B6" s="14">
        <f>'Data Sheet'!B59</f>
        <v>1513.43</v>
      </c>
      <c r="C6" s="14">
        <f>'Data Sheet'!C59</f>
        <v>2217.34</v>
      </c>
      <c r="D6" s="14">
        <f>'Data Sheet'!D59</f>
        <v>1962.19</v>
      </c>
      <c r="E6" s="14">
        <f>'Data Sheet'!E59</f>
        <v>2010.27</v>
      </c>
      <c r="F6" s="14">
        <f>'Data Sheet'!F59</f>
        <v>1594.28</v>
      </c>
      <c r="G6" s="14">
        <f>'Data Sheet'!G59</f>
        <v>1530.55</v>
      </c>
      <c r="H6" s="14">
        <f>'Data Sheet'!H59</f>
        <v>1254.93</v>
      </c>
      <c r="I6" s="14">
        <f>'Data Sheet'!I59</f>
        <v>925.73</v>
      </c>
      <c r="J6" s="14">
        <f>'Data Sheet'!J59</f>
        <v>1155.01</v>
      </c>
      <c r="K6" s="14">
        <f>'Data Sheet'!K59</f>
        <v>2475.1</v>
      </c>
    </row>
    <row r="7" spans="1:11" x14ac:dyDescent="0.3">
      <c r="A7" t="s">
        <v>62</v>
      </c>
      <c r="B7" s="14">
        <f>'Data Sheet'!B60</f>
        <v>1257.27</v>
      </c>
      <c r="C7" s="14">
        <f>'Data Sheet'!C60</f>
        <v>2227.27</v>
      </c>
      <c r="D7" s="14">
        <f>'Data Sheet'!D60</f>
        <v>2454.65</v>
      </c>
      <c r="E7" s="14">
        <f>'Data Sheet'!E60</f>
        <v>2874.87</v>
      </c>
      <c r="F7" s="14">
        <f>'Data Sheet'!F60</f>
        <v>2780.84</v>
      </c>
      <c r="G7" s="14">
        <f>'Data Sheet'!G60</f>
        <v>3215.6</v>
      </c>
      <c r="H7" s="14">
        <f>'Data Sheet'!H60</f>
        <v>4082.47</v>
      </c>
      <c r="I7" s="14">
        <f>'Data Sheet'!I60</f>
        <v>3921.35</v>
      </c>
      <c r="J7" s="14">
        <f>'Data Sheet'!J60</f>
        <v>4153.46</v>
      </c>
      <c r="K7" s="14">
        <f>'Data Sheet'!K60</f>
        <v>2299.91</v>
      </c>
    </row>
    <row r="8" spans="1:11" s="2" customFormat="1" x14ac:dyDescent="0.3">
      <c r="A8" s="2" t="s">
        <v>26</v>
      </c>
      <c r="B8" s="15">
        <f>'Data Sheet'!B61</f>
        <v>7231.86</v>
      </c>
      <c r="C8" s="15">
        <f>'Data Sheet'!C61</f>
        <v>9588.1</v>
      </c>
      <c r="D8" s="15">
        <f>'Data Sheet'!D61</f>
        <v>8478.57</v>
      </c>
      <c r="E8" s="15">
        <f>'Data Sheet'!E61</f>
        <v>11485.94</v>
      </c>
      <c r="F8" s="15">
        <f>'Data Sheet'!F61</f>
        <v>11036.21</v>
      </c>
      <c r="G8" s="15">
        <f>'Data Sheet'!G61</f>
        <v>10865.96</v>
      </c>
      <c r="H8" s="15">
        <f>'Data Sheet'!H61</f>
        <v>11515.64</v>
      </c>
      <c r="I8" s="15">
        <f>'Data Sheet'!I61</f>
        <v>12089.34</v>
      </c>
      <c r="J8" s="15">
        <f>'Data Sheet'!J61</f>
        <v>12971.37</v>
      </c>
      <c r="K8" s="15">
        <f>'Data Sheet'!K61</f>
        <v>13691.53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3641.52</v>
      </c>
      <c r="C10" s="14">
        <f>'Data Sheet'!C62</f>
        <v>5419.04</v>
      </c>
      <c r="D10" s="14">
        <f>'Data Sheet'!D62</f>
        <v>4992.05</v>
      </c>
      <c r="E10" s="14">
        <f>'Data Sheet'!E62</f>
        <v>8476.7199999999993</v>
      </c>
      <c r="F10" s="14">
        <f>'Data Sheet'!F62</f>
        <v>8802.35</v>
      </c>
      <c r="G10" s="14">
        <f>'Data Sheet'!G62</f>
        <v>8799.08</v>
      </c>
      <c r="H10" s="14">
        <f>'Data Sheet'!H62</f>
        <v>9415.7000000000007</v>
      </c>
      <c r="I10" s="14">
        <f>'Data Sheet'!I62</f>
        <v>9426.39</v>
      </c>
      <c r="J10" s="14">
        <f>'Data Sheet'!J62</f>
        <v>9873.65</v>
      </c>
      <c r="K10" s="14">
        <f>'Data Sheet'!K62</f>
        <v>10426.41</v>
      </c>
    </row>
    <row r="11" spans="1:11" x14ac:dyDescent="0.3">
      <c r="A11" t="s">
        <v>28</v>
      </c>
      <c r="B11" s="14">
        <f>'Data Sheet'!B63</f>
        <v>225.77</v>
      </c>
      <c r="C11" s="14">
        <f>'Data Sheet'!C63</f>
        <v>268.12</v>
      </c>
      <c r="D11" s="14">
        <f>'Data Sheet'!D63</f>
        <v>226.08</v>
      </c>
      <c r="E11" s="14">
        <f>'Data Sheet'!E63</f>
        <v>449.78</v>
      </c>
      <c r="F11" s="14">
        <f>'Data Sheet'!F63</f>
        <v>203.75</v>
      </c>
      <c r="G11" s="14">
        <f>'Data Sheet'!G63</f>
        <v>164.92</v>
      </c>
      <c r="H11" s="14">
        <f>'Data Sheet'!H63</f>
        <v>193.48</v>
      </c>
      <c r="I11" s="14">
        <f>'Data Sheet'!I63</f>
        <v>227.83</v>
      </c>
      <c r="J11" s="14">
        <f>'Data Sheet'!J63</f>
        <v>541.97</v>
      </c>
      <c r="K11" s="14">
        <f>'Data Sheet'!K63</f>
        <v>403.91</v>
      </c>
    </row>
    <row r="12" spans="1:11" x14ac:dyDescent="0.3">
      <c r="A12" t="s">
        <v>29</v>
      </c>
      <c r="B12" s="14">
        <f>'Data Sheet'!B64</f>
        <v>1451.92</v>
      </c>
      <c r="C12" s="14">
        <f>'Data Sheet'!C64</f>
        <v>1877.87</v>
      </c>
      <c r="D12" s="14">
        <f>'Data Sheet'!D64</f>
        <v>1731.92</v>
      </c>
      <c r="E12" s="14">
        <f>'Data Sheet'!E64</f>
        <v>269.58999999999997</v>
      </c>
      <c r="F12" s="14">
        <f>'Data Sheet'!F64</f>
        <v>174.54</v>
      </c>
      <c r="G12" s="14">
        <f>'Data Sheet'!G64</f>
        <v>186.03</v>
      </c>
      <c r="H12" s="14">
        <f>'Data Sheet'!H64</f>
        <v>103.6</v>
      </c>
      <c r="I12" s="14">
        <f>'Data Sheet'!I64</f>
        <v>210.3</v>
      </c>
      <c r="J12" s="14">
        <f>'Data Sheet'!J64</f>
        <v>229.77</v>
      </c>
      <c r="K12" s="14">
        <f>'Data Sheet'!K64</f>
        <v>169.1</v>
      </c>
    </row>
    <row r="13" spans="1:11" x14ac:dyDescent="0.3">
      <c r="A13" t="s">
        <v>63</v>
      </c>
      <c r="B13" s="14">
        <f>'Data Sheet'!B65</f>
        <v>1912.65</v>
      </c>
      <c r="C13" s="14">
        <f>'Data Sheet'!C65</f>
        <v>2023.07</v>
      </c>
      <c r="D13" s="14">
        <f>'Data Sheet'!D65</f>
        <v>1528.52</v>
      </c>
      <c r="E13" s="14">
        <f>'Data Sheet'!E65</f>
        <v>2289.85</v>
      </c>
      <c r="F13" s="14">
        <f>'Data Sheet'!F65</f>
        <v>1855.57</v>
      </c>
      <c r="G13" s="14">
        <f>'Data Sheet'!G65</f>
        <v>1715.93</v>
      </c>
      <c r="H13" s="14">
        <f>'Data Sheet'!H65</f>
        <v>1802.86</v>
      </c>
      <c r="I13" s="14">
        <f>'Data Sheet'!I65</f>
        <v>2224.8200000000002</v>
      </c>
      <c r="J13" s="14">
        <f>'Data Sheet'!J65</f>
        <v>2325.98</v>
      </c>
      <c r="K13" s="14">
        <f>'Data Sheet'!K65</f>
        <v>2692.11</v>
      </c>
    </row>
    <row r="14" spans="1:11" s="2" customFormat="1" x14ac:dyDescent="0.3">
      <c r="A14" s="2" t="s">
        <v>26</v>
      </c>
      <c r="B14" s="14">
        <f>'Data Sheet'!B66</f>
        <v>7231.86</v>
      </c>
      <c r="C14" s="14">
        <f>'Data Sheet'!C66</f>
        <v>9588.1</v>
      </c>
      <c r="D14" s="14">
        <f>'Data Sheet'!D66</f>
        <v>8478.57</v>
      </c>
      <c r="E14" s="14">
        <f>'Data Sheet'!E66</f>
        <v>11485.94</v>
      </c>
      <c r="F14" s="14">
        <f>'Data Sheet'!F66</f>
        <v>11036.21</v>
      </c>
      <c r="G14" s="14">
        <f>'Data Sheet'!G66</f>
        <v>10865.96</v>
      </c>
      <c r="H14" s="14">
        <f>'Data Sheet'!H66</f>
        <v>11515.64</v>
      </c>
      <c r="I14" s="14">
        <f>'Data Sheet'!I66</f>
        <v>12089.34</v>
      </c>
      <c r="J14" s="14">
        <f>'Data Sheet'!J66</f>
        <v>12971.37</v>
      </c>
      <c r="K14" s="14">
        <f>'Data Sheet'!K66</f>
        <v>13691.53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655.38000000000011</v>
      </c>
      <c r="C16" s="4">
        <f t="shared" ref="C16:K16" si="0">C13-C7</f>
        <v>-204.20000000000005</v>
      </c>
      <c r="D16" s="4">
        <f t="shared" si="0"/>
        <v>-926.13000000000011</v>
      </c>
      <c r="E16" s="4">
        <f t="shared" si="0"/>
        <v>-585.02</v>
      </c>
      <c r="F16" s="4">
        <f t="shared" si="0"/>
        <v>-925.27000000000021</v>
      </c>
      <c r="G16" s="4">
        <f t="shared" si="0"/>
        <v>-1499.6699999999998</v>
      </c>
      <c r="H16" s="4">
        <f t="shared" si="0"/>
        <v>-2279.6099999999997</v>
      </c>
      <c r="I16" s="4">
        <f t="shared" si="0"/>
        <v>-1696.5299999999997</v>
      </c>
      <c r="J16" s="4">
        <f t="shared" si="0"/>
        <v>-1827.48</v>
      </c>
      <c r="K16" s="4">
        <f t="shared" si="0"/>
        <v>392.20000000000027</v>
      </c>
    </row>
    <row r="17" spans="1:11" x14ac:dyDescent="0.3">
      <c r="A17" t="s">
        <v>43</v>
      </c>
      <c r="B17" s="4">
        <f>'Data Sheet'!B67</f>
        <v>444.06</v>
      </c>
      <c r="C17" s="4">
        <f>'Data Sheet'!C67</f>
        <v>472.94</v>
      </c>
      <c r="D17" s="4">
        <f>'Data Sheet'!D67</f>
        <v>470.19</v>
      </c>
      <c r="E17" s="4">
        <f>'Data Sheet'!E67</f>
        <v>542.41999999999996</v>
      </c>
      <c r="F17" s="4">
        <f>'Data Sheet'!F67</f>
        <v>458.78</v>
      </c>
      <c r="G17" s="4">
        <f>'Data Sheet'!G67</f>
        <v>457.76</v>
      </c>
      <c r="H17" s="4">
        <f>'Data Sheet'!H67</f>
        <v>512.16999999999996</v>
      </c>
      <c r="I17" s="4">
        <f>'Data Sheet'!I67</f>
        <v>581.61</v>
      </c>
      <c r="J17" s="4">
        <f>'Data Sheet'!J67</f>
        <v>627.83000000000004</v>
      </c>
      <c r="K17" s="4">
        <f>'Data Sheet'!K67</f>
        <v>784.49</v>
      </c>
    </row>
    <row r="18" spans="1:11" x14ac:dyDescent="0.3">
      <c r="A18" t="s">
        <v>44</v>
      </c>
      <c r="B18" s="4">
        <f>'Data Sheet'!B68</f>
        <v>60.04</v>
      </c>
      <c r="C18" s="4">
        <f>'Data Sheet'!C68</f>
        <v>61.57</v>
      </c>
      <c r="D18" s="4">
        <f>'Data Sheet'!D68</f>
        <v>66.63</v>
      </c>
      <c r="E18" s="4">
        <f>'Data Sheet'!E68</f>
        <v>56.53</v>
      </c>
      <c r="F18" s="4">
        <f>'Data Sheet'!F68</f>
        <v>78.180000000000007</v>
      </c>
      <c r="G18" s="4">
        <f>'Data Sheet'!G68</f>
        <v>76.760000000000005</v>
      </c>
      <c r="H18" s="4">
        <f>'Data Sheet'!H68</f>
        <v>122.9</v>
      </c>
      <c r="I18" s="4">
        <f>'Data Sheet'!I68</f>
        <v>122.84</v>
      </c>
      <c r="J18" s="4">
        <f>'Data Sheet'!J68</f>
        <v>107.42</v>
      </c>
      <c r="K18" s="4">
        <f>'Data Sheet'!K68</f>
        <v>115.3</v>
      </c>
    </row>
    <row r="20" spans="1:11" x14ac:dyDescent="0.3">
      <c r="A20" t="s">
        <v>45</v>
      </c>
      <c r="B20" s="4">
        <f>IF('Profit &amp; Loss'!B4&gt;0,'Balance Sheet'!B17/('Profit &amp; Loss'!B4/365),0)</f>
        <v>38.601130298721806</v>
      </c>
      <c r="C20" s="4">
        <f>IF('Profit &amp; Loss'!C4&gt;0,'Balance Sheet'!C17/('Profit &amp; Loss'!C4/365),0)</f>
        <v>37.742384754641733</v>
      </c>
      <c r="D20" s="4">
        <f>IF('Profit &amp; Loss'!D4&gt;0,'Balance Sheet'!D17/('Profit &amp; Loss'!D4/365),0)</f>
        <v>37.62913824518013</v>
      </c>
      <c r="E20" s="4">
        <f>IF('Profit &amp; Loss'!E4&gt;0,'Balance Sheet'!E17/('Profit &amp; Loss'!E4/365),0)</f>
        <v>44.298007540246338</v>
      </c>
      <c r="F20" s="4">
        <f>IF('Profit &amp; Loss'!F4&gt;0,'Balance Sheet'!F17/('Profit &amp; Loss'!F4/365),0)</f>
        <v>36.149208172146999</v>
      </c>
      <c r="G20" s="4">
        <f>IF('Profit &amp; Loss'!G4&gt;0,'Balance Sheet'!G17/('Profit &amp; Loss'!G4/365),0)</f>
        <v>41.458418111619501</v>
      </c>
      <c r="H20" s="4">
        <f>IF('Profit &amp; Loss'!H4&gt;0,'Balance Sheet'!H17/('Profit &amp; Loss'!H4/365),0)</f>
        <v>32.695780761925413</v>
      </c>
      <c r="I20" s="4">
        <f>IF('Profit &amp; Loss'!I4&gt;0,'Balance Sheet'!I17/('Profit &amp; Loss'!I4/365),0)</f>
        <v>33.709079909299355</v>
      </c>
      <c r="J20" s="4">
        <f>IF('Profit &amp; Loss'!J4&gt;0,'Balance Sheet'!J17/('Profit &amp; Loss'!J4/365),0)</f>
        <v>33.245458014104351</v>
      </c>
      <c r="K20" s="4">
        <f>IF('Profit &amp; Loss'!K4&gt;0,'Balance Sheet'!K17/('Profit &amp; Loss'!K4/365),0)</f>
        <v>36.791474735793905</v>
      </c>
    </row>
    <row r="21" spans="1:11" x14ac:dyDescent="0.3">
      <c r="A21" t="s">
        <v>46</v>
      </c>
      <c r="B21" s="4">
        <f>IF('Balance Sheet'!B18&gt;0,'Profit &amp; Loss'!B4/'Balance Sheet'!B18,0)</f>
        <v>69.934876748834114</v>
      </c>
      <c r="C21" s="4">
        <f>IF('Balance Sheet'!C18&gt;0,'Profit &amp; Loss'!C4/'Balance Sheet'!C18,0)</f>
        <v>74.284878999512756</v>
      </c>
      <c r="D21" s="4">
        <f>IF('Balance Sheet'!D18&gt;0,'Profit &amp; Loss'!D4/'Balance Sheet'!D18,0)</f>
        <v>68.449797388563724</v>
      </c>
      <c r="E21" s="4">
        <f>IF('Balance Sheet'!E18&gt;0,'Profit &amp; Loss'!E4/'Balance Sheet'!E18,0)</f>
        <v>79.061560233504338</v>
      </c>
      <c r="F21" s="4">
        <f>IF('Balance Sheet'!F18&gt;0,'Profit &amp; Loss'!F4/'Balance Sheet'!F18,0)</f>
        <v>59.251982604246599</v>
      </c>
      <c r="G21" s="4">
        <f>IF('Balance Sheet'!G18&gt;0,'Profit &amp; Loss'!G4/'Balance Sheet'!G18,0)</f>
        <v>52.50286607608129</v>
      </c>
      <c r="H21" s="4">
        <f>IF('Balance Sheet'!H18&gt;0,'Profit &amp; Loss'!H4/'Balance Sheet'!H18,0)</f>
        <v>46.52253864930838</v>
      </c>
      <c r="I21" s="4">
        <f>IF('Balance Sheet'!I18&gt;0,'Profit &amp; Loss'!I4/'Balance Sheet'!I18,0)</f>
        <v>51.267014001953761</v>
      </c>
      <c r="J21" s="4">
        <f>IF('Balance Sheet'!J18&gt;0,'Profit &amp; Loss'!J4/'Balance Sheet'!J18,0)</f>
        <v>64.167845838763725</v>
      </c>
      <c r="K21" s="4">
        <f>IF('Balance Sheet'!K18&gt;0,'Profit &amp; Loss'!K4/'Balance Sheet'!K18,0)</f>
        <v>67.5</v>
      </c>
    </row>
    <row r="23" spans="1:11" s="2" customFormat="1" x14ac:dyDescent="0.3">
      <c r="A23" s="2" t="s">
        <v>49</v>
      </c>
      <c r="B23" s="10">
        <f>IF(SUM('Balance Sheet'!B4:B5)&gt;0,'Profit &amp; Loss'!B12/SUM('Balance Sheet'!B4:B5),"")</f>
        <v>4.1289709402935566E-3</v>
      </c>
      <c r="C23" s="10">
        <f>IF(SUM('Balance Sheet'!C4:C5)&gt;0,'Profit &amp; Loss'!C12/SUM('Balance Sheet'!C4:C5),"")</f>
        <v>8.1979356429194974E-2</v>
      </c>
      <c r="D23" s="10">
        <f>IF(SUM('Balance Sheet'!D4:D5)&gt;0,'Profit &amp; Loss'!D12/SUM('Balance Sheet'!D4:D5),"")</f>
        <v>-0.24847047932777414</v>
      </c>
      <c r="E23" s="10">
        <f>IF(SUM('Balance Sheet'!E4:E5)&gt;0,'Profit &amp; Loss'!E12/SUM('Balance Sheet'!E4:E5),"")</f>
        <v>-4.5288449884862442E-2</v>
      </c>
      <c r="F23" s="10">
        <f>IF(SUM('Balance Sheet'!F4:F5)&gt;0,'Profit &amp; Loss'!F12/SUM('Balance Sheet'!F4:F5),"")</f>
        <v>8.6982761079643124E-3</v>
      </c>
      <c r="G23" s="10">
        <f>IF(SUM('Balance Sheet'!G4:G5)&gt;0,'Profit &amp; Loss'!G12/SUM('Balance Sheet'!G4:G5),"")</f>
        <v>-1.793519733455777E-2</v>
      </c>
      <c r="H23" s="10">
        <f>IF(SUM('Balance Sheet'!H4:H5)&gt;0,'Profit &amp; Loss'!H12/SUM('Balance Sheet'!H4:H5),"")</f>
        <v>8.985083130470814E-2</v>
      </c>
      <c r="I23" s="10">
        <f>IF(SUM('Balance Sheet'!I4:I5)&gt;0,'Profit &amp; Loss'!I12/SUM('Balance Sheet'!I4:I5),"")</f>
        <v>8.1290922999174287E-2</v>
      </c>
      <c r="J23" s="10">
        <f>IF(SUM('Balance Sheet'!J4:J5)&gt;0,'Profit &amp; Loss'!J12/SUM('Balance Sheet'!J4:J5),"")</f>
        <v>7.8153179605632339E-2</v>
      </c>
      <c r="K23" s="10">
        <f>IF(SUM('Balance Sheet'!K4:K5)&gt;0,'Profit &amp; Loss'!K12/SUM('Balance Sheet'!K4:K5),"")</f>
        <v>8.6828717930313618E-2</v>
      </c>
    </row>
    <row r="24" spans="1:11" s="2" customFormat="1" x14ac:dyDescent="0.3">
      <c r="A24" s="2" t="s">
        <v>50</v>
      </c>
      <c r="B24" s="10"/>
      <c r="C24" s="10">
        <f>IF((B4+B5+B6+C4+C5+C6)&gt;0,('Profit &amp; Loss'!C10+'Profit &amp; Loss'!C9)*2/(B4+B5+B6+C4+C5+C6),"")</f>
        <v>0.11715116584254566</v>
      </c>
      <c r="D24" s="10">
        <f>IF((C4+C5+C6+D4+D5+D6)&gt;0,('Profit &amp; Loss'!D10+'Profit &amp; Loss'!D9)*2/(C4+C5+C6+D4+D5+D6),"")</f>
        <v>-9.7721660845365058E-2</v>
      </c>
      <c r="E24" s="10">
        <f>IF((D4+D5+D6+E4+E5+E6)&gt;0,('Profit &amp; Loss'!E10+'Profit &amp; Loss'!E9)*2/(D4+D5+D6+E4+E5+E6),"")</f>
        <v>3.0984647068429835E-2</v>
      </c>
      <c r="F24" s="10">
        <f>IF((E4+E5+E6+F4+F5+F6)&gt;0,('Profit &amp; Loss'!F10+'Profit &amp; Loss'!F9)*2/(E4+E5+E6+F4+F5+F6),"")</f>
        <v>5.2698731919717502E-2</v>
      </c>
      <c r="G24" s="10">
        <f>IF((F4+F5+F6+G4+G5+G6)&gt;0,('Profit &amp; Loss'!G10+'Profit &amp; Loss'!G9)*2/(F4+F5+F6+G4+G5+G6),"")</f>
        <v>2.6302470870560483E-2</v>
      </c>
      <c r="H24" s="10">
        <f>IF((G4+G5+G6+H4+H5+H6)&gt;0,('Profit &amp; Loss'!H10+'Profit &amp; Loss'!H9)*2/(G4+G5+G6+H4+H5+H6),"")</f>
        <v>0.1504475411259831</v>
      </c>
      <c r="I24" s="10">
        <f>IF((H4+H5+H6+I4+I5+I6)&gt;0,('Profit &amp; Loss'!I10+'Profit &amp; Loss'!I9)*2/(H4+H5+H6+I4+I5+I6),"")</f>
        <v>0.12085896176950944</v>
      </c>
      <c r="J24" s="10">
        <f>IF((I4+I5+I6+J4+J5+J6)&gt;0,('Profit &amp; Loss'!J10+'Profit &amp; Loss'!J9)*2/(I4+I5+I6+J4+J5+J6),"")</f>
        <v>0.11643892875855859</v>
      </c>
      <c r="K24" s="10">
        <f>IF((J4+J5+J6+K4+K5+K6)&gt;0,('Profit &amp; Loss'!K10+'Profit &amp; Loss'!K9)*2/(J4+J5+J6+K4+K5+K6),"")</f>
        <v>0.11790971883067049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L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FORTIS HEALTHCARE LTD</v>
      </c>
      <c r="E1" t="str">
        <f>UPDATE</f>
        <v/>
      </c>
      <c r="F1"/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194.67</v>
      </c>
      <c r="C4" s="1">
        <f>'Data Sheet'!C82</f>
        <v>966.45</v>
      </c>
      <c r="D4" s="1">
        <f>'Data Sheet'!D82</f>
        <v>492.9</v>
      </c>
      <c r="E4" s="1">
        <f>'Data Sheet'!E82</f>
        <v>-178.53</v>
      </c>
      <c r="F4" s="1">
        <f>'Data Sheet'!F82</f>
        <v>171.54</v>
      </c>
      <c r="G4" s="1">
        <f>'Data Sheet'!G82</f>
        <v>485.49</v>
      </c>
      <c r="H4" s="1">
        <f>'Data Sheet'!H82</f>
        <v>865.39</v>
      </c>
      <c r="I4" s="1">
        <f>'Data Sheet'!I82</f>
        <v>822.25</v>
      </c>
      <c r="J4" s="1">
        <f>'Data Sheet'!J82</f>
        <v>1100.0999999999999</v>
      </c>
      <c r="K4" s="1">
        <f>'Data Sheet'!K82</f>
        <v>1423.93</v>
      </c>
    </row>
    <row r="5" spans="1:11" x14ac:dyDescent="0.3">
      <c r="A5" t="s">
        <v>33</v>
      </c>
      <c r="B5" s="6">
        <f>'Data Sheet'!B83</f>
        <v>122.13</v>
      </c>
      <c r="C5" s="6">
        <f>'Data Sheet'!C83</f>
        <v>-1001.28</v>
      </c>
      <c r="D5" s="6">
        <f>'Data Sheet'!D83</f>
        <v>-333.44</v>
      </c>
      <c r="E5" s="6">
        <f>'Data Sheet'!E83</f>
        <v>-3279.32</v>
      </c>
      <c r="F5" s="6">
        <f>'Data Sheet'!F83</f>
        <v>63.48</v>
      </c>
      <c r="G5" s="6">
        <f>'Data Sheet'!G83</f>
        <v>-130.55000000000001</v>
      </c>
      <c r="H5" s="6">
        <f>'Data Sheet'!H83</f>
        <v>-500.61</v>
      </c>
      <c r="I5" s="6">
        <f>'Data Sheet'!I83</f>
        <v>-372.48</v>
      </c>
      <c r="J5" s="6">
        <f>'Data Sheet'!J83</f>
        <v>-889.12</v>
      </c>
      <c r="K5" s="6">
        <f>'Data Sheet'!K83</f>
        <v>-779.38</v>
      </c>
    </row>
    <row r="6" spans="1:11" x14ac:dyDescent="0.3">
      <c r="A6" t="s">
        <v>34</v>
      </c>
      <c r="B6" s="6">
        <f>'Data Sheet'!B84</f>
        <v>-354.29</v>
      </c>
      <c r="C6" s="6">
        <f>'Data Sheet'!C84</f>
        <v>259.37</v>
      </c>
      <c r="D6" s="6">
        <f>'Data Sheet'!D84</f>
        <v>-672.05</v>
      </c>
      <c r="E6" s="6">
        <f>'Data Sheet'!E84</f>
        <v>4256.6099999999997</v>
      </c>
      <c r="F6" s="6">
        <f>'Data Sheet'!F84</f>
        <v>-861.61</v>
      </c>
      <c r="G6" s="6">
        <f>'Data Sheet'!G84</f>
        <v>-142.93</v>
      </c>
      <c r="H6" s="6">
        <f>'Data Sheet'!H84</f>
        <v>-517.30999999999995</v>
      </c>
      <c r="I6" s="6">
        <f>'Data Sheet'!I84</f>
        <v>-471.22</v>
      </c>
      <c r="J6" s="6">
        <f>'Data Sheet'!J84</f>
        <v>-86.46</v>
      </c>
      <c r="K6" s="6">
        <f>'Data Sheet'!K84</f>
        <v>-713.84</v>
      </c>
    </row>
    <row r="7" spans="1:11" s="2" customFormat="1" x14ac:dyDescent="0.3">
      <c r="A7" s="2" t="s">
        <v>35</v>
      </c>
      <c r="B7" s="1">
        <f>'Data Sheet'!B85</f>
        <v>-37.49</v>
      </c>
      <c r="C7" s="1">
        <f>'Data Sheet'!C85</f>
        <v>224.54</v>
      </c>
      <c r="D7" s="1">
        <f>'Data Sheet'!D85</f>
        <v>-512.6</v>
      </c>
      <c r="E7" s="1">
        <f>'Data Sheet'!E85</f>
        <v>798.76</v>
      </c>
      <c r="F7" s="1">
        <f>'Data Sheet'!F85</f>
        <v>-626.59</v>
      </c>
      <c r="G7" s="1">
        <f>'Data Sheet'!G85</f>
        <v>212.01</v>
      </c>
      <c r="H7" s="1">
        <f>'Data Sheet'!H85</f>
        <v>-152.52000000000001</v>
      </c>
      <c r="I7" s="1">
        <f>'Data Sheet'!I85</f>
        <v>-21.46</v>
      </c>
      <c r="J7" s="1">
        <f>'Data Sheet'!J85</f>
        <v>124.52</v>
      </c>
      <c r="K7" s="1">
        <f>'Data Sheet'!K85</f>
        <v>-69.290000000000006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EC9A-065C-4DBF-A3E5-1CB27830FF6B}">
  <sheetPr>
    <tabColor rgb="FF002060"/>
  </sheetPr>
  <dimension ref="A1"/>
  <sheetViews>
    <sheetView topLeftCell="D1"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K93"/>
  <sheetViews>
    <sheetView zoomScale="120" zoomScaleNormal="120" zoomScalePageLayoutView="120" workbookViewId="0">
      <pane xSplit="1" ySplit="1" topLeftCell="B63" activePane="bottomRight" state="frozen"/>
      <selection activeCell="C4" sqref="C4"/>
      <selection pane="topRight" activeCell="C4" sqref="C4"/>
      <selection pane="bottomLeft" activeCell="C4" sqref="C4"/>
      <selection pane="bottomRight" activeCell="B31" sqref="B31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53</v>
      </c>
      <c r="E1" s="46" t="str">
        <f>IF(B2&lt;&gt;B3, "A NEW VERSION OF THE WORKSHEET IS AVAILABLE", "")</f>
        <v/>
      </c>
      <c r="F1" s="46"/>
      <c r="G1" s="46"/>
      <c r="H1" s="46"/>
      <c r="I1" s="46"/>
      <c r="J1" s="46"/>
      <c r="K1" s="46"/>
    </row>
    <row r="2" spans="1:11" x14ac:dyDescent="0.3">
      <c r="A2" s="1" t="s">
        <v>51</v>
      </c>
      <c r="B2" s="4">
        <v>2.1</v>
      </c>
      <c r="E2" s="49"/>
      <c r="F2" s="49"/>
      <c r="G2" s="49"/>
      <c r="H2" s="49"/>
      <c r="I2" s="49"/>
      <c r="J2" s="49"/>
      <c r="K2" s="49"/>
    </row>
    <row r="3" spans="1:11" x14ac:dyDescent="0.3">
      <c r="A3" s="1" t="s">
        <v>52</v>
      </c>
      <c r="B3" s="4">
        <v>2.1</v>
      </c>
    </row>
    <row r="4" spans="1:11" x14ac:dyDescent="0.3">
      <c r="A4" s="1"/>
    </row>
    <row r="5" spans="1:11" x14ac:dyDescent="0.3">
      <c r="A5" s="1" t="s">
        <v>54</v>
      </c>
    </row>
    <row r="6" spans="1:11" x14ac:dyDescent="0.3">
      <c r="A6" s="4" t="s">
        <v>41</v>
      </c>
      <c r="B6" s="4">
        <f>IF(B9&gt;0, B9/B8, 0)</f>
        <v>75.481005843345812</v>
      </c>
    </row>
    <row r="7" spans="1:11" x14ac:dyDescent="0.3">
      <c r="A7" s="4" t="s">
        <v>31</v>
      </c>
      <c r="B7">
        <v>10</v>
      </c>
    </row>
    <row r="8" spans="1:11" x14ac:dyDescent="0.3">
      <c r="A8" s="4" t="s">
        <v>42</v>
      </c>
      <c r="B8">
        <v>761.55</v>
      </c>
    </row>
    <row r="9" spans="1:11" x14ac:dyDescent="0.3">
      <c r="A9" s="4" t="s">
        <v>69</v>
      </c>
      <c r="B9">
        <v>57482.559999999998</v>
      </c>
    </row>
    <row r="15" spans="1:11" x14ac:dyDescent="0.3">
      <c r="A15" s="1" t="s">
        <v>36</v>
      </c>
    </row>
    <row r="16" spans="1:11" s="18" customFormat="1" x14ac:dyDescent="0.3">
      <c r="A16" s="17" t="s">
        <v>37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4198.8900000000003</v>
      </c>
      <c r="C17">
        <v>4573.72</v>
      </c>
      <c r="D17">
        <v>4560.8100000000004</v>
      </c>
      <c r="E17">
        <v>4469.3500000000004</v>
      </c>
      <c r="F17">
        <v>4632.32</v>
      </c>
      <c r="G17">
        <v>4030.12</v>
      </c>
      <c r="H17">
        <v>5717.62</v>
      </c>
      <c r="I17">
        <v>6297.64</v>
      </c>
      <c r="J17">
        <v>6892.91</v>
      </c>
      <c r="K17">
        <v>7782.75</v>
      </c>
    </row>
    <row r="18" spans="1:11" s="6" customFormat="1" x14ac:dyDescent="0.3">
      <c r="A18" s="4" t="s">
        <v>70</v>
      </c>
      <c r="B18">
        <v>941.67</v>
      </c>
      <c r="C18">
        <v>999.86</v>
      </c>
      <c r="D18">
        <v>1004.08</v>
      </c>
      <c r="E18">
        <v>918.14</v>
      </c>
      <c r="F18">
        <v>985.49</v>
      </c>
      <c r="G18">
        <v>974.48</v>
      </c>
      <c r="H18">
        <v>1403.37</v>
      </c>
      <c r="I18">
        <v>1454.65</v>
      </c>
      <c r="J18">
        <v>1603.25</v>
      </c>
      <c r="K18">
        <v>1838.07</v>
      </c>
    </row>
    <row r="19" spans="1:11" s="6" customFormat="1" x14ac:dyDescent="0.3">
      <c r="A19" s="4" t="s">
        <v>71</v>
      </c>
      <c r="B19"/>
      <c r="C19">
        <v>2.2999999999999998</v>
      </c>
      <c r="D19">
        <v>5.0599999999999996</v>
      </c>
      <c r="E19">
        <v>-10.09</v>
      </c>
      <c r="F19">
        <v>21.65</v>
      </c>
      <c r="G19">
        <v>-1.42</v>
      </c>
      <c r="H19">
        <v>46.14</v>
      </c>
      <c r="I19">
        <v>-0.06</v>
      </c>
      <c r="J19">
        <v>-15.43</v>
      </c>
      <c r="K19">
        <v>7.88</v>
      </c>
    </row>
    <row r="20" spans="1:11" s="6" customFormat="1" x14ac:dyDescent="0.3">
      <c r="A20" s="4" t="s">
        <v>72</v>
      </c>
      <c r="B20">
        <v>107.61</v>
      </c>
      <c r="C20">
        <v>100.74</v>
      </c>
      <c r="D20">
        <v>95.36</v>
      </c>
      <c r="E20">
        <v>100.11</v>
      </c>
      <c r="F20">
        <v>104.47</v>
      </c>
      <c r="G20">
        <v>102.17</v>
      </c>
      <c r="H20">
        <v>111.07</v>
      </c>
      <c r="I20">
        <v>119.06</v>
      </c>
      <c r="J20">
        <v>119.52</v>
      </c>
      <c r="K20"/>
    </row>
    <row r="21" spans="1:11" s="6" customFormat="1" x14ac:dyDescent="0.3">
      <c r="A21" s="4" t="s">
        <v>73</v>
      </c>
      <c r="B21">
        <v>1610.09</v>
      </c>
      <c r="C21">
        <v>1393.53</v>
      </c>
      <c r="D21">
        <v>1587.54</v>
      </c>
      <c r="E21">
        <v>1551.02</v>
      </c>
      <c r="F21">
        <v>1417.09</v>
      </c>
      <c r="G21">
        <v>1196.95</v>
      </c>
      <c r="H21">
        <v>1538.31</v>
      </c>
      <c r="I21">
        <v>1792.61</v>
      </c>
      <c r="J21">
        <v>1963.74</v>
      </c>
      <c r="K21"/>
    </row>
    <row r="22" spans="1:11" s="6" customFormat="1" x14ac:dyDescent="0.3">
      <c r="A22" s="4" t="s">
        <v>74</v>
      </c>
      <c r="B22">
        <v>831.93</v>
      </c>
      <c r="C22">
        <v>1234.9000000000001</v>
      </c>
      <c r="D22">
        <v>906.04</v>
      </c>
      <c r="E22">
        <v>924.99</v>
      </c>
      <c r="F22">
        <v>923.62</v>
      </c>
      <c r="G22">
        <v>856.01</v>
      </c>
      <c r="H22">
        <v>980.28</v>
      </c>
      <c r="I22">
        <v>1053.92</v>
      </c>
      <c r="J22">
        <v>1126.8</v>
      </c>
      <c r="K22">
        <v>1167.24</v>
      </c>
    </row>
    <row r="23" spans="1:11" s="6" customFormat="1" x14ac:dyDescent="0.3">
      <c r="A23" s="4" t="s">
        <v>75</v>
      </c>
      <c r="B23">
        <v>593.9</v>
      </c>
      <c r="C23">
        <v>502.07</v>
      </c>
      <c r="D23">
        <v>598.13</v>
      </c>
      <c r="E23">
        <v>713.04</v>
      </c>
      <c r="F23">
        <v>674.72</v>
      </c>
      <c r="G23">
        <v>540.76</v>
      </c>
      <c r="H23">
        <v>801.36</v>
      </c>
      <c r="I23">
        <v>930.56</v>
      </c>
      <c r="J23">
        <v>996.55</v>
      </c>
      <c r="K23"/>
    </row>
    <row r="24" spans="1:11" s="6" customFormat="1" x14ac:dyDescent="0.3">
      <c r="A24" s="4" t="s">
        <v>76</v>
      </c>
      <c r="B24">
        <v>21.28</v>
      </c>
      <c r="C24">
        <v>-9.14</v>
      </c>
      <c r="D24">
        <v>100.66</v>
      </c>
      <c r="E24">
        <v>20.55</v>
      </c>
      <c r="F24">
        <v>-61.81</v>
      </c>
      <c r="G24">
        <v>-46.12</v>
      </c>
      <c r="H24">
        <v>-139.59</v>
      </c>
      <c r="I24">
        <v>-154.56</v>
      </c>
      <c r="J24">
        <v>-200.01</v>
      </c>
      <c r="K24">
        <v>3197.38</v>
      </c>
    </row>
    <row r="25" spans="1:11" s="6" customFormat="1" x14ac:dyDescent="0.3">
      <c r="A25" s="6" t="s">
        <v>9</v>
      </c>
      <c r="B25">
        <v>299.49</v>
      </c>
      <c r="C25">
        <v>649.25</v>
      </c>
      <c r="D25">
        <v>-689.09</v>
      </c>
      <c r="E25">
        <v>228.24</v>
      </c>
      <c r="F25">
        <v>125.76</v>
      </c>
      <c r="G25">
        <v>95.33</v>
      </c>
      <c r="H25">
        <v>366.52</v>
      </c>
      <c r="I25">
        <v>157.16999999999999</v>
      </c>
      <c r="J25">
        <v>63.78</v>
      </c>
      <c r="K25">
        <v>-10.88</v>
      </c>
    </row>
    <row r="26" spans="1:11" s="6" customFormat="1" x14ac:dyDescent="0.3">
      <c r="A26" s="6" t="s">
        <v>10</v>
      </c>
      <c r="B26">
        <v>225.1</v>
      </c>
      <c r="C26">
        <v>222.18</v>
      </c>
      <c r="D26">
        <v>238.96</v>
      </c>
      <c r="E26">
        <v>232.92</v>
      </c>
      <c r="F26">
        <v>291.73</v>
      </c>
      <c r="G26">
        <v>290.60000000000002</v>
      </c>
      <c r="H26">
        <v>300.83999999999997</v>
      </c>
      <c r="I26">
        <v>315.74</v>
      </c>
      <c r="J26">
        <v>342.5</v>
      </c>
      <c r="K26">
        <v>385.61</v>
      </c>
    </row>
    <row r="27" spans="1:11" s="6" customFormat="1" x14ac:dyDescent="0.3">
      <c r="A27" s="6" t="s">
        <v>11</v>
      </c>
      <c r="B27">
        <v>133.05000000000001</v>
      </c>
      <c r="C27">
        <v>229.44</v>
      </c>
      <c r="D27">
        <v>257.79000000000002</v>
      </c>
      <c r="E27">
        <v>336.83</v>
      </c>
      <c r="F27">
        <v>205.06</v>
      </c>
      <c r="G27">
        <v>165.88</v>
      </c>
      <c r="H27">
        <v>146.85</v>
      </c>
      <c r="I27">
        <v>129.09</v>
      </c>
      <c r="J27">
        <v>130.94999999999999</v>
      </c>
      <c r="K27">
        <v>184.41</v>
      </c>
    </row>
    <row r="28" spans="1:11" s="6" customFormat="1" x14ac:dyDescent="0.3">
      <c r="A28" s="6" t="s">
        <v>12</v>
      </c>
      <c r="B28">
        <v>33.75</v>
      </c>
      <c r="C28">
        <v>551.69000000000005</v>
      </c>
      <c r="D28">
        <v>-911.78</v>
      </c>
      <c r="E28">
        <v>-110.1</v>
      </c>
      <c r="F28">
        <v>239.36</v>
      </c>
      <c r="G28">
        <v>43.3</v>
      </c>
      <c r="H28">
        <v>987.79</v>
      </c>
      <c r="I28">
        <v>813.68</v>
      </c>
      <c r="J28">
        <v>857.96</v>
      </c>
      <c r="K28">
        <v>1007.04</v>
      </c>
    </row>
    <row r="29" spans="1:11" s="6" customFormat="1" x14ac:dyDescent="0.3">
      <c r="A29" s="6" t="s">
        <v>13</v>
      </c>
      <c r="B29">
        <v>-8.01</v>
      </c>
      <c r="C29">
        <v>72.400000000000006</v>
      </c>
      <c r="D29">
        <v>22.65</v>
      </c>
      <c r="E29">
        <v>113.61</v>
      </c>
      <c r="F29">
        <v>147.87</v>
      </c>
      <c r="G29">
        <v>99.46</v>
      </c>
      <c r="H29">
        <v>197.84</v>
      </c>
      <c r="I29">
        <v>180.7</v>
      </c>
      <c r="J29">
        <v>212.74</v>
      </c>
      <c r="K29">
        <v>197.66</v>
      </c>
    </row>
    <row r="30" spans="1:11" s="6" customFormat="1" x14ac:dyDescent="0.3">
      <c r="A30" s="6" t="s">
        <v>14</v>
      </c>
      <c r="B30">
        <v>18.420000000000002</v>
      </c>
      <c r="C30">
        <v>421.66</v>
      </c>
      <c r="D30">
        <v>-1009.22</v>
      </c>
      <c r="E30">
        <v>-298.94</v>
      </c>
      <c r="F30">
        <v>57.94</v>
      </c>
      <c r="G30">
        <v>-109.76</v>
      </c>
      <c r="H30">
        <v>555.12</v>
      </c>
      <c r="I30">
        <v>588.73</v>
      </c>
      <c r="J30">
        <v>598.88</v>
      </c>
      <c r="K30">
        <v>774.21</v>
      </c>
    </row>
    <row r="31" spans="1:11" s="6" customFormat="1" x14ac:dyDescent="0.3">
      <c r="A31" s="6" t="s">
        <v>60</v>
      </c>
      <c r="C31"/>
      <c r="I31">
        <v>75.5</v>
      </c>
      <c r="J31">
        <v>75.5</v>
      </c>
      <c r="K31">
        <v>75.5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38</v>
      </c>
    </row>
    <row r="41" spans="1:11" s="18" customFormat="1" x14ac:dyDescent="0.3">
      <c r="A41" s="17" t="s">
        <v>37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6</v>
      </c>
      <c r="B42">
        <v>1559.88</v>
      </c>
      <c r="C42">
        <v>1642.7</v>
      </c>
      <c r="D42">
        <v>1657.41</v>
      </c>
      <c r="E42">
        <v>1769.95</v>
      </c>
      <c r="F42">
        <v>1679.68</v>
      </c>
      <c r="G42">
        <v>1785.88</v>
      </c>
      <c r="H42">
        <v>1858.9</v>
      </c>
      <c r="I42">
        <v>1988.39</v>
      </c>
      <c r="J42">
        <v>1928.26</v>
      </c>
      <c r="K42">
        <v>2007.2</v>
      </c>
    </row>
    <row r="43" spans="1:11" s="6" customFormat="1" x14ac:dyDescent="0.3">
      <c r="A43" s="6" t="s">
        <v>7</v>
      </c>
      <c r="B43">
        <v>1283.44</v>
      </c>
      <c r="C43">
        <v>1371.83</v>
      </c>
      <c r="D43">
        <v>1385.57</v>
      </c>
      <c r="E43">
        <v>1439.78</v>
      </c>
      <c r="F43">
        <v>1395.71</v>
      </c>
      <c r="G43">
        <v>1404.84</v>
      </c>
      <c r="H43">
        <v>1516.38</v>
      </c>
      <c r="I43">
        <v>1553.56</v>
      </c>
      <c r="J43">
        <v>1553.14</v>
      </c>
      <c r="K43">
        <v>1571.73</v>
      </c>
    </row>
    <row r="44" spans="1:11" s="6" customFormat="1" x14ac:dyDescent="0.3">
      <c r="A44" s="6" t="s">
        <v>9</v>
      </c>
      <c r="B44">
        <v>25.78</v>
      </c>
      <c r="C44">
        <v>26.04</v>
      </c>
      <c r="D44">
        <v>9.6199999999999992</v>
      </c>
      <c r="E44">
        <v>18.47</v>
      </c>
      <c r="F44">
        <v>19.05</v>
      </c>
      <c r="G44">
        <v>17.260000000000002</v>
      </c>
      <c r="H44">
        <v>13.8</v>
      </c>
      <c r="I44">
        <v>-42.3</v>
      </c>
      <c r="J44">
        <v>46.75</v>
      </c>
      <c r="K44">
        <v>-29.13</v>
      </c>
    </row>
    <row r="45" spans="1:11" s="6" customFormat="1" x14ac:dyDescent="0.3">
      <c r="A45" s="6" t="s">
        <v>10</v>
      </c>
      <c r="B45">
        <v>82.75</v>
      </c>
      <c r="C45">
        <v>81.78</v>
      </c>
      <c r="D45">
        <v>79.239999999999995</v>
      </c>
      <c r="E45">
        <v>84.12</v>
      </c>
      <c r="F45">
        <v>86.91</v>
      </c>
      <c r="G45">
        <v>92.23</v>
      </c>
      <c r="H45">
        <v>91</v>
      </c>
      <c r="I45">
        <v>95.05</v>
      </c>
      <c r="J45">
        <v>97.33</v>
      </c>
      <c r="K45">
        <v>102.23</v>
      </c>
    </row>
    <row r="46" spans="1:11" s="6" customFormat="1" x14ac:dyDescent="0.3">
      <c r="A46" s="6" t="s">
        <v>11</v>
      </c>
      <c r="B46">
        <v>33.369999999999997</v>
      </c>
      <c r="C46">
        <v>31.72</v>
      </c>
      <c r="D46">
        <v>31.49</v>
      </c>
      <c r="E46">
        <v>31.81</v>
      </c>
      <c r="F46">
        <v>32.96</v>
      </c>
      <c r="G46">
        <v>34.69</v>
      </c>
      <c r="H46">
        <v>35.270000000000003</v>
      </c>
      <c r="I46">
        <v>36.43</v>
      </c>
      <c r="J46">
        <v>45.15</v>
      </c>
      <c r="K46">
        <v>67.56</v>
      </c>
    </row>
    <row r="47" spans="1:11" s="6" customFormat="1" x14ac:dyDescent="0.3">
      <c r="A47" s="6" t="s">
        <v>12</v>
      </c>
      <c r="B47">
        <v>186.1</v>
      </c>
      <c r="C47">
        <v>183.41</v>
      </c>
      <c r="D47">
        <v>170.73</v>
      </c>
      <c r="E47">
        <v>232.71</v>
      </c>
      <c r="F47">
        <v>183.15</v>
      </c>
      <c r="G47">
        <v>271.38</v>
      </c>
      <c r="H47">
        <v>230.05</v>
      </c>
      <c r="I47">
        <v>261.05</v>
      </c>
      <c r="J47">
        <v>279.39</v>
      </c>
      <c r="K47">
        <v>236.55</v>
      </c>
    </row>
    <row r="48" spans="1:11" s="6" customFormat="1" x14ac:dyDescent="0.3">
      <c r="A48" s="6" t="s">
        <v>13</v>
      </c>
      <c r="B48">
        <v>43.97</v>
      </c>
      <c r="C48">
        <v>45.11</v>
      </c>
      <c r="D48">
        <v>46.78</v>
      </c>
      <c r="E48">
        <v>48.81</v>
      </c>
      <c r="F48">
        <v>48.92</v>
      </c>
      <c r="G48">
        <v>68.239999999999995</v>
      </c>
      <c r="H48">
        <v>56.07</v>
      </c>
      <c r="I48">
        <v>67.97</v>
      </c>
      <c r="J48">
        <v>25.09</v>
      </c>
      <c r="K48">
        <v>48.53</v>
      </c>
    </row>
    <row r="49" spans="1:11" s="6" customFormat="1" x14ac:dyDescent="0.3">
      <c r="A49" s="6" t="s">
        <v>14</v>
      </c>
      <c r="B49">
        <v>129.56</v>
      </c>
      <c r="C49">
        <v>132.55000000000001</v>
      </c>
      <c r="D49">
        <v>111.76</v>
      </c>
      <c r="E49">
        <v>173.72</v>
      </c>
      <c r="F49">
        <v>134.66999999999999</v>
      </c>
      <c r="G49">
        <v>178.73</v>
      </c>
      <c r="H49">
        <v>165.96</v>
      </c>
      <c r="I49">
        <v>176.46</v>
      </c>
      <c r="J49">
        <v>247.9</v>
      </c>
      <c r="K49">
        <v>183.89</v>
      </c>
    </row>
    <row r="50" spans="1:11" x14ac:dyDescent="0.3">
      <c r="A50" s="6" t="s">
        <v>8</v>
      </c>
      <c r="B50">
        <v>276.44</v>
      </c>
      <c r="C50">
        <v>270.87</v>
      </c>
      <c r="D50">
        <v>271.83999999999997</v>
      </c>
      <c r="E50">
        <v>330.17</v>
      </c>
      <c r="F50">
        <v>283.97000000000003</v>
      </c>
      <c r="G50">
        <v>381.04</v>
      </c>
      <c r="H50">
        <v>342.52</v>
      </c>
      <c r="I50">
        <v>434.83</v>
      </c>
      <c r="J50">
        <v>375.12</v>
      </c>
      <c r="K50">
        <v>435.47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39</v>
      </c>
    </row>
    <row r="56" spans="1:11" s="18" customFormat="1" x14ac:dyDescent="0.3">
      <c r="A56" s="17" t="s">
        <v>37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463.13</v>
      </c>
      <c r="C57">
        <v>517.73</v>
      </c>
      <c r="D57">
        <v>518.66</v>
      </c>
      <c r="E57">
        <v>754.95</v>
      </c>
      <c r="F57">
        <v>754.96</v>
      </c>
      <c r="G57">
        <v>754.96</v>
      </c>
      <c r="H57">
        <v>754.96</v>
      </c>
      <c r="I57">
        <v>754.96</v>
      </c>
      <c r="J57">
        <v>754.96</v>
      </c>
      <c r="K57">
        <v>754.96</v>
      </c>
    </row>
    <row r="58" spans="1:11" x14ac:dyDescent="0.3">
      <c r="A58" s="6" t="s">
        <v>25</v>
      </c>
      <c r="B58">
        <v>3998.03</v>
      </c>
      <c r="C58">
        <v>4625.76</v>
      </c>
      <c r="D58">
        <v>3543.07</v>
      </c>
      <c r="E58">
        <v>5845.85</v>
      </c>
      <c r="F58">
        <v>5906.13</v>
      </c>
      <c r="G58">
        <v>5364.85</v>
      </c>
      <c r="H58">
        <v>5423.28</v>
      </c>
      <c r="I58">
        <v>6487.3</v>
      </c>
      <c r="J58">
        <v>6907.94</v>
      </c>
      <c r="K58">
        <v>8161.56</v>
      </c>
    </row>
    <row r="59" spans="1:11" x14ac:dyDescent="0.3">
      <c r="A59" s="6" t="s">
        <v>61</v>
      </c>
      <c r="B59">
        <v>1513.43</v>
      </c>
      <c r="C59">
        <v>2217.34</v>
      </c>
      <c r="D59">
        <v>1962.19</v>
      </c>
      <c r="E59">
        <v>2010.27</v>
      </c>
      <c r="F59">
        <v>1594.28</v>
      </c>
      <c r="G59">
        <v>1530.55</v>
      </c>
      <c r="H59">
        <v>1254.93</v>
      </c>
      <c r="I59">
        <v>925.73</v>
      </c>
      <c r="J59">
        <v>1155.01</v>
      </c>
      <c r="K59">
        <v>2475.1</v>
      </c>
    </row>
    <row r="60" spans="1:11" x14ac:dyDescent="0.3">
      <c r="A60" s="6" t="s">
        <v>62</v>
      </c>
      <c r="B60">
        <v>1257.27</v>
      </c>
      <c r="C60">
        <v>2227.27</v>
      </c>
      <c r="D60">
        <v>2454.65</v>
      </c>
      <c r="E60">
        <v>2874.87</v>
      </c>
      <c r="F60">
        <v>2780.84</v>
      </c>
      <c r="G60">
        <v>3215.6</v>
      </c>
      <c r="H60">
        <v>4082.47</v>
      </c>
      <c r="I60">
        <v>3921.35</v>
      </c>
      <c r="J60">
        <v>4153.46</v>
      </c>
      <c r="K60">
        <v>2299.91</v>
      </c>
    </row>
    <row r="61" spans="1:11" s="1" customFormat="1" x14ac:dyDescent="0.3">
      <c r="A61" s="1" t="s">
        <v>26</v>
      </c>
      <c r="B61">
        <v>7231.86</v>
      </c>
      <c r="C61">
        <v>9588.1</v>
      </c>
      <c r="D61">
        <v>8478.57</v>
      </c>
      <c r="E61">
        <v>11485.94</v>
      </c>
      <c r="F61">
        <v>11036.21</v>
      </c>
      <c r="G61">
        <v>10865.96</v>
      </c>
      <c r="H61">
        <v>11515.64</v>
      </c>
      <c r="I61">
        <v>12089.34</v>
      </c>
      <c r="J61">
        <v>12971.37</v>
      </c>
      <c r="K61">
        <v>13691.53</v>
      </c>
    </row>
    <row r="62" spans="1:11" x14ac:dyDescent="0.3">
      <c r="A62" s="6" t="s">
        <v>27</v>
      </c>
      <c r="B62">
        <v>3641.52</v>
      </c>
      <c r="C62">
        <v>5419.04</v>
      </c>
      <c r="D62">
        <v>4992.05</v>
      </c>
      <c r="E62">
        <v>8476.7199999999993</v>
      </c>
      <c r="F62">
        <v>8802.35</v>
      </c>
      <c r="G62">
        <v>8799.08</v>
      </c>
      <c r="H62">
        <v>9415.7000000000007</v>
      </c>
      <c r="I62">
        <v>9426.39</v>
      </c>
      <c r="J62">
        <v>9873.65</v>
      </c>
      <c r="K62">
        <v>10426.41</v>
      </c>
    </row>
    <row r="63" spans="1:11" x14ac:dyDescent="0.3">
      <c r="A63" s="6" t="s">
        <v>28</v>
      </c>
      <c r="B63">
        <v>225.77</v>
      </c>
      <c r="C63">
        <v>268.12</v>
      </c>
      <c r="D63">
        <v>226.08</v>
      </c>
      <c r="E63">
        <v>449.78</v>
      </c>
      <c r="F63">
        <v>203.75</v>
      </c>
      <c r="G63">
        <v>164.92</v>
      </c>
      <c r="H63">
        <v>193.48</v>
      </c>
      <c r="I63">
        <v>227.83</v>
      </c>
      <c r="J63">
        <v>541.97</v>
      </c>
      <c r="K63">
        <v>403.91</v>
      </c>
    </row>
    <row r="64" spans="1:11" x14ac:dyDescent="0.3">
      <c r="A64" s="6" t="s">
        <v>29</v>
      </c>
      <c r="B64">
        <v>1451.92</v>
      </c>
      <c r="C64">
        <v>1877.87</v>
      </c>
      <c r="D64">
        <v>1731.92</v>
      </c>
      <c r="E64">
        <v>269.58999999999997</v>
      </c>
      <c r="F64">
        <v>174.54</v>
      </c>
      <c r="G64">
        <v>186.03</v>
      </c>
      <c r="H64">
        <v>103.6</v>
      </c>
      <c r="I64">
        <v>210.3</v>
      </c>
      <c r="J64">
        <v>229.77</v>
      </c>
      <c r="K64">
        <v>169.1</v>
      </c>
    </row>
    <row r="65" spans="1:11" x14ac:dyDescent="0.3">
      <c r="A65" s="6" t="s">
        <v>63</v>
      </c>
      <c r="B65">
        <v>1912.65</v>
      </c>
      <c r="C65">
        <v>2023.07</v>
      </c>
      <c r="D65">
        <v>1528.52</v>
      </c>
      <c r="E65">
        <v>2289.85</v>
      </c>
      <c r="F65">
        <v>1855.57</v>
      </c>
      <c r="G65">
        <v>1715.93</v>
      </c>
      <c r="H65">
        <v>1802.86</v>
      </c>
      <c r="I65">
        <v>2224.8200000000002</v>
      </c>
      <c r="J65">
        <v>2325.98</v>
      </c>
      <c r="K65">
        <v>2692.11</v>
      </c>
    </row>
    <row r="66" spans="1:11" s="1" customFormat="1" x14ac:dyDescent="0.3">
      <c r="A66" s="1" t="s">
        <v>26</v>
      </c>
      <c r="B66">
        <v>7231.86</v>
      </c>
      <c r="C66">
        <v>9588.1</v>
      </c>
      <c r="D66">
        <v>8478.57</v>
      </c>
      <c r="E66">
        <v>11485.94</v>
      </c>
      <c r="F66">
        <v>11036.21</v>
      </c>
      <c r="G66">
        <v>10865.96</v>
      </c>
      <c r="H66">
        <v>11515.64</v>
      </c>
      <c r="I66">
        <v>12089.34</v>
      </c>
      <c r="J66">
        <v>12971.37</v>
      </c>
      <c r="K66">
        <v>13691.53</v>
      </c>
    </row>
    <row r="67" spans="1:11" s="6" customFormat="1" x14ac:dyDescent="0.3">
      <c r="A67" s="6" t="s">
        <v>68</v>
      </c>
      <c r="B67">
        <v>444.06</v>
      </c>
      <c r="C67">
        <v>472.94</v>
      </c>
      <c r="D67">
        <v>470.19</v>
      </c>
      <c r="E67">
        <v>542.41999999999996</v>
      </c>
      <c r="F67">
        <v>458.78</v>
      </c>
      <c r="G67">
        <v>457.76</v>
      </c>
      <c r="H67">
        <v>512.16999999999996</v>
      </c>
      <c r="I67">
        <v>581.61</v>
      </c>
      <c r="J67">
        <v>627.83000000000004</v>
      </c>
      <c r="K67">
        <v>784.49</v>
      </c>
    </row>
    <row r="68" spans="1:11" x14ac:dyDescent="0.3">
      <c r="A68" s="6" t="s">
        <v>44</v>
      </c>
      <c r="B68">
        <v>60.04</v>
      </c>
      <c r="C68">
        <v>61.57</v>
      </c>
      <c r="D68">
        <v>66.63</v>
      </c>
      <c r="E68">
        <v>56.53</v>
      </c>
      <c r="F68">
        <v>78.180000000000007</v>
      </c>
      <c r="G68">
        <v>76.760000000000005</v>
      </c>
      <c r="H68">
        <v>122.9</v>
      </c>
      <c r="I68">
        <v>122.84</v>
      </c>
      <c r="J68">
        <v>107.42</v>
      </c>
      <c r="K68">
        <v>115.3</v>
      </c>
    </row>
    <row r="69" spans="1:11" x14ac:dyDescent="0.3">
      <c r="A69" s="4" t="s">
        <v>77</v>
      </c>
      <c r="B69">
        <v>167.23</v>
      </c>
      <c r="C69">
        <v>546.5</v>
      </c>
      <c r="D69">
        <v>219.67</v>
      </c>
      <c r="E69">
        <v>855.85</v>
      </c>
      <c r="F69">
        <v>265.95</v>
      </c>
      <c r="G69">
        <v>416.58</v>
      </c>
      <c r="H69">
        <v>412.7</v>
      </c>
      <c r="I69">
        <v>362.73</v>
      </c>
      <c r="J69">
        <v>598.4</v>
      </c>
      <c r="K69">
        <v>507.99</v>
      </c>
    </row>
    <row r="70" spans="1:11" x14ac:dyDescent="0.3">
      <c r="A70" s="4" t="s">
        <v>64</v>
      </c>
      <c r="B70">
        <v>463129994</v>
      </c>
      <c r="C70">
        <v>517727631</v>
      </c>
      <c r="D70">
        <v>518657231</v>
      </c>
      <c r="E70">
        <v>754954948</v>
      </c>
      <c r="F70">
        <v>754958148</v>
      </c>
      <c r="G70">
        <v>754958148</v>
      </c>
      <c r="H70">
        <v>754958148</v>
      </c>
      <c r="I70">
        <v>754958148</v>
      </c>
      <c r="J70">
        <v>754958148</v>
      </c>
      <c r="K70"/>
    </row>
    <row r="71" spans="1:11" x14ac:dyDescent="0.3">
      <c r="A71" s="4" t="s">
        <v>65</v>
      </c>
    </row>
    <row r="72" spans="1:11" x14ac:dyDescent="0.3">
      <c r="A72" s="4" t="s">
        <v>78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40</v>
      </c>
    </row>
    <row r="81" spans="1:11" s="18" customFormat="1" x14ac:dyDescent="0.3">
      <c r="A81" s="17" t="s">
        <v>37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194.67</v>
      </c>
      <c r="C82">
        <v>966.45</v>
      </c>
      <c r="D82">
        <v>492.9</v>
      </c>
      <c r="E82">
        <v>-178.53</v>
      </c>
      <c r="F82">
        <v>171.54</v>
      </c>
      <c r="G82">
        <v>485.49</v>
      </c>
      <c r="H82">
        <v>865.39</v>
      </c>
      <c r="I82">
        <v>822.25</v>
      </c>
      <c r="J82">
        <v>1100.0999999999999</v>
      </c>
      <c r="K82">
        <v>1423.93</v>
      </c>
    </row>
    <row r="83" spans="1:11" s="6" customFormat="1" x14ac:dyDescent="0.3">
      <c r="A83" s="6" t="s">
        <v>33</v>
      </c>
      <c r="B83">
        <v>122.13</v>
      </c>
      <c r="C83">
        <v>-1001.28</v>
      </c>
      <c r="D83">
        <v>-333.44</v>
      </c>
      <c r="E83">
        <v>-3279.32</v>
      </c>
      <c r="F83">
        <v>63.48</v>
      </c>
      <c r="G83">
        <v>-130.55000000000001</v>
      </c>
      <c r="H83">
        <v>-500.61</v>
      </c>
      <c r="I83">
        <v>-372.48</v>
      </c>
      <c r="J83">
        <v>-889.12</v>
      </c>
      <c r="K83">
        <v>-779.38</v>
      </c>
    </row>
    <row r="84" spans="1:11" s="6" customFormat="1" x14ac:dyDescent="0.3">
      <c r="A84" s="6" t="s">
        <v>34</v>
      </c>
      <c r="B84">
        <v>-354.29</v>
      </c>
      <c r="C84">
        <v>259.37</v>
      </c>
      <c r="D84">
        <v>-672.05</v>
      </c>
      <c r="E84">
        <v>4256.6099999999997</v>
      </c>
      <c r="F84">
        <v>-861.61</v>
      </c>
      <c r="G84">
        <v>-142.93</v>
      </c>
      <c r="H84">
        <v>-517.30999999999995</v>
      </c>
      <c r="I84">
        <v>-471.22</v>
      </c>
      <c r="J84">
        <v>-86.46</v>
      </c>
      <c r="K84">
        <v>-713.84</v>
      </c>
    </row>
    <row r="85" spans="1:11" s="1" customFormat="1" x14ac:dyDescent="0.3">
      <c r="A85" s="6" t="s">
        <v>35</v>
      </c>
      <c r="B85">
        <v>-37.49</v>
      </c>
      <c r="C85">
        <v>224.54</v>
      </c>
      <c r="D85">
        <v>-512.6</v>
      </c>
      <c r="E85">
        <v>798.76</v>
      </c>
      <c r="F85">
        <v>-626.59</v>
      </c>
      <c r="G85">
        <v>212.01</v>
      </c>
      <c r="H85">
        <v>-152.52000000000001</v>
      </c>
      <c r="I85">
        <v>-21.46</v>
      </c>
      <c r="J85">
        <v>124.52</v>
      </c>
      <c r="K85">
        <v>-69.290000000000006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67</v>
      </c>
      <c r="B90">
        <v>175.5</v>
      </c>
      <c r="C90">
        <v>180.7</v>
      </c>
      <c r="D90">
        <v>123.35</v>
      </c>
      <c r="E90">
        <v>135.75</v>
      </c>
      <c r="F90">
        <v>126.15</v>
      </c>
      <c r="G90">
        <v>199.15</v>
      </c>
      <c r="H90">
        <v>290.39999999999998</v>
      </c>
      <c r="I90">
        <v>259.89999999999998</v>
      </c>
      <c r="J90">
        <v>420.2</v>
      </c>
      <c r="K90">
        <v>698.35</v>
      </c>
    </row>
    <row r="92" spans="1:11" s="1" customFormat="1" x14ac:dyDescent="0.3">
      <c r="A92" s="1" t="s">
        <v>66</v>
      </c>
    </row>
    <row r="93" spans="1:11" x14ac:dyDescent="0.3">
      <c r="A93" s="4" t="s">
        <v>79</v>
      </c>
      <c r="B93" s="20">
        <v>46.31</v>
      </c>
      <c r="C93" s="20">
        <v>51.77</v>
      </c>
      <c r="D93" s="20">
        <v>51.87</v>
      </c>
      <c r="E93" s="20">
        <v>75.5</v>
      </c>
      <c r="F93" s="20">
        <v>75.5</v>
      </c>
      <c r="G93" s="20">
        <v>75.5</v>
      </c>
      <c r="H93" s="20">
        <v>75.5</v>
      </c>
      <c r="I93" s="20">
        <v>75.5</v>
      </c>
      <c r="J93" s="20">
        <v>75.5</v>
      </c>
      <c r="K93" s="20">
        <v>75.5</v>
      </c>
    </row>
  </sheetData>
  <mergeCells count="1">
    <mergeCell ref="E1:K1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B951-3803-4298-A8AE-E83D42056137}">
  <sheetPr>
    <tabColor rgb="FF002060"/>
  </sheetPr>
  <dimension ref="A1"/>
  <sheetViews>
    <sheetView workbookViewId="0"/>
  </sheetViews>
  <sheetFormatPr defaultRowHeight="14.4" x14ac:dyDescent="0.3"/>
  <sheetData>
    <row r="1" spans="1:1" x14ac:dyDescent="0.3">
      <c r="A1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7F1-44DA-447A-89E4-B7C0F16C52EF}">
  <dimension ref="A2:N107"/>
  <sheetViews>
    <sheetView showGridLines="0" workbookViewId="0">
      <pane ySplit="3" topLeftCell="A4" activePane="bottomLeft" state="frozen"/>
      <selection pane="bottomLeft" activeCell="J123" sqref="J123"/>
    </sheetView>
  </sheetViews>
  <sheetFormatPr defaultRowHeight="14.4" x14ac:dyDescent="0.3"/>
  <cols>
    <col min="1" max="1" width="1.77734375" customWidth="1"/>
    <col min="2" max="2" width="19" customWidth="1"/>
    <col min="4" max="5" width="12.109375" bestFit="1" customWidth="1"/>
    <col min="6" max="13" width="11.88671875" bestFit="1" customWidth="1"/>
    <col min="14" max="14" width="11.6640625" customWidth="1"/>
  </cols>
  <sheetData>
    <row r="2" spans="1:14" x14ac:dyDescent="0.3">
      <c r="B2" s="50" t="str">
        <f>"Historical Financial Statement - "&amp;'Data Sheet'!B1</f>
        <v>Historical Financial Statement - FORTIS HEALTHCARE LTD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x14ac:dyDescent="0.3">
      <c r="B3" s="21" t="s">
        <v>81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82</v>
      </c>
    </row>
    <row r="4" spans="1:14" x14ac:dyDescent="0.3">
      <c r="A4" t="s">
        <v>84</v>
      </c>
      <c r="B4" s="51" t="s">
        <v>83</v>
      </c>
      <c r="C4" s="51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15" customHeight="1" x14ac:dyDescent="0.3">
      <c r="B5" t="s">
        <v>6</v>
      </c>
      <c r="D5" s="24">
        <f>IFERROR('Data Sheet'!B17,0)</f>
        <v>4198.8900000000003</v>
      </c>
      <c r="E5" s="24">
        <f>IFERROR('Data Sheet'!C17,0)</f>
        <v>4573.72</v>
      </c>
      <c r="F5" s="24">
        <f>IFERROR('Data Sheet'!D17,0)</f>
        <v>4560.8100000000004</v>
      </c>
      <c r="G5" s="24">
        <f>IFERROR('Data Sheet'!E17,0)</f>
        <v>4469.3500000000004</v>
      </c>
      <c r="H5" s="24">
        <f>IFERROR('Data Sheet'!F17,0)</f>
        <v>4632.32</v>
      </c>
      <c r="I5" s="24">
        <f>IFERROR('Data Sheet'!G17,0)</f>
        <v>4030.12</v>
      </c>
      <c r="J5" s="24">
        <f>IFERROR('Data Sheet'!H17,0)</f>
        <v>5717.62</v>
      </c>
      <c r="K5" s="24">
        <f>IFERROR('Data Sheet'!I17,0)</f>
        <v>6297.64</v>
      </c>
      <c r="L5" s="24">
        <f>IFERROR('Data Sheet'!J17,0)</f>
        <v>6892.91</v>
      </c>
      <c r="M5" s="24">
        <f>IFERROR('Data Sheet'!K17,0)</f>
        <v>7782.75</v>
      </c>
      <c r="N5" s="24">
        <f>IFERROR(SUM('Data Sheet'!H42:K42),0)</f>
        <v>7782.75</v>
      </c>
    </row>
    <row r="6" spans="1:14" x14ac:dyDescent="0.3">
      <c r="B6" s="25" t="s">
        <v>22</v>
      </c>
      <c r="C6" s="25"/>
      <c r="D6" s="25" t="s">
        <v>85</v>
      </c>
      <c r="E6" s="26">
        <f>E5/D5 - 1</f>
        <v>8.9268830571889168E-2</v>
      </c>
      <c r="F6" s="26">
        <f t="shared" ref="F6:N6" si="0">F5/E5 - 1</f>
        <v>-2.8226476478664386E-3</v>
      </c>
      <c r="G6" s="26">
        <f t="shared" si="0"/>
        <v>-2.0053455416910615E-2</v>
      </c>
      <c r="H6" s="26">
        <f t="shared" si="0"/>
        <v>3.6463915334444374E-2</v>
      </c>
      <c r="I6" s="26">
        <f t="shared" si="0"/>
        <v>-0.12999965460071838</v>
      </c>
      <c r="J6" s="26">
        <f t="shared" si="0"/>
        <v>0.41872202316556328</v>
      </c>
      <c r="K6" s="26">
        <f t="shared" si="0"/>
        <v>0.10144430724672171</v>
      </c>
      <c r="L6" s="26">
        <f t="shared" si="0"/>
        <v>9.4522710094575135E-2</v>
      </c>
      <c r="M6" s="26">
        <f t="shared" si="0"/>
        <v>0.12909496859816838</v>
      </c>
      <c r="N6" s="26">
        <f t="shared" si="0"/>
        <v>0</v>
      </c>
    </row>
    <row r="8" spans="1:14" x14ac:dyDescent="0.3">
      <c r="B8" t="s">
        <v>86</v>
      </c>
      <c r="D8" s="24">
        <f>IFERROR(SUM('Data Sheet'!B18,'Data Sheet'!B20:B22)-1*'Data Sheet'!B19,0)</f>
        <v>3491.2999999999997</v>
      </c>
      <c r="E8" s="24">
        <f>IFERROR(SUM('Data Sheet'!C18,'Data Sheet'!C20:C22)-1*'Data Sheet'!C19,0)</f>
        <v>3726.73</v>
      </c>
      <c r="F8" s="24">
        <f>IFERROR(SUM('Data Sheet'!D18,'Data Sheet'!D20:D22)-1*'Data Sheet'!D19,0)</f>
        <v>3587.96</v>
      </c>
      <c r="G8" s="24">
        <f>IFERROR(SUM('Data Sheet'!E18,'Data Sheet'!E20:E22)-1*'Data Sheet'!E19,0)</f>
        <v>3504.3500000000004</v>
      </c>
      <c r="H8" s="24">
        <f>IFERROR(SUM('Data Sheet'!F18,'Data Sheet'!F20:F22)-1*'Data Sheet'!F19,0)</f>
        <v>3409.02</v>
      </c>
      <c r="I8" s="24">
        <f>IFERROR(SUM('Data Sheet'!G18,'Data Sheet'!G20:G22)-1*'Data Sheet'!G19,0)</f>
        <v>3131.0300000000007</v>
      </c>
      <c r="J8" s="24">
        <f>IFERROR(SUM('Data Sheet'!H18,'Data Sheet'!H20:H22)-1*'Data Sheet'!H19,0)</f>
        <v>3986.89</v>
      </c>
      <c r="K8" s="24">
        <f>IFERROR(SUM('Data Sheet'!I18,'Data Sheet'!I20:I22)-1*'Data Sheet'!I19,0)</f>
        <v>4420.3</v>
      </c>
      <c r="L8" s="24">
        <f>IFERROR(SUM('Data Sheet'!J18,'Data Sheet'!J20:J22)-1*'Data Sheet'!J19,0)</f>
        <v>4828.7400000000007</v>
      </c>
      <c r="M8" s="24">
        <f>IFERROR(SUM('Data Sheet'!K18,'Data Sheet'!K20:K22)-1*'Data Sheet'!K19,0)</f>
        <v>2997.43</v>
      </c>
      <c r="N8" s="24">
        <f>IFERROR(SUM('Data Sheet'!H43:K43),0)</f>
        <v>6194.8099999999995</v>
      </c>
    </row>
    <row r="9" spans="1:14" x14ac:dyDescent="0.3">
      <c r="B9" s="25" t="s">
        <v>87</v>
      </c>
      <c r="C9" s="25"/>
      <c r="D9" s="26">
        <f>D8/D5</f>
        <v>0.83148165348461123</v>
      </c>
      <c r="E9" s="26">
        <f t="shared" ref="E9:N9" si="1">E8/E5</f>
        <v>0.8148137621017465</v>
      </c>
      <c r="F9" s="26">
        <f t="shared" si="1"/>
        <v>0.78669359170849029</v>
      </c>
      <c r="G9" s="26">
        <f t="shared" si="1"/>
        <v>0.78408493405081281</v>
      </c>
      <c r="H9" s="26">
        <f t="shared" si="1"/>
        <v>0.73592066178502358</v>
      </c>
      <c r="I9" s="26">
        <f t="shared" si="1"/>
        <v>0.77690738737308085</v>
      </c>
      <c r="J9" s="26">
        <f t="shared" si="1"/>
        <v>0.69729887610579222</v>
      </c>
      <c r="K9" s="26">
        <f t="shared" si="1"/>
        <v>0.701897853799201</v>
      </c>
      <c r="L9" s="26">
        <f t="shared" si="1"/>
        <v>0.70053721867832319</v>
      </c>
      <c r="M9" s="26">
        <f t="shared" si="1"/>
        <v>0.38513764414891904</v>
      </c>
      <c r="N9" s="26">
        <f t="shared" si="1"/>
        <v>0.79596672127461365</v>
      </c>
    </row>
    <row r="11" spans="1:14" x14ac:dyDescent="0.3">
      <c r="B11" s="53" t="s">
        <v>88</v>
      </c>
      <c r="C11" s="53"/>
      <c r="D11" s="54">
        <f t="shared" ref="D11:N11" si="2">D5-D8</f>
        <v>707.5900000000006</v>
      </c>
      <c r="E11" s="54">
        <f t="shared" si="2"/>
        <v>846.99000000000024</v>
      </c>
      <c r="F11" s="54">
        <f t="shared" si="2"/>
        <v>972.85000000000036</v>
      </c>
      <c r="G11" s="54">
        <f t="shared" si="2"/>
        <v>965</v>
      </c>
      <c r="H11" s="54">
        <f t="shared" si="2"/>
        <v>1223.2999999999997</v>
      </c>
      <c r="I11" s="54">
        <f t="shared" si="2"/>
        <v>899.08999999999924</v>
      </c>
      <c r="J11" s="54">
        <f t="shared" si="2"/>
        <v>1730.73</v>
      </c>
      <c r="K11" s="54">
        <f t="shared" si="2"/>
        <v>1877.3400000000001</v>
      </c>
      <c r="L11" s="54">
        <f t="shared" si="2"/>
        <v>2064.1699999999992</v>
      </c>
      <c r="M11" s="54">
        <f t="shared" si="2"/>
        <v>4785.32</v>
      </c>
      <c r="N11" s="54">
        <f t="shared" si="2"/>
        <v>1587.9400000000005</v>
      </c>
    </row>
    <row r="12" spans="1:14" x14ac:dyDescent="0.3">
      <c r="B12" s="28" t="s">
        <v>146</v>
      </c>
      <c r="C12" s="28"/>
      <c r="D12" s="28">
        <f>(D5-D8)/D5</f>
        <v>0.16851834651538872</v>
      </c>
      <c r="E12" s="28">
        <f t="shared" ref="E12:N12" si="3">(E5-E8)/E5</f>
        <v>0.18518623789825353</v>
      </c>
      <c r="F12" s="28">
        <f t="shared" si="3"/>
        <v>0.21330640829150968</v>
      </c>
      <c r="G12" s="28">
        <f t="shared" si="3"/>
        <v>0.21591506594918722</v>
      </c>
      <c r="H12" s="28">
        <f t="shared" si="3"/>
        <v>0.26407933821497648</v>
      </c>
      <c r="I12" s="28">
        <f t="shared" si="3"/>
        <v>0.22309261262691912</v>
      </c>
      <c r="J12" s="28">
        <f t="shared" si="3"/>
        <v>0.30270112389420772</v>
      </c>
      <c r="K12" s="28">
        <f t="shared" si="3"/>
        <v>0.29810214620079906</v>
      </c>
      <c r="L12" s="28">
        <f t="shared" si="3"/>
        <v>0.29946278132167681</v>
      </c>
      <c r="M12" s="28">
        <f t="shared" si="3"/>
        <v>0.61486235585108084</v>
      </c>
      <c r="N12" s="28">
        <f t="shared" si="3"/>
        <v>0.20403327872538635</v>
      </c>
    </row>
    <row r="14" spans="1:14" x14ac:dyDescent="0.3">
      <c r="B14" t="s">
        <v>89</v>
      </c>
      <c r="D14" s="27">
        <f>IFERROR(SUM('Data Sheet'!B23:B24),0)</f>
        <v>615.17999999999995</v>
      </c>
      <c r="E14" s="27">
        <f>IFERROR(SUM('Data Sheet'!C23:C24),0)</f>
        <v>492.93</v>
      </c>
      <c r="F14" s="27">
        <f>IFERROR(SUM('Data Sheet'!D23:D24),0)</f>
        <v>698.79</v>
      </c>
      <c r="G14" s="27">
        <f>IFERROR(SUM('Data Sheet'!E23:E24),0)</f>
        <v>733.58999999999992</v>
      </c>
      <c r="H14" s="27">
        <f>IFERROR(SUM('Data Sheet'!F23:F24),0)</f>
        <v>612.91000000000008</v>
      </c>
      <c r="I14" s="27">
        <f>IFERROR(SUM('Data Sheet'!G23:G24),0)</f>
        <v>494.64</v>
      </c>
      <c r="J14" s="27">
        <f>IFERROR(SUM('Data Sheet'!H23:H24),0)</f>
        <v>661.77</v>
      </c>
      <c r="K14" s="27">
        <f>IFERROR(SUM('Data Sheet'!I23:I24),0)</f>
        <v>776</v>
      </c>
      <c r="L14" s="27">
        <f>IFERROR(SUM('Data Sheet'!J23:J24),0)</f>
        <v>796.54</v>
      </c>
      <c r="M14" s="27">
        <f>IFERROR(SUM('Data Sheet'!K23:K24),0)</f>
        <v>3197.38</v>
      </c>
      <c r="N14" s="27">
        <f>IFERROR(SUM('Data Sheet'!L23:L24),0)</f>
        <v>0</v>
      </c>
    </row>
    <row r="15" spans="1:14" x14ac:dyDescent="0.3">
      <c r="B15" s="25" t="s">
        <v>90</v>
      </c>
      <c r="C15" s="25"/>
      <c r="D15" s="26">
        <f t="shared" ref="D15:N15" si="4">D14/D5</f>
        <v>0.1465101491108364</v>
      </c>
      <c r="E15" s="26">
        <f t="shared" si="4"/>
        <v>0.10777441557419343</v>
      </c>
      <c r="F15" s="26">
        <f t="shared" si="4"/>
        <v>0.15321620501621419</v>
      </c>
      <c r="G15" s="26">
        <f t="shared" si="4"/>
        <v>0.16413796189602511</v>
      </c>
      <c r="H15" s="26">
        <f t="shared" si="4"/>
        <v>0.13231167104172425</v>
      </c>
      <c r="I15" s="26">
        <f t="shared" si="4"/>
        <v>0.12273579943028992</v>
      </c>
      <c r="J15" s="26">
        <f t="shared" si="4"/>
        <v>0.11574221441788717</v>
      </c>
      <c r="K15" s="26">
        <f t="shared" si="4"/>
        <v>0.12322076206324908</v>
      </c>
      <c r="L15" s="26">
        <f t="shared" si="4"/>
        <v>0.11555932109950659</v>
      </c>
      <c r="M15" s="26">
        <f t="shared" si="4"/>
        <v>0.41082907712569466</v>
      </c>
      <c r="N15" s="26">
        <f t="shared" si="4"/>
        <v>0</v>
      </c>
    </row>
    <row r="17" spans="2:14" x14ac:dyDescent="0.3">
      <c r="B17" s="53" t="s">
        <v>91</v>
      </c>
      <c r="C17" s="53"/>
      <c r="D17" s="54">
        <f>D11-D14</f>
        <v>92.41000000000065</v>
      </c>
      <c r="E17" s="54">
        <f t="shared" ref="E17:N17" si="5">E11-E14</f>
        <v>354.06000000000023</v>
      </c>
      <c r="F17" s="54">
        <f t="shared" si="5"/>
        <v>274.0600000000004</v>
      </c>
      <c r="G17" s="54">
        <f t="shared" si="5"/>
        <v>231.41000000000008</v>
      </c>
      <c r="H17" s="54">
        <f t="shared" si="5"/>
        <v>610.38999999999965</v>
      </c>
      <c r="I17" s="54">
        <f t="shared" si="5"/>
        <v>404.44999999999925</v>
      </c>
      <c r="J17" s="54">
        <f t="shared" si="5"/>
        <v>1068.96</v>
      </c>
      <c r="K17" s="54">
        <f t="shared" si="5"/>
        <v>1101.3400000000001</v>
      </c>
      <c r="L17" s="54">
        <f t="shared" si="5"/>
        <v>1267.6299999999992</v>
      </c>
      <c r="M17" s="54">
        <f t="shared" si="5"/>
        <v>1587.9399999999996</v>
      </c>
      <c r="N17" s="54">
        <f t="shared" si="5"/>
        <v>1587.9400000000005</v>
      </c>
    </row>
    <row r="18" spans="2:14" x14ac:dyDescent="0.3">
      <c r="B18" s="28" t="s">
        <v>150</v>
      </c>
      <c r="C18" s="28"/>
      <c r="D18" s="28">
        <f>D17/D5</f>
        <v>2.2008197404552308E-2</v>
      </c>
      <c r="E18" s="28">
        <f t="shared" ref="E18:N18" si="6">E17/E5</f>
        <v>7.7411822324060117E-2</v>
      </c>
      <c r="F18" s="28">
        <f t="shared" si="6"/>
        <v>6.0090203275295483E-2</v>
      </c>
      <c r="G18" s="28">
        <f t="shared" si="6"/>
        <v>5.1777104053162104E-2</v>
      </c>
      <c r="H18" s="28">
        <f t="shared" si="6"/>
        <v>0.13176766717325222</v>
      </c>
      <c r="I18" s="28">
        <f t="shared" si="6"/>
        <v>0.1003568131966292</v>
      </c>
      <c r="J18" s="28">
        <f t="shared" si="6"/>
        <v>0.18695890947632057</v>
      </c>
      <c r="K18" s="28">
        <f t="shared" si="6"/>
        <v>0.17488138413754994</v>
      </c>
      <c r="L18" s="28">
        <f t="shared" si="6"/>
        <v>0.18390346022217022</v>
      </c>
      <c r="M18" s="28">
        <f t="shared" si="6"/>
        <v>0.20403327872538621</v>
      </c>
      <c r="N18" s="28">
        <f t="shared" si="6"/>
        <v>0.20403327872538635</v>
      </c>
    </row>
    <row r="19" spans="2:14" x14ac:dyDescent="0.3">
      <c r="B19" s="25" t="s">
        <v>92</v>
      </c>
      <c r="C19" s="25"/>
      <c r="D19" s="26">
        <f t="shared" ref="D19:N19" si="7">D17/D5</f>
        <v>2.2008197404552308E-2</v>
      </c>
      <c r="E19" s="26">
        <f t="shared" si="7"/>
        <v>7.7411822324060117E-2</v>
      </c>
      <c r="F19" s="26">
        <f t="shared" si="7"/>
        <v>6.0090203275295483E-2</v>
      </c>
      <c r="G19" s="26">
        <f t="shared" si="7"/>
        <v>5.1777104053162104E-2</v>
      </c>
      <c r="H19" s="26">
        <f t="shared" si="7"/>
        <v>0.13176766717325222</v>
      </c>
      <c r="I19" s="26">
        <f t="shared" si="7"/>
        <v>0.1003568131966292</v>
      </c>
      <c r="J19" s="26">
        <f t="shared" si="7"/>
        <v>0.18695890947632057</v>
      </c>
      <c r="K19" s="26">
        <f t="shared" si="7"/>
        <v>0.17488138413754994</v>
      </c>
      <c r="L19" s="26">
        <f t="shared" si="7"/>
        <v>0.18390346022217022</v>
      </c>
      <c r="M19" s="26">
        <f t="shared" si="7"/>
        <v>0.20403327872538621</v>
      </c>
      <c r="N19" s="26">
        <f t="shared" si="7"/>
        <v>0.20403327872538635</v>
      </c>
    </row>
    <row r="21" spans="2:14" x14ac:dyDescent="0.3">
      <c r="B21" t="s">
        <v>11</v>
      </c>
      <c r="D21" s="27">
        <f>IFERROR('Data Sheet'!B27,0)</f>
        <v>133.05000000000001</v>
      </c>
      <c r="E21" s="27">
        <f>IFERROR('Data Sheet'!C27,0)</f>
        <v>229.44</v>
      </c>
      <c r="F21" s="27">
        <f>IFERROR('Data Sheet'!D27,0)</f>
        <v>257.79000000000002</v>
      </c>
      <c r="G21" s="27">
        <f>IFERROR('Data Sheet'!E27,0)</f>
        <v>336.83</v>
      </c>
      <c r="H21" s="27">
        <f>IFERROR('Data Sheet'!F27,0)</f>
        <v>205.06</v>
      </c>
      <c r="I21" s="27">
        <f>IFERROR('Data Sheet'!G27,0)</f>
        <v>165.88</v>
      </c>
      <c r="J21" s="27">
        <f>IFERROR('Data Sheet'!H27,0)</f>
        <v>146.85</v>
      </c>
      <c r="K21" s="27">
        <f>IFERROR('Data Sheet'!I27,0)</f>
        <v>129.09</v>
      </c>
      <c r="L21" s="27">
        <f>IFERROR('Data Sheet'!J27,0)</f>
        <v>130.94999999999999</v>
      </c>
      <c r="M21" s="27">
        <f>IFERROR('Data Sheet'!K27,0)</f>
        <v>184.41</v>
      </c>
      <c r="N21" s="27">
        <f>IFERROR('Data Sheet'!L27,0)</f>
        <v>0</v>
      </c>
    </row>
    <row r="22" spans="2:14" x14ac:dyDescent="0.3">
      <c r="B22" s="25" t="s">
        <v>93</v>
      </c>
      <c r="C22" s="25"/>
      <c r="D22" s="28">
        <f t="shared" ref="D22:N22" si="8">D21/D5</f>
        <v>3.1686945835685147E-2</v>
      </c>
      <c r="E22" s="28">
        <f t="shared" si="8"/>
        <v>5.0164854866498167E-2</v>
      </c>
      <c r="F22" s="28">
        <f t="shared" si="8"/>
        <v>5.6522854492951913E-2</v>
      </c>
      <c r="G22" s="28">
        <f t="shared" si="8"/>
        <v>7.536442659447122E-2</v>
      </c>
      <c r="H22" s="28">
        <f t="shared" si="8"/>
        <v>4.4267235424150321E-2</v>
      </c>
      <c r="I22" s="28">
        <f t="shared" si="8"/>
        <v>4.1160064712713267E-2</v>
      </c>
      <c r="J22" s="28">
        <f t="shared" si="8"/>
        <v>2.5683763523983754E-2</v>
      </c>
      <c r="K22" s="28">
        <f t="shared" si="8"/>
        <v>2.0498154864361889E-2</v>
      </c>
      <c r="L22" s="28">
        <f t="shared" si="8"/>
        <v>1.8997781778668225E-2</v>
      </c>
      <c r="M22" s="28">
        <f t="shared" si="8"/>
        <v>2.3694709453599305E-2</v>
      </c>
      <c r="N22" s="28">
        <f t="shared" si="8"/>
        <v>0</v>
      </c>
    </row>
    <row r="24" spans="2:14" x14ac:dyDescent="0.3">
      <c r="B24" t="s">
        <v>10</v>
      </c>
      <c r="D24" s="27">
        <f>IFERROR('Data Sheet'!B26,0)</f>
        <v>225.1</v>
      </c>
      <c r="E24" s="27">
        <f>IFERROR('Data Sheet'!C26,0)</f>
        <v>222.18</v>
      </c>
      <c r="F24" s="27">
        <f>IFERROR('Data Sheet'!D26,0)</f>
        <v>238.96</v>
      </c>
      <c r="G24" s="27">
        <f>IFERROR('Data Sheet'!E26,0)</f>
        <v>232.92</v>
      </c>
      <c r="H24" s="27">
        <f>IFERROR('Data Sheet'!F26,0)</f>
        <v>291.73</v>
      </c>
      <c r="I24" s="27">
        <f>IFERROR('Data Sheet'!G26,0)</f>
        <v>290.60000000000002</v>
      </c>
      <c r="J24" s="27">
        <f>IFERROR('Data Sheet'!H26,0)</f>
        <v>300.83999999999997</v>
      </c>
      <c r="K24" s="27">
        <f>IFERROR('Data Sheet'!I26,0)</f>
        <v>315.74</v>
      </c>
      <c r="L24" s="27">
        <f>IFERROR('Data Sheet'!J26,0)</f>
        <v>342.5</v>
      </c>
      <c r="M24" s="27">
        <f>IFERROR('Data Sheet'!K26,0)</f>
        <v>385.61</v>
      </c>
      <c r="N24" s="27">
        <f>IFERROR(SUM('Data Sheet'!H45:K45),0)</f>
        <v>385.61</v>
      </c>
    </row>
    <row r="25" spans="2:14" x14ac:dyDescent="0.3">
      <c r="B25" s="25" t="s">
        <v>94</v>
      </c>
      <c r="D25" s="28">
        <f t="shared" ref="D25:N25" si="9">D24/D5</f>
        <v>5.3609406295473325E-2</v>
      </c>
      <c r="E25" s="28">
        <f t="shared" si="9"/>
        <v>4.8577525515335437E-2</v>
      </c>
      <c r="F25" s="28">
        <f t="shared" si="9"/>
        <v>5.2394201907117376E-2</v>
      </c>
      <c r="G25" s="28">
        <f t="shared" si="9"/>
        <v>5.2114960788481539E-2</v>
      </c>
      <c r="H25" s="28">
        <f t="shared" si="9"/>
        <v>6.2977082757667877E-2</v>
      </c>
      <c r="I25" s="28">
        <f t="shared" si="9"/>
        <v>7.210703403372605E-2</v>
      </c>
      <c r="J25" s="28">
        <f t="shared" si="9"/>
        <v>5.2616298389889495E-2</v>
      </c>
      <c r="K25" s="28">
        <f t="shared" si="9"/>
        <v>5.0136241512693643E-2</v>
      </c>
      <c r="L25" s="28">
        <f t="shared" si="9"/>
        <v>4.9688738138173864E-2</v>
      </c>
      <c r="M25" s="28">
        <f t="shared" si="9"/>
        <v>4.9546754039381968E-2</v>
      </c>
      <c r="N25" s="28">
        <f t="shared" si="9"/>
        <v>4.9546754039381968E-2</v>
      </c>
    </row>
    <row r="27" spans="2:14" x14ac:dyDescent="0.3">
      <c r="B27" s="53" t="s">
        <v>95</v>
      </c>
      <c r="C27" s="53"/>
      <c r="D27" s="55">
        <f>IFERROR(D17-SUM(D21,D24),0)</f>
        <v>-265.73999999999933</v>
      </c>
      <c r="E27" s="55">
        <f t="shared" ref="E27:N27" si="10">IFERROR(E17-SUM(E21,E24),0)</f>
        <v>-97.559999999999775</v>
      </c>
      <c r="F27" s="55">
        <f t="shared" si="10"/>
        <v>-222.6899999999996</v>
      </c>
      <c r="G27" s="55">
        <f t="shared" si="10"/>
        <v>-338.33999999999992</v>
      </c>
      <c r="H27" s="55">
        <f t="shared" si="10"/>
        <v>113.59999999999962</v>
      </c>
      <c r="I27" s="55">
        <f t="shared" si="10"/>
        <v>-52.030000000000769</v>
      </c>
      <c r="J27" s="55">
        <f t="shared" si="10"/>
        <v>621.2700000000001</v>
      </c>
      <c r="K27" s="55">
        <f t="shared" si="10"/>
        <v>656.5100000000001</v>
      </c>
      <c r="L27" s="55">
        <f t="shared" si="10"/>
        <v>794.17999999999915</v>
      </c>
      <c r="M27" s="55">
        <f t="shared" si="10"/>
        <v>1017.9199999999996</v>
      </c>
      <c r="N27" s="55">
        <f t="shared" si="10"/>
        <v>1202.3300000000004</v>
      </c>
    </row>
    <row r="28" spans="2:14" x14ac:dyDescent="0.3">
      <c r="B28" s="25" t="s">
        <v>96</v>
      </c>
      <c r="C28" s="25"/>
      <c r="D28" s="28">
        <f t="shared" ref="D28:N28" si="11">D27/D5</f>
        <v>-6.3288154726606149E-2</v>
      </c>
      <c r="E28" s="28">
        <f t="shared" si="11"/>
        <v>-2.133055805777349E-2</v>
      </c>
      <c r="F28" s="28">
        <f t="shared" si="11"/>
        <v>-4.8826853124773799E-2</v>
      </c>
      <c r="G28" s="28">
        <f t="shared" si="11"/>
        <v>-7.5702283329790662E-2</v>
      </c>
      <c r="H28" s="28">
        <f t="shared" si="11"/>
        <v>2.4523348991434019E-2</v>
      </c>
      <c r="I28" s="28">
        <f t="shared" si="11"/>
        <v>-1.2910285549810122E-2</v>
      </c>
      <c r="J28" s="28">
        <f t="shared" si="11"/>
        <v>0.10865884756244733</v>
      </c>
      <c r="K28" s="28">
        <f t="shared" si="11"/>
        <v>0.10424698776049442</v>
      </c>
      <c r="L28" s="28">
        <f t="shared" si="11"/>
        <v>0.11521694030532811</v>
      </c>
      <c r="M28" s="28">
        <f t="shared" si="11"/>
        <v>0.13079181523240496</v>
      </c>
      <c r="N28" s="28">
        <f t="shared" si="11"/>
        <v>0.15448652468600435</v>
      </c>
    </row>
    <row r="30" spans="2:14" x14ac:dyDescent="0.3">
      <c r="B30" t="s">
        <v>13</v>
      </c>
      <c r="D30" s="24">
        <f>IFERROR('Data Sheet'!B29,0)</f>
        <v>-8.01</v>
      </c>
      <c r="E30" s="24">
        <f>IFERROR('Data Sheet'!C29,0)</f>
        <v>72.400000000000006</v>
      </c>
      <c r="F30" s="24">
        <f>IFERROR('Data Sheet'!D29,0)</f>
        <v>22.65</v>
      </c>
      <c r="G30" s="24">
        <f>IFERROR('Data Sheet'!E29,0)</f>
        <v>113.61</v>
      </c>
      <c r="H30" s="24">
        <f>IFERROR('Data Sheet'!F29,0)</f>
        <v>147.87</v>
      </c>
      <c r="I30" s="24">
        <f>IFERROR('Data Sheet'!G29,0)</f>
        <v>99.46</v>
      </c>
      <c r="J30" s="24">
        <f>IFERROR('Data Sheet'!H29,0)</f>
        <v>197.84</v>
      </c>
      <c r="K30" s="24">
        <f>IFERROR('Data Sheet'!I29,0)</f>
        <v>180.7</v>
      </c>
      <c r="L30" s="24">
        <f>IFERROR('Data Sheet'!J29,0)</f>
        <v>212.74</v>
      </c>
      <c r="M30" s="24">
        <f>IFERROR('Data Sheet'!K29,0)</f>
        <v>197.66</v>
      </c>
      <c r="N30" s="24">
        <f>IFERROR(SUM('Data Sheet'!H48:K48),0)</f>
        <v>197.66</v>
      </c>
    </row>
    <row r="31" spans="2:14" x14ac:dyDescent="0.3">
      <c r="B31" s="25" t="s">
        <v>98</v>
      </c>
      <c r="C31" s="25"/>
      <c r="D31" s="26">
        <f>D30/D27</f>
        <v>3.014224429893889E-2</v>
      </c>
      <c r="E31" s="26">
        <f t="shared" ref="E31:N31" si="12">E30/E27</f>
        <v>-0.74210742107421246</v>
      </c>
      <c r="F31" s="26">
        <f t="shared" si="12"/>
        <v>-0.10171089855853446</v>
      </c>
      <c r="G31" s="26">
        <f t="shared" si="12"/>
        <v>-0.33578648696577418</v>
      </c>
      <c r="H31" s="26">
        <f t="shared" si="12"/>
        <v>1.3016725352112719</v>
      </c>
      <c r="I31" s="26">
        <f t="shared" si="12"/>
        <v>-1.9115894676148093</v>
      </c>
      <c r="J31" s="26">
        <f t="shared" si="12"/>
        <v>0.318444476636567</v>
      </c>
      <c r="K31" s="26">
        <f t="shared" si="12"/>
        <v>0.27524333216554198</v>
      </c>
      <c r="L31" s="26">
        <f t="shared" si="12"/>
        <v>0.26787378176232118</v>
      </c>
      <c r="M31" s="26">
        <f t="shared" si="12"/>
        <v>0.19418028921722735</v>
      </c>
      <c r="N31" s="26">
        <f t="shared" si="12"/>
        <v>0.16439746159540219</v>
      </c>
    </row>
    <row r="33" spans="1:14" x14ac:dyDescent="0.3">
      <c r="B33" s="53" t="s">
        <v>99</v>
      </c>
      <c r="C33" s="53"/>
      <c r="D33" s="55">
        <f>IFERROR(D27-D30,0)</f>
        <v>-257.72999999999934</v>
      </c>
      <c r="E33" s="55">
        <f t="shared" ref="E33:N33" si="13">IFERROR(E27-E30,0)</f>
        <v>-169.95999999999978</v>
      </c>
      <c r="F33" s="55">
        <f t="shared" si="13"/>
        <v>-245.33999999999961</v>
      </c>
      <c r="G33" s="55">
        <f t="shared" si="13"/>
        <v>-451.94999999999993</v>
      </c>
      <c r="H33" s="55">
        <f t="shared" si="13"/>
        <v>-34.27000000000038</v>
      </c>
      <c r="I33" s="55">
        <f t="shared" si="13"/>
        <v>-151.49000000000075</v>
      </c>
      <c r="J33" s="55">
        <f t="shared" si="13"/>
        <v>423.43000000000006</v>
      </c>
      <c r="K33" s="55">
        <f t="shared" si="13"/>
        <v>475.81000000000012</v>
      </c>
      <c r="L33" s="55">
        <f t="shared" si="13"/>
        <v>581.43999999999915</v>
      </c>
      <c r="M33" s="55">
        <f t="shared" si="13"/>
        <v>820.25999999999965</v>
      </c>
      <c r="N33" s="55">
        <f t="shared" si="13"/>
        <v>1004.6700000000004</v>
      </c>
    </row>
    <row r="34" spans="1:14" x14ac:dyDescent="0.3">
      <c r="B34" s="26" t="s">
        <v>100</v>
      </c>
      <c r="C34" s="26"/>
      <c r="D34" s="26">
        <f t="shared" ref="D34:N34" si="14">D33/D5</f>
        <v>-6.1380507705607747E-2</v>
      </c>
      <c r="E34" s="26">
        <f t="shared" si="14"/>
        <v>-3.7160123488101542E-2</v>
      </c>
      <c r="F34" s="26">
        <f t="shared" si="14"/>
        <v>-5.3793076229880124E-2</v>
      </c>
      <c r="G34" s="26">
        <f t="shared" si="14"/>
        <v>-0.10112208710438876</v>
      </c>
      <c r="H34" s="26">
        <f t="shared" si="14"/>
        <v>-7.3980208621166896E-3</v>
      </c>
      <c r="I34" s="26">
        <f t="shared" si="14"/>
        <v>-3.7589451430726818E-2</v>
      </c>
      <c r="J34" s="26">
        <f t="shared" si="14"/>
        <v>7.4057037718491273E-2</v>
      </c>
      <c r="K34" s="26">
        <f t="shared" si="14"/>
        <v>7.5553699481075459E-2</v>
      </c>
      <c r="L34" s="26">
        <f t="shared" si="14"/>
        <v>8.4353342782656257E-2</v>
      </c>
      <c r="M34" s="26">
        <f t="shared" si="14"/>
        <v>0.1053946227233304</v>
      </c>
      <c r="N34" s="26">
        <f t="shared" si="14"/>
        <v>0.12908933217692981</v>
      </c>
    </row>
    <row r="36" spans="1:14" x14ac:dyDescent="0.3">
      <c r="B36" s="24" t="s">
        <v>64</v>
      </c>
      <c r="C36" s="24"/>
      <c r="D36" s="24">
        <f>IFERROR('Data Sheet'!B93,0)</f>
        <v>46.31</v>
      </c>
      <c r="E36" s="24">
        <f>IFERROR('Data Sheet'!C93,0)</f>
        <v>51.77</v>
      </c>
      <c r="F36" s="24">
        <f>IFERROR('Data Sheet'!D93,0)</f>
        <v>51.87</v>
      </c>
      <c r="G36" s="24">
        <f>IFERROR('Data Sheet'!E93,0)</f>
        <v>75.5</v>
      </c>
      <c r="H36" s="24">
        <f>IFERROR('Data Sheet'!F93,0)</f>
        <v>75.5</v>
      </c>
      <c r="I36" s="24">
        <f>IFERROR('Data Sheet'!G93,0)</f>
        <v>75.5</v>
      </c>
      <c r="J36" s="24">
        <f>IFERROR('Data Sheet'!H93,0)</f>
        <v>75.5</v>
      </c>
      <c r="K36" s="24">
        <f>IFERROR('Data Sheet'!I93,0)</f>
        <v>75.5</v>
      </c>
      <c r="L36" s="24">
        <f>IFERROR('Data Sheet'!J93,0)</f>
        <v>75.5</v>
      </c>
      <c r="M36" s="24">
        <f>IFERROR('Data Sheet'!K93,0)</f>
        <v>75.5</v>
      </c>
    </row>
    <row r="38" spans="1:14" x14ac:dyDescent="0.3">
      <c r="B38" t="s">
        <v>101</v>
      </c>
      <c r="D38" s="24">
        <f>IFERROR(D33/D36,0)</f>
        <v>-5.5653206650831208</v>
      </c>
      <c r="E38" s="24">
        <f t="shared" ref="E38:M38" si="15">IFERROR(E33/E36,0)</f>
        <v>-3.2829824222522652</v>
      </c>
      <c r="F38" s="24">
        <f t="shared" si="15"/>
        <v>-4.7299016772700906</v>
      </c>
      <c r="G38" s="24">
        <f t="shared" si="15"/>
        <v>-5.9860927152317869</v>
      </c>
      <c r="H38" s="24">
        <f t="shared" si="15"/>
        <v>-0.45390728476821696</v>
      </c>
      <c r="I38" s="24">
        <f t="shared" si="15"/>
        <v>-2.0064900662251755</v>
      </c>
      <c r="J38" s="24">
        <f t="shared" si="15"/>
        <v>5.6083443708609284</v>
      </c>
      <c r="K38" s="24">
        <f t="shared" si="15"/>
        <v>6.3021192052980144</v>
      </c>
      <c r="L38" s="24">
        <f t="shared" si="15"/>
        <v>7.7011920529801214</v>
      </c>
      <c r="M38" s="24">
        <f t="shared" si="15"/>
        <v>10.864370860927147</v>
      </c>
    </row>
    <row r="39" spans="1:14" x14ac:dyDescent="0.3">
      <c r="B39" s="26" t="s">
        <v>103</v>
      </c>
      <c r="C39" s="26"/>
      <c r="D39" s="26"/>
      <c r="E39" s="26">
        <f>E38/D38-1</f>
        <v>-0.41010004277925427</v>
      </c>
      <c r="F39" s="26">
        <f t="shared" ref="F39:M39" si="16">F38/E38-1</f>
        <v>0.44073317152431701</v>
      </c>
      <c r="G39" s="26">
        <f t="shared" si="16"/>
        <v>0.26558502135433804</v>
      </c>
      <c r="H39" s="26">
        <f t="shared" si="16"/>
        <v>-0.92417302798982104</v>
      </c>
      <c r="I39" s="26">
        <f t="shared" si="16"/>
        <v>3.4204843886781173</v>
      </c>
      <c r="J39" s="26">
        <f t="shared" si="16"/>
        <v>-3.7951019869298173</v>
      </c>
      <c r="K39" s="26">
        <f t="shared" si="16"/>
        <v>0.12370403608624803</v>
      </c>
      <c r="L39" s="26">
        <f t="shared" si="16"/>
        <v>0.22200037830226149</v>
      </c>
      <c r="M39" s="26">
        <f t="shared" si="16"/>
        <v>0.41073885525591769</v>
      </c>
    </row>
    <row r="40" spans="1:14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4" x14ac:dyDescent="0.3">
      <c r="B41" t="s">
        <v>102</v>
      </c>
      <c r="D41" s="24">
        <f>IFERROR('Data Sheet'!B31/'Historical FS'!D36,0)</f>
        <v>0</v>
      </c>
      <c r="E41" s="24">
        <f>IFERROR('Data Sheet'!C31/'Historical FS'!E36,0)</f>
        <v>0</v>
      </c>
      <c r="F41" s="24">
        <f>IFERROR('Data Sheet'!D31/'Historical FS'!F36,0)</f>
        <v>0</v>
      </c>
      <c r="G41" s="24">
        <f>IFERROR('Data Sheet'!E31/'Historical FS'!G36,0)</f>
        <v>0</v>
      </c>
      <c r="H41" s="24">
        <f>IFERROR('Data Sheet'!F31/'Historical FS'!H36,0)</f>
        <v>0</v>
      </c>
      <c r="I41" s="24">
        <f>IFERROR('Data Sheet'!G31/'Historical FS'!I36,0)</f>
        <v>0</v>
      </c>
      <c r="J41" s="24">
        <f>IFERROR('Data Sheet'!H31/'Historical FS'!J36,0)</f>
        <v>0</v>
      </c>
      <c r="K41" s="24">
        <f>IFERROR('Data Sheet'!I31/'Historical FS'!K36,0)</f>
        <v>1</v>
      </c>
      <c r="L41" s="24">
        <f>IFERROR('Data Sheet'!J31/'Historical FS'!L36,0)</f>
        <v>1</v>
      </c>
      <c r="M41" s="24">
        <f>IFERROR('Data Sheet'!K31/'Historical FS'!M36,0)</f>
        <v>1</v>
      </c>
    </row>
    <row r="42" spans="1:14" x14ac:dyDescent="0.3">
      <c r="B42" s="26" t="s">
        <v>104</v>
      </c>
      <c r="C42" s="26"/>
      <c r="D42" s="26">
        <f>IFERROR(D41/D38,0)</f>
        <v>0</v>
      </c>
      <c r="E42" s="26">
        <f t="shared" ref="E42:M42" si="17">IFERROR(E41/E38,0)</f>
        <v>0</v>
      </c>
      <c r="F42" s="26">
        <f t="shared" si="17"/>
        <v>0</v>
      </c>
      <c r="G42" s="26">
        <f t="shared" si="17"/>
        <v>0</v>
      </c>
      <c r="H42" s="26">
        <f t="shared" si="17"/>
        <v>0</v>
      </c>
      <c r="I42" s="26">
        <f t="shared" si="17"/>
        <v>0</v>
      </c>
      <c r="J42" s="26">
        <f t="shared" si="17"/>
        <v>0</v>
      </c>
      <c r="K42" s="26">
        <f t="shared" si="17"/>
        <v>0.15867678274941677</v>
      </c>
      <c r="L42" s="26">
        <f t="shared" si="17"/>
        <v>0.12985002751788682</v>
      </c>
      <c r="M42" s="26">
        <f t="shared" si="17"/>
        <v>9.2043986053202687E-2</v>
      </c>
    </row>
    <row r="44" spans="1:14" x14ac:dyDescent="0.3">
      <c r="B44" s="30" t="s">
        <v>105</v>
      </c>
      <c r="D44" s="29">
        <f>IFERROR(IF(D41&lt;D38,1-D41/D38,0),0)</f>
        <v>0</v>
      </c>
      <c r="E44" s="29">
        <f t="shared" ref="E44:M44" si="18">IFERROR(IF(E41&lt;E38,1-E41/E38,0),0)</f>
        <v>0</v>
      </c>
      <c r="F44" s="29">
        <f t="shared" si="18"/>
        <v>0</v>
      </c>
      <c r="G44" s="29">
        <f t="shared" si="18"/>
        <v>0</v>
      </c>
      <c r="H44" s="29">
        <f t="shared" si="18"/>
        <v>0</v>
      </c>
      <c r="I44" s="29">
        <f t="shared" si="18"/>
        <v>0</v>
      </c>
      <c r="J44" s="29">
        <f t="shared" si="18"/>
        <v>1</v>
      </c>
      <c r="K44" s="29">
        <f t="shared" si="18"/>
        <v>0.84132321725058323</v>
      </c>
      <c r="L44" s="29">
        <f t="shared" si="18"/>
        <v>0.87014997248211312</v>
      </c>
      <c r="M44" s="29">
        <f t="shared" si="18"/>
        <v>0.90795601394679726</v>
      </c>
    </row>
    <row r="47" spans="1:14" x14ac:dyDescent="0.3">
      <c r="A47" t="s">
        <v>84</v>
      </c>
      <c r="B47" s="51" t="s">
        <v>106</v>
      </c>
      <c r="C47" s="51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</row>
    <row r="48" spans="1:14" x14ac:dyDescent="0.3">
      <c r="B48" s="6" t="s">
        <v>24</v>
      </c>
      <c r="D48" s="24">
        <f>IFERROR('Data Sheet'!B57,0)</f>
        <v>463.13</v>
      </c>
      <c r="E48" s="24">
        <f>IFERROR('Data Sheet'!C57,0)</f>
        <v>517.73</v>
      </c>
      <c r="F48" s="24">
        <f>IFERROR('Data Sheet'!D57,0)</f>
        <v>518.66</v>
      </c>
      <c r="G48" s="24">
        <f>IFERROR('Data Sheet'!E57,0)</f>
        <v>754.95</v>
      </c>
      <c r="H48" s="24">
        <f>IFERROR('Data Sheet'!F57,0)</f>
        <v>754.96</v>
      </c>
      <c r="I48" s="24">
        <f>IFERROR('Data Sheet'!G57,0)</f>
        <v>754.96</v>
      </c>
      <c r="J48" s="24">
        <f>IFERROR('Data Sheet'!H57,0)</f>
        <v>754.96</v>
      </c>
      <c r="K48" s="24">
        <f>IFERROR('Data Sheet'!I57,0)</f>
        <v>754.96</v>
      </c>
      <c r="L48" s="24">
        <f>IFERROR('Data Sheet'!J57,0)</f>
        <v>754.96</v>
      </c>
      <c r="M48" s="24">
        <f>IFERROR('Data Sheet'!K57,0)</f>
        <v>754.96</v>
      </c>
    </row>
    <row r="49" spans="1:13" x14ac:dyDescent="0.3">
      <c r="B49" s="6" t="s">
        <v>25</v>
      </c>
      <c r="D49" s="24">
        <f>IFERROR('Data Sheet'!B58,0)</f>
        <v>3998.03</v>
      </c>
      <c r="E49" s="24">
        <f>IFERROR('Data Sheet'!C58,0)</f>
        <v>4625.76</v>
      </c>
      <c r="F49" s="24">
        <f>IFERROR('Data Sheet'!D58,0)</f>
        <v>3543.07</v>
      </c>
      <c r="G49" s="24">
        <f>IFERROR('Data Sheet'!E58,0)</f>
        <v>5845.85</v>
      </c>
      <c r="H49" s="24">
        <f>IFERROR('Data Sheet'!F58,0)</f>
        <v>5906.13</v>
      </c>
      <c r="I49" s="24">
        <f>IFERROR('Data Sheet'!G58,0)</f>
        <v>5364.85</v>
      </c>
      <c r="J49" s="24">
        <f>IFERROR('Data Sheet'!H58,0)</f>
        <v>5423.28</v>
      </c>
      <c r="K49" s="24">
        <f>IFERROR('Data Sheet'!I58,0)</f>
        <v>6487.3</v>
      </c>
      <c r="L49" s="24">
        <f>IFERROR('Data Sheet'!J58,0)</f>
        <v>6907.94</v>
      </c>
      <c r="M49" s="24">
        <f>IFERROR('Data Sheet'!K58,0)</f>
        <v>8161.56</v>
      </c>
    </row>
    <row r="50" spans="1:13" x14ac:dyDescent="0.3">
      <c r="B50" s="6" t="s">
        <v>61</v>
      </c>
      <c r="D50" s="24">
        <f>IFERROR('Data Sheet'!B59,0)</f>
        <v>1513.43</v>
      </c>
      <c r="E50" s="24">
        <f>IFERROR('Data Sheet'!C59,0)</f>
        <v>2217.34</v>
      </c>
      <c r="F50" s="24">
        <f>IFERROR('Data Sheet'!D59,0)</f>
        <v>1962.19</v>
      </c>
      <c r="G50" s="24">
        <f>IFERROR('Data Sheet'!E59,0)</f>
        <v>2010.27</v>
      </c>
      <c r="H50" s="24">
        <f>IFERROR('Data Sheet'!F59,0)</f>
        <v>1594.28</v>
      </c>
      <c r="I50" s="24">
        <f>IFERROR('Data Sheet'!G59,0)</f>
        <v>1530.55</v>
      </c>
      <c r="J50" s="24">
        <f>IFERROR('Data Sheet'!H59,0)</f>
        <v>1254.93</v>
      </c>
      <c r="K50" s="24">
        <f>IFERROR('Data Sheet'!I59,0)</f>
        <v>925.73</v>
      </c>
      <c r="L50" s="24">
        <f>IFERROR('Data Sheet'!J59,0)</f>
        <v>1155.01</v>
      </c>
      <c r="M50" s="24">
        <f>IFERROR('Data Sheet'!K59,0)</f>
        <v>2475.1</v>
      </c>
    </row>
    <row r="51" spans="1:13" x14ac:dyDescent="0.3">
      <c r="B51" s="6" t="s">
        <v>62</v>
      </c>
      <c r="D51" s="24">
        <f>IFERROR('Data Sheet'!B60,0)</f>
        <v>1257.27</v>
      </c>
      <c r="E51" s="24">
        <f>IFERROR('Data Sheet'!C60,0)</f>
        <v>2227.27</v>
      </c>
      <c r="F51" s="24">
        <f>IFERROR('Data Sheet'!D60,0)</f>
        <v>2454.65</v>
      </c>
      <c r="G51" s="24">
        <f>IFERROR('Data Sheet'!E60,0)</f>
        <v>2874.87</v>
      </c>
      <c r="H51" s="24">
        <f>IFERROR('Data Sheet'!F60,0)</f>
        <v>2780.84</v>
      </c>
      <c r="I51" s="24">
        <f>IFERROR('Data Sheet'!G60,0)</f>
        <v>3215.6</v>
      </c>
      <c r="J51" s="24">
        <f>IFERROR('Data Sheet'!H60,0)</f>
        <v>4082.47</v>
      </c>
      <c r="K51" s="24">
        <f>IFERROR('Data Sheet'!I60,0)</f>
        <v>3921.35</v>
      </c>
      <c r="L51" s="24">
        <f>IFERROR('Data Sheet'!J60,0)</f>
        <v>4153.46</v>
      </c>
      <c r="M51" s="24">
        <f>IFERROR('Data Sheet'!K60,0)</f>
        <v>2299.91</v>
      </c>
    </row>
    <row r="52" spans="1:13" x14ac:dyDescent="0.3">
      <c r="A52" s="56"/>
      <c r="B52" s="57" t="s">
        <v>107</v>
      </c>
      <c r="C52" s="58"/>
      <c r="D52" s="55">
        <f>IFERROR('Data Sheet'!B61,0)</f>
        <v>7231.86</v>
      </c>
      <c r="E52" s="55">
        <f>IFERROR('Data Sheet'!C61,0)</f>
        <v>9588.1</v>
      </c>
      <c r="F52" s="55">
        <f>IFERROR('Data Sheet'!D61,0)</f>
        <v>8478.57</v>
      </c>
      <c r="G52" s="55">
        <f>IFERROR('Data Sheet'!E61,0)</f>
        <v>11485.94</v>
      </c>
      <c r="H52" s="55">
        <f>IFERROR('Data Sheet'!F61,0)</f>
        <v>11036.21</v>
      </c>
      <c r="I52" s="55">
        <f>IFERROR('Data Sheet'!G61,0)</f>
        <v>10865.96</v>
      </c>
      <c r="J52" s="55">
        <f>IFERROR('Data Sheet'!H61,0)</f>
        <v>11515.64</v>
      </c>
      <c r="K52" s="55">
        <f>IFERROR('Data Sheet'!I61,0)</f>
        <v>12089.34</v>
      </c>
      <c r="L52" s="55">
        <f>IFERROR('Data Sheet'!J61,0)</f>
        <v>12971.37</v>
      </c>
      <c r="M52" s="55">
        <f>IFERROR('Data Sheet'!K61,0)</f>
        <v>13691.53</v>
      </c>
    </row>
    <row r="53" spans="1:13" x14ac:dyDescent="0.3">
      <c r="B53" s="1"/>
    </row>
    <row r="54" spans="1:13" x14ac:dyDescent="0.3">
      <c r="B54" s="6" t="s">
        <v>109</v>
      </c>
      <c r="D54" s="24">
        <f>IFERROR('Data Sheet'!B62,0)</f>
        <v>3641.52</v>
      </c>
      <c r="E54" s="24">
        <f>IFERROR('Data Sheet'!C62,0)</f>
        <v>5419.04</v>
      </c>
      <c r="F54" s="24">
        <f>IFERROR('Data Sheet'!D62,0)</f>
        <v>4992.05</v>
      </c>
      <c r="G54" s="24">
        <f>IFERROR('Data Sheet'!E62,0)</f>
        <v>8476.7199999999993</v>
      </c>
      <c r="H54" s="24">
        <f>IFERROR('Data Sheet'!F62,0)</f>
        <v>8802.35</v>
      </c>
      <c r="I54" s="24">
        <f>IFERROR('Data Sheet'!G62,0)</f>
        <v>8799.08</v>
      </c>
      <c r="J54" s="24">
        <f>IFERROR('Data Sheet'!H62,0)</f>
        <v>9415.7000000000007</v>
      </c>
      <c r="K54" s="24">
        <f>IFERROR('Data Sheet'!I62,0)</f>
        <v>9426.39</v>
      </c>
      <c r="L54" s="24">
        <f>IFERROR('Data Sheet'!J62,0)</f>
        <v>9873.65</v>
      </c>
      <c r="M54" s="24">
        <f>IFERROR('Data Sheet'!K62,0)</f>
        <v>10426.41</v>
      </c>
    </row>
    <row r="55" spans="1:13" x14ac:dyDescent="0.3">
      <c r="B55" s="6" t="s">
        <v>28</v>
      </c>
      <c r="D55" s="24">
        <f>IFERROR('Data Sheet'!B63,0)</f>
        <v>225.77</v>
      </c>
      <c r="E55" s="24">
        <f>IFERROR('Data Sheet'!C63,0)</f>
        <v>268.12</v>
      </c>
      <c r="F55" s="24">
        <f>IFERROR('Data Sheet'!D63,0)</f>
        <v>226.08</v>
      </c>
      <c r="G55" s="24">
        <f>IFERROR('Data Sheet'!E63,0)</f>
        <v>449.78</v>
      </c>
      <c r="H55" s="24">
        <f>IFERROR('Data Sheet'!F63,0)</f>
        <v>203.75</v>
      </c>
      <c r="I55" s="24">
        <f>IFERROR('Data Sheet'!G63,0)</f>
        <v>164.92</v>
      </c>
      <c r="J55" s="24">
        <f>IFERROR('Data Sheet'!H63,0)</f>
        <v>193.48</v>
      </c>
      <c r="K55" s="24">
        <f>IFERROR('Data Sheet'!I63,0)</f>
        <v>227.83</v>
      </c>
      <c r="L55" s="24">
        <f>IFERROR('Data Sheet'!J63,0)</f>
        <v>541.97</v>
      </c>
      <c r="M55" s="24">
        <f>IFERROR('Data Sheet'!K63,0)</f>
        <v>403.91</v>
      </c>
    </row>
    <row r="56" spans="1:13" x14ac:dyDescent="0.3">
      <c r="B56" s="6" t="s">
        <v>29</v>
      </c>
      <c r="D56" s="24">
        <f>IFERROR('Data Sheet'!B64,0)</f>
        <v>1451.92</v>
      </c>
      <c r="E56" s="24">
        <f>IFERROR('Data Sheet'!C64,0)</f>
        <v>1877.87</v>
      </c>
      <c r="F56" s="24">
        <f>IFERROR('Data Sheet'!D64,0)</f>
        <v>1731.92</v>
      </c>
      <c r="G56" s="24">
        <f>IFERROR('Data Sheet'!E64,0)</f>
        <v>269.58999999999997</v>
      </c>
      <c r="H56" s="24">
        <f>IFERROR('Data Sheet'!F64,0)</f>
        <v>174.54</v>
      </c>
      <c r="I56" s="24">
        <f>IFERROR('Data Sheet'!G64,0)</f>
        <v>186.03</v>
      </c>
      <c r="J56" s="24">
        <f>IFERROR('Data Sheet'!H64,0)</f>
        <v>103.6</v>
      </c>
      <c r="K56" s="24">
        <f>IFERROR('Data Sheet'!I64,0)</f>
        <v>210.3</v>
      </c>
      <c r="L56" s="24">
        <f>IFERROR('Data Sheet'!J64,0)</f>
        <v>229.77</v>
      </c>
      <c r="M56" s="24">
        <f>IFERROR('Data Sheet'!K64,0)</f>
        <v>169.1</v>
      </c>
    </row>
    <row r="57" spans="1:13" x14ac:dyDescent="0.3">
      <c r="B57" s="6" t="s">
        <v>63</v>
      </c>
      <c r="D57" s="24">
        <f>IFERROR('Data Sheet'!B65-SUM('Data Sheet'!B67:B69),0)</f>
        <v>1241.3200000000002</v>
      </c>
      <c r="E57" s="24">
        <f>IFERROR('Data Sheet'!C65-SUM('Data Sheet'!C67:C69),0)</f>
        <v>942.06</v>
      </c>
      <c r="F57" s="24">
        <f>IFERROR('Data Sheet'!D65-SUM('Data Sheet'!D67:D69),0)</f>
        <v>772.03000000000009</v>
      </c>
      <c r="G57" s="24">
        <f>IFERROR('Data Sheet'!E65-SUM('Data Sheet'!E67:E69),0)</f>
        <v>835.05</v>
      </c>
      <c r="H57" s="24">
        <f>IFERROR('Data Sheet'!F65-SUM('Data Sheet'!F67:F69),0)</f>
        <v>1052.6599999999999</v>
      </c>
      <c r="I57" s="24">
        <f>IFERROR('Data Sheet'!G65-SUM('Data Sheet'!G67:G69),0)</f>
        <v>764.83000000000015</v>
      </c>
      <c r="J57" s="24">
        <f>IFERROR('Data Sheet'!H65-SUM('Data Sheet'!H67:H69),0)</f>
        <v>755.08999999999992</v>
      </c>
      <c r="K57" s="24">
        <f>IFERROR('Data Sheet'!I65-SUM('Data Sheet'!I67:I69),0)</f>
        <v>1157.6400000000001</v>
      </c>
      <c r="L57" s="24">
        <f>IFERROR('Data Sheet'!J65-SUM('Data Sheet'!J67:J69),0)</f>
        <v>992.32999999999993</v>
      </c>
      <c r="M57" s="24">
        <f>IFERROR('Data Sheet'!K65-SUM('Data Sheet'!K67:K69),0)</f>
        <v>1284.3300000000002</v>
      </c>
    </row>
    <row r="58" spans="1:13" x14ac:dyDescent="0.3">
      <c r="B58" s="57" t="s">
        <v>110</v>
      </c>
      <c r="C58" s="58"/>
      <c r="D58" s="55">
        <f>IFERROR(SUM(D54:D57),0)</f>
        <v>6560.5300000000007</v>
      </c>
      <c r="E58" s="55">
        <f t="shared" ref="E58:M58" si="19">IFERROR(SUM(E54:E57),0)</f>
        <v>8507.09</v>
      </c>
      <c r="F58" s="55">
        <f t="shared" si="19"/>
        <v>7722.08</v>
      </c>
      <c r="G58" s="55">
        <f t="shared" si="19"/>
        <v>10031.14</v>
      </c>
      <c r="H58" s="55">
        <f t="shared" si="19"/>
        <v>10233.300000000001</v>
      </c>
      <c r="I58" s="55">
        <f t="shared" si="19"/>
        <v>9914.86</v>
      </c>
      <c r="J58" s="55">
        <f t="shared" si="19"/>
        <v>10467.870000000001</v>
      </c>
      <c r="K58" s="55">
        <f t="shared" si="19"/>
        <v>11022.159999999998</v>
      </c>
      <c r="L58" s="55">
        <f t="shared" si="19"/>
        <v>11637.72</v>
      </c>
      <c r="M58" s="55">
        <f t="shared" si="19"/>
        <v>12283.75</v>
      </c>
    </row>
    <row r="59" spans="1:13" x14ac:dyDescent="0.3">
      <c r="B59" s="1"/>
    </row>
    <row r="60" spans="1:13" x14ac:dyDescent="0.3">
      <c r="B60" s="6" t="s">
        <v>68</v>
      </c>
      <c r="D60" s="24">
        <f>IFERROR('Data Sheet'!B67,0)</f>
        <v>444.06</v>
      </c>
      <c r="E60" s="24">
        <f>IFERROR('Data Sheet'!C67,0)</f>
        <v>472.94</v>
      </c>
      <c r="F60" s="24">
        <f>IFERROR('Data Sheet'!D67,0)</f>
        <v>470.19</v>
      </c>
      <c r="G60" s="24">
        <f>IFERROR('Data Sheet'!E67,0)</f>
        <v>542.41999999999996</v>
      </c>
      <c r="H60" s="24">
        <f>IFERROR('Data Sheet'!F67,0)</f>
        <v>458.78</v>
      </c>
      <c r="I60" s="24">
        <f>IFERROR('Data Sheet'!G67,0)</f>
        <v>457.76</v>
      </c>
      <c r="J60" s="24">
        <f>IFERROR('Data Sheet'!H67,0)</f>
        <v>512.16999999999996</v>
      </c>
      <c r="K60" s="24">
        <f>IFERROR('Data Sheet'!I67,0)</f>
        <v>581.61</v>
      </c>
      <c r="L60" s="24">
        <f>IFERROR('Data Sheet'!J67,0)</f>
        <v>627.83000000000004</v>
      </c>
      <c r="M60" s="24">
        <f>IFERROR('Data Sheet'!K67,0)</f>
        <v>784.49</v>
      </c>
    </row>
    <row r="61" spans="1:13" x14ac:dyDescent="0.3">
      <c r="B61" s="6" t="s">
        <v>44</v>
      </c>
      <c r="D61" s="24">
        <f>IFERROR('Data Sheet'!B68,0)</f>
        <v>60.04</v>
      </c>
      <c r="E61" s="24">
        <f>IFERROR('Data Sheet'!C68,0)</f>
        <v>61.57</v>
      </c>
      <c r="F61" s="24">
        <f>IFERROR('Data Sheet'!D68,0)</f>
        <v>66.63</v>
      </c>
      <c r="G61" s="24">
        <f>IFERROR('Data Sheet'!E68,0)</f>
        <v>56.53</v>
      </c>
      <c r="H61" s="24">
        <f>IFERROR('Data Sheet'!F68,0)</f>
        <v>78.180000000000007</v>
      </c>
      <c r="I61" s="24">
        <f>IFERROR('Data Sheet'!G68,0)</f>
        <v>76.760000000000005</v>
      </c>
      <c r="J61" s="24">
        <f>IFERROR('Data Sheet'!H68,0)</f>
        <v>122.9</v>
      </c>
      <c r="K61" s="24">
        <f>IFERROR('Data Sheet'!I68,0)</f>
        <v>122.84</v>
      </c>
      <c r="L61" s="24">
        <f>IFERROR('Data Sheet'!J68,0)</f>
        <v>107.42</v>
      </c>
      <c r="M61" s="24">
        <f>IFERROR('Data Sheet'!K68,0)</f>
        <v>115.3</v>
      </c>
    </row>
    <row r="62" spans="1:13" x14ac:dyDescent="0.3">
      <c r="B62" s="4" t="s">
        <v>77</v>
      </c>
      <c r="D62" s="24">
        <f>IFERROR('Data Sheet'!B69,0)</f>
        <v>167.23</v>
      </c>
      <c r="E62" s="24">
        <f>IFERROR('Data Sheet'!C69,0)</f>
        <v>546.5</v>
      </c>
      <c r="F62" s="24">
        <f>IFERROR('Data Sheet'!D69,0)</f>
        <v>219.67</v>
      </c>
      <c r="G62" s="24">
        <f>IFERROR('Data Sheet'!E69,0)</f>
        <v>855.85</v>
      </c>
      <c r="H62" s="24">
        <f>IFERROR('Data Sheet'!F69,0)</f>
        <v>265.95</v>
      </c>
      <c r="I62" s="24">
        <f>IFERROR('Data Sheet'!G69,0)</f>
        <v>416.58</v>
      </c>
      <c r="J62" s="24">
        <f>IFERROR('Data Sheet'!H69,0)</f>
        <v>412.7</v>
      </c>
      <c r="K62" s="24">
        <f>IFERROR('Data Sheet'!I69,0)</f>
        <v>362.73</v>
      </c>
      <c r="L62" s="24">
        <f>IFERROR('Data Sheet'!J69,0)</f>
        <v>598.4</v>
      </c>
      <c r="M62" s="24">
        <f>IFERROR('Data Sheet'!K69,0)</f>
        <v>507.99</v>
      </c>
    </row>
    <row r="63" spans="1:13" x14ac:dyDescent="0.3">
      <c r="B63" s="57" t="s">
        <v>111</v>
      </c>
      <c r="C63" s="58"/>
      <c r="D63" s="55">
        <f>IFERROR(SUM(D60:D62),0)</f>
        <v>671.33</v>
      </c>
      <c r="E63" s="55">
        <f t="shared" ref="E63:M63" si="20">IFERROR(SUM(E60:E62),0)</f>
        <v>1081.01</v>
      </c>
      <c r="F63" s="55">
        <f t="shared" si="20"/>
        <v>756.4899999999999</v>
      </c>
      <c r="G63" s="55">
        <f t="shared" si="20"/>
        <v>1454.8</v>
      </c>
      <c r="H63" s="55">
        <f t="shared" si="20"/>
        <v>802.91000000000008</v>
      </c>
      <c r="I63" s="55">
        <f t="shared" si="20"/>
        <v>951.09999999999991</v>
      </c>
      <c r="J63" s="55">
        <f t="shared" si="20"/>
        <v>1047.77</v>
      </c>
      <c r="K63" s="55">
        <f t="shared" si="20"/>
        <v>1067.18</v>
      </c>
      <c r="L63" s="55">
        <f t="shared" si="20"/>
        <v>1333.65</v>
      </c>
      <c r="M63" s="55">
        <f t="shared" si="20"/>
        <v>1407.78</v>
      </c>
    </row>
    <row r="65" spans="1:14" x14ac:dyDescent="0.3">
      <c r="B65" s="57" t="s">
        <v>108</v>
      </c>
      <c r="C65" s="58"/>
      <c r="D65" s="55">
        <f>IFERROR(SUM(D63,D58),0)</f>
        <v>7231.8600000000006</v>
      </c>
      <c r="E65" s="55">
        <f t="shared" ref="E65:M65" si="21">IFERROR(SUM(E63,E58),0)</f>
        <v>9588.1</v>
      </c>
      <c r="F65" s="55">
        <f t="shared" si="21"/>
        <v>8478.57</v>
      </c>
      <c r="G65" s="55">
        <f t="shared" si="21"/>
        <v>11485.939999999999</v>
      </c>
      <c r="H65" s="55">
        <f t="shared" si="21"/>
        <v>11036.210000000001</v>
      </c>
      <c r="I65" s="55">
        <f t="shared" si="21"/>
        <v>10865.960000000001</v>
      </c>
      <c r="J65" s="55">
        <f t="shared" si="21"/>
        <v>11515.640000000001</v>
      </c>
      <c r="K65" s="55">
        <f t="shared" si="21"/>
        <v>12089.339999999998</v>
      </c>
      <c r="L65" s="55">
        <f t="shared" si="21"/>
        <v>12971.369999999999</v>
      </c>
      <c r="M65" s="55">
        <f t="shared" si="21"/>
        <v>13691.53</v>
      </c>
    </row>
    <row r="67" spans="1:14" x14ac:dyDescent="0.3">
      <c r="B67" s="31" t="s">
        <v>112</v>
      </c>
      <c r="D67" t="b">
        <f>D65=D52</f>
        <v>1</v>
      </c>
      <c r="E67" t="b">
        <f t="shared" ref="E67:M67" si="22">E65=E52</f>
        <v>1</v>
      </c>
      <c r="F67" t="b">
        <f t="shared" si="22"/>
        <v>1</v>
      </c>
      <c r="G67" t="b">
        <f t="shared" si="22"/>
        <v>1</v>
      </c>
      <c r="H67" t="b">
        <f t="shared" si="22"/>
        <v>1</v>
      </c>
      <c r="I67" t="b">
        <f t="shared" si="22"/>
        <v>1</v>
      </c>
      <c r="J67" t="b">
        <f t="shared" si="22"/>
        <v>1</v>
      </c>
      <c r="K67" t="b">
        <f t="shared" si="22"/>
        <v>1</v>
      </c>
      <c r="L67" t="b">
        <f t="shared" si="22"/>
        <v>1</v>
      </c>
      <c r="M67" t="b">
        <f t="shared" si="22"/>
        <v>1</v>
      </c>
    </row>
    <row r="70" spans="1:14" x14ac:dyDescent="0.3">
      <c r="A70" t="s">
        <v>84</v>
      </c>
      <c r="B70" s="51" t="s">
        <v>140</v>
      </c>
      <c r="C70" s="51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</row>
    <row r="71" spans="1:14" x14ac:dyDescent="0.3">
      <c r="B71" s="2" t="s">
        <v>141</v>
      </c>
    </row>
    <row r="72" spans="1:14" x14ac:dyDescent="0.3">
      <c r="B72" t="s">
        <v>113</v>
      </c>
      <c r="D72" s="24">
        <f>IFERROR('Cash Flow Data'!E4,0)</f>
        <v>43397</v>
      </c>
      <c r="E72" s="24">
        <f>IFERROR('Cash Flow Data'!F4,0)</f>
        <v>38626</v>
      </c>
      <c r="F72" s="24">
        <f>IFERROR('Cash Flow Data'!G4,0)</f>
        <v>28840</v>
      </c>
      <c r="G72" s="24">
        <f>IFERROR('Cash Flow Data'!H4,0)</f>
        <v>33312</v>
      </c>
      <c r="H72" s="24">
        <f>IFERROR('Cash Flow Data'!I4,0)</f>
        <v>28771</v>
      </c>
      <c r="I72" s="24">
        <f>IFERROR('Cash Flow Data'!J4,0)</f>
        <v>23352</v>
      </c>
      <c r="J72" s="24">
        <f>IFERROR('Cash Flow Data'!K4,0)</f>
        <v>31198</v>
      </c>
      <c r="K72" s="24">
        <f>IFERROR('Cash Flow Data'!L4,0)</f>
        <v>26943</v>
      </c>
      <c r="L72" s="24">
        <f>IFERROR('Cash Flow Data'!M4,0)</f>
        <v>41694</v>
      </c>
      <c r="M72" s="24">
        <f>IFERROR('Cash Flow Data'!N4,0)</f>
        <v>65106</v>
      </c>
    </row>
    <row r="73" spans="1:14" x14ac:dyDescent="0.3">
      <c r="B73" t="s">
        <v>68</v>
      </c>
      <c r="D73" s="24">
        <f>IFERROR('Cash Flow Data'!E5,0)</f>
        <v>-3179</v>
      </c>
      <c r="E73" s="24">
        <f>IFERROR('Cash Flow Data'!F5,0)</f>
        <v>-2223</v>
      </c>
      <c r="F73" s="24">
        <f>IFERROR('Cash Flow Data'!G5,0)</f>
        <v>-4152</v>
      </c>
      <c r="G73" s="24">
        <f>IFERROR('Cash Flow Data'!H5,0)</f>
        <v>-10688</v>
      </c>
      <c r="H73" s="24">
        <f>IFERROR('Cash Flow Data'!I5,0)</f>
        <v>-9109</v>
      </c>
      <c r="I73" s="24">
        <f>IFERROR('Cash Flow Data'!J5,0)</f>
        <v>9950</v>
      </c>
      <c r="J73" s="24">
        <f>IFERROR('Cash Flow Data'!K5,0)</f>
        <v>-5505</v>
      </c>
      <c r="K73" s="24">
        <f>IFERROR('Cash Flow Data'!L5,0)</f>
        <v>185</v>
      </c>
      <c r="L73" s="24">
        <f>IFERROR('Cash Flow Data'!M5,0)</f>
        <v>-2213</v>
      </c>
      <c r="M73" s="24">
        <f>IFERROR('Cash Flow Data'!N5,0)</f>
        <v>-1875</v>
      </c>
    </row>
    <row r="74" spans="1:14" x14ac:dyDescent="0.3">
      <c r="B74" t="s">
        <v>44</v>
      </c>
      <c r="D74" s="24">
        <f>IFERROR('Cash Flow Data'!E6,0)</f>
        <v>-3692</v>
      </c>
      <c r="E74" s="24">
        <f>IFERROR('Cash Flow Data'!F6,0)</f>
        <v>-5743</v>
      </c>
      <c r="F74" s="24">
        <f>IFERROR('Cash Flow Data'!G6,0)</f>
        <v>-6621</v>
      </c>
      <c r="G74" s="24">
        <f>IFERROR('Cash Flow Data'!H6,0)</f>
        <v>-3560</v>
      </c>
      <c r="H74" s="24">
        <f>IFERROR('Cash Flow Data'!I6,0)</f>
        <v>2069</v>
      </c>
      <c r="I74" s="24">
        <f>IFERROR('Cash Flow Data'!J6,0)</f>
        <v>2326</v>
      </c>
      <c r="J74" s="24">
        <f>IFERROR('Cash Flow Data'!K6,0)</f>
        <v>3814</v>
      </c>
      <c r="K74" s="24">
        <f>IFERROR('Cash Flow Data'!L6,0)</f>
        <v>472</v>
      </c>
      <c r="L74" s="24">
        <f>IFERROR('Cash Flow Data'!M6,0)</f>
        <v>-5665</v>
      </c>
      <c r="M74" s="24">
        <f>IFERROR('Cash Flow Data'!N6,0)</f>
        <v>-7265</v>
      </c>
    </row>
    <row r="75" spans="1:14" x14ac:dyDescent="0.3">
      <c r="B75" t="s">
        <v>114</v>
      </c>
      <c r="D75" s="24">
        <f>IFERROR('Cash Flow Data'!E7,0)</f>
        <v>3598</v>
      </c>
      <c r="E75" s="24">
        <f>IFERROR('Cash Flow Data'!F7,0)</f>
        <v>3947</v>
      </c>
      <c r="F75" s="24">
        <f>IFERROR('Cash Flow Data'!G7,0)</f>
        <v>9301</v>
      </c>
      <c r="G75" s="24">
        <f>IFERROR('Cash Flow Data'!H7,0)</f>
        <v>7320</v>
      </c>
      <c r="H75" s="24">
        <f>IFERROR('Cash Flow Data'!I7,0)</f>
        <v>-4692</v>
      </c>
      <c r="I75" s="24">
        <f>IFERROR('Cash Flow Data'!J7,0)</f>
        <v>-8085</v>
      </c>
      <c r="J75" s="24">
        <f>IFERROR('Cash Flow Data'!K7,0)</f>
        <v>5748</v>
      </c>
      <c r="K75" s="24">
        <f>IFERROR('Cash Flow Data'!L7,0)</f>
        <v>-7012</v>
      </c>
      <c r="L75" s="24">
        <f>IFERROR('Cash Flow Data'!M7,0)</f>
        <v>6945</v>
      </c>
      <c r="M75" s="24">
        <f>IFERROR('Cash Flow Data'!N7,0)</f>
        <v>13706</v>
      </c>
    </row>
    <row r="76" spans="1:14" x14ac:dyDescent="0.3">
      <c r="B76" t="s">
        <v>115</v>
      </c>
      <c r="D76" s="24">
        <f>IFERROR('Cash Flow Data'!E8,0)</f>
        <v>0</v>
      </c>
      <c r="E76" s="24">
        <f>IFERROR('Cash Flow Data'!F8,0)</f>
        <v>-520</v>
      </c>
      <c r="F76" s="24">
        <f>IFERROR('Cash Flow Data'!G8,0)</f>
        <v>0</v>
      </c>
      <c r="G76" s="24">
        <f>IFERROR('Cash Flow Data'!H8,0)</f>
        <v>0</v>
      </c>
      <c r="H76" s="24">
        <f>IFERROR('Cash Flow Data'!I8,0)</f>
        <v>0</v>
      </c>
      <c r="I76" s="24">
        <f>IFERROR('Cash Flow Data'!J8,0)</f>
        <v>0</v>
      </c>
      <c r="J76" s="24">
        <f>IFERROR('Cash Flow Data'!K8,0)</f>
        <v>0</v>
      </c>
      <c r="K76" s="24">
        <f>IFERROR('Cash Flow Data'!L8,0)</f>
        <v>0</v>
      </c>
      <c r="L76" s="24">
        <f>IFERROR('Cash Flow Data'!M8,0)</f>
        <v>0</v>
      </c>
      <c r="M76" s="24">
        <f>IFERROR('Cash Flow Data'!N8,0)</f>
        <v>0</v>
      </c>
    </row>
    <row r="77" spans="1:14" x14ac:dyDescent="0.3">
      <c r="B77" t="s">
        <v>116</v>
      </c>
      <c r="D77" s="24">
        <f>IFERROR('Cash Flow Data'!E9,0)</f>
        <v>-398</v>
      </c>
      <c r="E77" s="24">
        <f>IFERROR('Cash Flow Data'!F9,0)</f>
        <v>5852</v>
      </c>
      <c r="F77" s="24">
        <f>IFERROR('Cash Flow Data'!G9,0)</f>
        <v>4727</v>
      </c>
      <c r="G77" s="24">
        <f>IFERROR('Cash Flow Data'!H9,0)</f>
        <v>494</v>
      </c>
      <c r="H77" s="24">
        <f>IFERROR('Cash Flow Data'!I9,0)</f>
        <v>4512</v>
      </c>
      <c r="I77" s="24">
        <f>IFERROR('Cash Flow Data'!J9,0)</f>
        <v>875</v>
      </c>
      <c r="J77" s="24">
        <f>IFERROR('Cash Flow Data'!K9,0)</f>
        <v>-4150</v>
      </c>
      <c r="K77" s="24">
        <f>IFERROR('Cash Flow Data'!L9,0)</f>
        <v>-4396</v>
      </c>
      <c r="L77" s="24">
        <f>IFERROR('Cash Flow Data'!M9,0)</f>
        <v>-2194</v>
      </c>
      <c r="M77" s="24">
        <f>IFERROR('Cash Flow Data'!N9,0)</f>
        <v>2760</v>
      </c>
    </row>
    <row r="78" spans="1:14" x14ac:dyDescent="0.3">
      <c r="B78" t="s">
        <v>117</v>
      </c>
      <c r="D78" s="24">
        <f>IFERROR('Cash Flow Data'!E10,0)</f>
        <v>-3672</v>
      </c>
      <c r="E78" s="24">
        <f>IFERROR('Cash Flow Data'!F10,0)</f>
        <v>1313</v>
      </c>
      <c r="F78" s="24">
        <f>IFERROR('Cash Flow Data'!G10,0)</f>
        <v>3254</v>
      </c>
      <c r="G78" s="24">
        <f>IFERROR('Cash Flow Data'!H10,0)</f>
        <v>-6434</v>
      </c>
      <c r="H78" s="24">
        <f>IFERROR('Cash Flow Data'!I10,0)</f>
        <v>-7221</v>
      </c>
      <c r="I78" s="24">
        <f>IFERROR('Cash Flow Data'!J10,0)</f>
        <v>5065</v>
      </c>
      <c r="J78" s="24">
        <f>IFERROR('Cash Flow Data'!K10,0)</f>
        <v>-93</v>
      </c>
      <c r="K78" s="24">
        <f>IFERROR('Cash Flow Data'!L10,0)</f>
        <v>-10750</v>
      </c>
      <c r="L78" s="24">
        <f>IFERROR('Cash Flow Data'!M10,0)</f>
        <v>-3127</v>
      </c>
      <c r="M78" s="24">
        <f>IFERROR('Cash Flow Data'!N10,0)</f>
        <v>7325</v>
      </c>
    </row>
    <row r="79" spans="1:14" x14ac:dyDescent="0.3">
      <c r="B79" t="s">
        <v>118</v>
      </c>
      <c r="D79" s="24">
        <f>IFERROR('Cash Flow Data'!E11,0)</f>
        <v>-4194</v>
      </c>
      <c r="E79" s="24">
        <f>IFERROR('Cash Flow Data'!F11,0)</f>
        <v>-2040</v>
      </c>
      <c r="F79" s="24">
        <f>IFERROR('Cash Flow Data'!G11,0)</f>
        <v>-1895</v>
      </c>
      <c r="G79" s="24">
        <f>IFERROR('Cash Flow Data'!H11,0)</f>
        <v>-3021</v>
      </c>
      <c r="H79" s="24">
        <f>IFERROR('Cash Flow Data'!I11,0)</f>
        <v>-2659</v>
      </c>
      <c r="I79" s="24">
        <f>IFERROR('Cash Flow Data'!J11,0)</f>
        <v>-1785</v>
      </c>
      <c r="J79" s="24">
        <f>IFERROR('Cash Flow Data'!K11,0)</f>
        <v>-2105</v>
      </c>
      <c r="K79" s="24">
        <f>IFERROR('Cash Flow Data'!L11,0)</f>
        <v>-1910</v>
      </c>
      <c r="L79" s="24">
        <f>IFERROR('Cash Flow Data'!M11,0)</f>
        <v>-3179</v>
      </c>
      <c r="M79" s="24">
        <f>IFERROR('Cash Flow Data'!N11,0)</f>
        <v>-4516</v>
      </c>
    </row>
    <row r="80" spans="1:14" x14ac:dyDescent="0.3">
      <c r="B80" s="59" t="s">
        <v>139</v>
      </c>
      <c r="C80" s="60"/>
      <c r="D80" s="61">
        <f>IFERROR(SUM(D72:D79),0)</f>
        <v>31860</v>
      </c>
      <c r="E80" s="61">
        <f t="shared" ref="E80:M80" si="23">IFERROR(SUM(E72:E79),0)</f>
        <v>39212</v>
      </c>
      <c r="F80" s="61">
        <f t="shared" si="23"/>
        <v>33454</v>
      </c>
      <c r="G80" s="61">
        <f t="shared" si="23"/>
        <v>17423</v>
      </c>
      <c r="H80" s="61">
        <f t="shared" si="23"/>
        <v>11671</v>
      </c>
      <c r="I80" s="61">
        <f t="shared" si="23"/>
        <v>31698</v>
      </c>
      <c r="J80" s="61">
        <f t="shared" si="23"/>
        <v>28907</v>
      </c>
      <c r="K80" s="61">
        <f t="shared" si="23"/>
        <v>3532</v>
      </c>
      <c r="L80" s="61">
        <f t="shared" si="23"/>
        <v>32261</v>
      </c>
      <c r="M80" s="61">
        <f t="shared" si="23"/>
        <v>75241</v>
      </c>
    </row>
    <row r="82" spans="2:13" x14ac:dyDescent="0.3">
      <c r="B82" s="2" t="s">
        <v>142</v>
      </c>
    </row>
    <row r="83" spans="2:13" x14ac:dyDescent="0.3">
      <c r="B83" t="s">
        <v>119</v>
      </c>
      <c r="D83" s="24">
        <f>IFERROR('Cash Flow Data'!E13,0)</f>
        <v>-31962</v>
      </c>
      <c r="E83" s="24">
        <f>IFERROR('Cash Flow Data'!F13,0)</f>
        <v>-31503</v>
      </c>
      <c r="F83" s="24">
        <f>IFERROR('Cash Flow Data'!G13,0)</f>
        <v>-16072</v>
      </c>
      <c r="G83" s="24">
        <f>IFERROR('Cash Flow Data'!H13,0)</f>
        <v>-35079</v>
      </c>
      <c r="H83" s="24">
        <f>IFERROR('Cash Flow Data'!I13,0)</f>
        <v>-35304</v>
      </c>
      <c r="I83" s="24">
        <f>IFERROR('Cash Flow Data'!J13,0)</f>
        <v>-29702</v>
      </c>
      <c r="J83" s="24">
        <f>IFERROR('Cash Flow Data'!K13,0)</f>
        <v>-20205</v>
      </c>
      <c r="K83" s="24">
        <f>IFERROR('Cash Flow Data'!L13,0)</f>
        <v>-15168</v>
      </c>
      <c r="L83" s="24">
        <f>IFERROR('Cash Flow Data'!M13,0)</f>
        <v>-19230</v>
      </c>
      <c r="M83" s="24">
        <f>IFERROR('Cash Flow Data'!N13,0)</f>
        <v>-31414</v>
      </c>
    </row>
    <row r="84" spans="2:13" x14ac:dyDescent="0.3">
      <c r="B84" t="s">
        <v>120</v>
      </c>
      <c r="D84" s="24">
        <f>IFERROR('Cash Flow Data'!E14,0)</f>
        <v>74</v>
      </c>
      <c r="E84" s="24">
        <f>IFERROR('Cash Flow Data'!F14,0)</f>
        <v>59</v>
      </c>
      <c r="F84" s="24">
        <f>IFERROR('Cash Flow Data'!G14,0)</f>
        <v>53</v>
      </c>
      <c r="G84" s="24">
        <f>IFERROR('Cash Flow Data'!H14,0)</f>
        <v>30</v>
      </c>
      <c r="H84" s="24">
        <f>IFERROR('Cash Flow Data'!I14,0)</f>
        <v>67</v>
      </c>
      <c r="I84" s="24">
        <f>IFERROR('Cash Flow Data'!J14,0)</f>
        <v>171</v>
      </c>
      <c r="J84" s="24">
        <f>IFERROR('Cash Flow Data'!K14,0)</f>
        <v>351</v>
      </c>
      <c r="K84" s="24">
        <f>IFERROR('Cash Flow Data'!L14,0)</f>
        <v>230</v>
      </c>
      <c r="L84" s="24">
        <f>IFERROR('Cash Flow Data'!M14,0)</f>
        <v>285</v>
      </c>
      <c r="M84" s="24">
        <f>IFERROR('Cash Flow Data'!N14,0)</f>
        <v>231</v>
      </c>
    </row>
    <row r="85" spans="2:13" x14ac:dyDescent="0.3">
      <c r="B85" t="s">
        <v>121</v>
      </c>
      <c r="D85" s="24">
        <f>IFERROR('Cash Flow Data'!E15,0)</f>
        <v>-5461</v>
      </c>
      <c r="E85" s="24">
        <f>IFERROR('Cash Flow Data'!F15,0)</f>
        <v>-4728</v>
      </c>
      <c r="F85" s="24">
        <f>IFERROR('Cash Flow Data'!G15,0)</f>
        <v>-6</v>
      </c>
      <c r="G85" s="24">
        <f>IFERROR('Cash Flow Data'!H15,0)</f>
        <v>-329</v>
      </c>
      <c r="H85" s="24">
        <f>IFERROR('Cash Flow Data'!I15,0)</f>
        <v>-130</v>
      </c>
      <c r="I85" s="24">
        <f>IFERROR('Cash Flow Data'!J15,0)</f>
        <v>-1439</v>
      </c>
      <c r="J85" s="24">
        <f>IFERROR('Cash Flow Data'!K15,0)</f>
        <v>-7530</v>
      </c>
      <c r="K85" s="24">
        <f>IFERROR('Cash Flow Data'!L15,0)</f>
        <v>-3008</v>
      </c>
      <c r="L85" s="24">
        <f>IFERROR('Cash Flow Data'!M15,0)</f>
        <v>-50</v>
      </c>
      <c r="M85" s="24">
        <f>IFERROR('Cash Flow Data'!N15,0)</f>
        <v>-74</v>
      </c>
    </row>
    <row r="86" spans="2:13" x14ac:dyDescent="0.3">
      <c r="B86" t="s">
        <v>122</v>
      </c>
      <c r="D86" s="24">
        <f>IFERROR('Cash Flow Data'!E16,0)</f>
        <v>42</v>
      </c>
      <c r="E86" s="24">
        <f>IFERROR('Cash Flow Data'!F16,0)</f>
        <v>89</v>
      </c>
      <c r="F86" s="24">
        <f>IFERROR('Cash Flow Data'!G16,0)</f>
        <v>1965</v>
      </c>
      <c r="G86" s="24">
        <f>IFERROR('Cash Flow Data'!H16,0)</f>
        <v>2381</v>
      </c>
      <c r="H86" s="24">
        <f>IFERROR('Cash Flow Data'!I16,0)</f>
        <v>5644</v>
      </c>
      <c r="I86" s="24">
        <f>IFERROR('Cash Flow Data'!J16,0)</f>
        <v>21</v>
      </c>
      <c r="J86" s="24">
        <f>IFERROR('Cash Flow Data'!K16,0)</f>
        <v>226</v>
      </c>
      <c r="K86" s="24">
        <f>IFERROR('Cash Flow Data'!L16,0)</f>
        <v>104</v>
      </c>
      <c r="L86" s="24">
        <f>IFERROR('Cash Flow Data'!M16,0)</f>
        <v>6895</v>
      </c>
      <c r="M86" s="24">
        <f>IFERROR('Cash Flow Data'!N16,0)</f>
        <v>10820</v>
      </c>
    </row>
    <row r="87" spans="2:13" x14ac:dyDescent="0.3">
      <c r="B87" t="s">
        <v>123</v>
      </c>
      <c r="D87" s="24">
        <f>IFERROR('Cash Flow Data'!E17,0)</f>
        <v>698</v>
      </c>
      <c r="E87" s="24">
        <f>IFERROR('Cash Flow Data'!F17,0)</f>
        <v>731</v>
      </c>
      <c r="F87" s="24">
        <f>IFERROR('Cash Flow Data'!G17,0)</f>
        <v>638</v>
      </c>
      <c r="G87" s="24">
        <f>IFERROR('Cash Flow Data'!H17,0)</f>
        <v>690</v>
      </c>
      <c r="H87" s="24">
        <f>IFERROR('Cash Flow Data'!I17,0)</f>
        <v>761</v>
      </c>
      <c r="I87" s="24">
        <f>IFERROR('Cash Flow Data'!J17,0)</f>
        <v>1104</v>
      </c>
      <c r="J87" s="24">
        <f>IFERROR('Cash Flow Data'!K17,0)</f>
        <v>428</v>
      </c>
      <c r="K87" s="24">
        <f>IFERROR('Cash Flow Data'!L17,0)</f>
        <v>653</v>
      </c>
      <c r="L87" s="24">
        <f>IFERROR('Cash Flow Data'!M17,0)</f>
        <v>973</v>
      </c>
      <c r="M87" s="24">
        <f>IFERROR('Cash Flow Data'!N17,0)</f>
        <v>2493</v>
      </c>
    </row>
    <row r="88" spans="2:13" x14ac:dyDescent="0.3">
      <c r="B88" t="s">
        <v>124</v>
      </c>
      <c r="D88" s="24">
        <f>IFERROR('Cash Flow Data'!E18,0)</f>
        <v>80</v>
      </c>
      <c r="E88" s="24">
        <f>IFERROR('Cash Flow Data'!F18,0)</f>
        <v>58</v>
      </c>
      <c r="F88" s="24">
        <f>IFERROR('Cash Flow Data'!G18,0)</f>
        <v>620</v>
      </c>
      <c r="G88" s="24">
        <f>IFERROR('Cash Flow Data'!H18,0)</f>
        <v>1797</v>
      </c>
      <c r="H88" s="24">
        <f>IFERROR('Cash Flow Data'!I18,0)</f>
        <v>232</v>
      </c>
      <c r="I88" s="24">
        <f>IFERROR('Cash Flow Data'!J18,0)</f>
        <v>21</v>
      </c>
      <c r="J88" s="24">
        <f>IFERROR('Cash Flow Data'!K18,0)</f>
        <v>18</v>
      </c>
      <c r="K88" s="24">
        <f>IFERROR('Cash Flow Data'!L18,0)</f>
        <v>32</v>
      </c>
      <c r="L88" s="24">
        <f>IFERROR('Cash Flow Data'!M18,0)</f>
        <v>46</v>
      </c>
      <c r="M88" s="24">
        <f>IFERROR('Cash Flow Data'!N18,0)</f>
        <v>47</v>
      </c>
    </row>
    <row r="89" spans="2:13" x14ac:dyDescent="0.3">
      <c r="B89" t="s">
        <v>125</v>
      </c>
      <c r="D89" s="24">
        <f>IFERROR('Cash Flow Data'!E19,0)</f>
        <v>-160</v>
      </c>
      <c r="E89" s="24">
        <f>IFERROR('Cash Flow Data'!F19,0)</f>
        <v>0</v>
      </c>
      <c r="F89" s="24">
        <f>IFERROR('Cash Flow Data'!G19,0)</f>
        <v>-107</v>
      </c>
      <c r="G89" s="24">
        <f>IFERROR('Cash Flow Data'!H19,0)</f>
        <v>-4</v>
      </c>
      <c r="H89" s="24">
        <f>IFERROR('Cash Flow Data'!I19,0)</f>
        <v>-9</v>
      </c>
      <c r="I89" s="24">
        <f>IFERROR('Cash Flow Data'!J19,0)</f>
        <v>-606</v>
      </c>
      <c r="J89" s="24">
        <f>IFERROR('Cash Flow Data'!K19,0)</f>
        <v>-10</v>
      </c>
      <c r="K89" s="24">
        <f>IFERROR('Cash Flow Data'!L19,0)</f>
        <v>0</v>
      </c>
      <c r="L89" s="24">
        <f>IFERROR('Cash Flow Data'!M19,0)</f>
        <v>0</v>
      </c>
      <c r="M89" s="24">
        <f>IFERROR('Cash Flow Data'!N19,0)</f>
        <v>-150</v>
      </c>
    </row>
    <row r="90" spans="2:13" x14ac:dyDescent="0.3">
      <c r="B90" t="s">
        <v>126</v>
      </c>
      <c r="D90" s="24">
        <f>IFERROR('Cash Flow Data'!E20,0)</f>
        <v>0</v>
      </c>
      <c r="E90" s="24">
        <f>IFERROR('Cash Flow Data'!F20,0)</f>
        <v>0</v>
      </c>
      <c r="F90" s="24">
        <f>IFERROR('Cash Flow Data'!G20,0)</f>
        <v>0</v>
      </c>
      <c r="G90" s="24">
        <f>IFERROR('Cash Flow Data'!H20,0)</f>
        <v>14</v>
      </c>
      <c r="H90" s="24">
        <f>IFERROR('Cash Flow Data'!I20,0)</f>
        <v>533</v>
      </c>
      <c r="I90" s="24">
        <f>IFERROR('Cash Flow Data'!J20,0)</f>
        <v>0</v>
      </c>
      <c r="J90" s="24">
        <f>IFERROR('Cash Flow Data'!K20,0)</f>
        <v>0</v>
      </c>
      <c r="K90" s="24">
        <f>IFERROR('Cash Flow Data'!L20,0)</f>
        <v>0</v>
      </c>
      <c r="L90" s="24">
        <f>IFERROR('Cash Flow Data'!M20,0)</f>
        <v>19</v>
      </c>
      <c r="M90" s="24">
        <f>IFERROR('Cash Flow Data'!N20,0)</f>
        <v>108</v>
      </c>
    </row>
    <row r="91" spans="2:13" x14ac:dyDescent="0.3">
      <c r="B91" t="s">
        <v>127</v>
      </c>
      <c r="D91" s="24">
        <f>IFERROR('Cash Flow Data'!E21,0)</f>
        <v>0</v>
      </c>
      <c r="E91" s="24">
        <f>IFERROR('Cash Flow Data'!F21,0)</f>
        <v>-111</v>
      </c>
      <c r="F91" s="24">
        <f>IFERROR('Cash Flow Data'!G21,0)</f>
        <v>0</v>
      </c>
      <c r="G91" s="24">
        <f>IFERROR('Cash Flow Data'!H21,0)</f>
        <v>0</v>
      </c>
      <c r="H91" s="24">
        <f>IFERROR('Cash Flow Data'!I21,0)</f>
        <v>-8</v>
      </c>
      <c r="I91" s="24">
        <f>IFERROR('Cash Flow Data'!J21,0)</f>
        <v>-27</v>
      </c>
      <c r="J91" s="24">
        <f>IFERROR('Cash Flow Data'!K21,0)</f>
        <v>0</v>
      </c>
      <c r="K91" s="24">
        <f>IFERROR('Cash Flow Data'!L21,0)</f>
        <v>-98</v>
      </c>
      <c r="L91" s="24">
        <f>IFERROR('Cash Flow Data'!M21,0)</f>
        <v>0</v>
      </c>
      <c r="M91" s="24">
        <f>IFERROR('Cash Flow Data'!N21,0)</f>
        <v>0</v>
      </c>
    </row>
    <row r="92" spans="2:13" x14ac:dyDescent="0.3">
      <c r="B92" t="s">
        <v>128</v>
      </c>
      <c r="D92" s="24">
        <f>IFERROR('Cash Flow Data'!E22,0)</f>
        <v>0</v>
      </c>
      <c r="E92" s="24">
        <f>IFERROR('Cash Flow Data'!F22,0)</f>
        <v>0</v>
      </c>
      <c r="F92" s="24">
        <f>IFERROR('Cash Flow Data'!G22,0)</f>
        <v>0</v>
      </c>
      <c r="G92" s="24">
        <f>IFERROR('Cash Flow Data'!H22,0)</f>
        <v>0</v>
      </c>
      <c r="H92" s="24">
        <f>IFERROR('Cash Flow Data'!I22,0)</f>
        <v>0</v>
      </c>
      <c r="I92" s="24">
        <f>IFERROR('Cash Flow Data'!J22,0)</f>
        <v>0</v>
      </c>
      <c r="J92" s="24">
        <f>IFERROR('Cash Flow Data'!K22,0)</f>
        <v>0</v>
      </c>
      <c r="K92" s="24">
        <f>IFERROR('Cash Flow Data'!L22,0)</f>
        <v>0</v>
      </c>
      <c r="L92" s="24">
        <f>IFERROR('Cash Flow Data'!M22,0)</f>
        <v>0</v>
      </c>
      <c r="M92" s="24">
        <f>IFERROR('Cash Flow Data'!N22,0)</f>
        <v>-24</v>
      </c>
    </row>
    <row r="93" spans="2:13" x14ac:dyDescent="0.3">
      <c r="B93" t="s">
        <v>129</v>
      </c>
      <c r="D93" s="24">
        <f>IFERROR('Cash Flow Data'!E23,0)</f>
        <v>456</v>
      </c>
      <c r="E93" s="24">
        <f>IFERROR('Cash Flow Data'!F23,0)</f>
        <v>-1289</v>
      </c>
      <c r="F93" s="24">
        <f>IFERROR('Cash Flow Data'!G23,0)</f>
        <v>-26663</v>
      </c>
      <c r="G93" s="24">
        <f>IFERROR('Cash Flow Data'!H23,0)</f>
        <v>5360</v>
      </c>
      <c r="H93" s="24">
        <f>IFERROR('Cash Flow Data'!I23,0)</f>
        <v>7335</v>
      </c>
      <c r="I93" s="24">
        <f>IFERROR('Cash Flow Data'!J23,0)</f>
        <v>-2659</v>
      </c>
      <c r="J93" s="24">
        <f>IFERROR('Cash Flow Data'!K23,0)</f>
        <v>1051</v>
      </c>
      <c r="K93" s="24">
        <f>IFERROR('Cash Flow Data'!L23,0)</f>
        <v>12813</v>
      </c>
      <c r="L93" s="24">
        <f>IFERROR('Cash Flow Data'!M23,0)</f>
        <v>-4357</v>
      </c>
      <c r="M93" s="24">
        <f>IFERROR('Cash Flow Data'!N23,0)</f>
        <v>-4817</v>
      </c>
    </row>
    <row r="94" spans="2:13" x14ac:dyDescent="0.3">
      <c r="B94" s="53" t="s">
        <v>143</v>
      </c>
      <c r="C94" s="58"/>
      <c r="D94" s="55">
        <f>SUM(D83:D93)</f>
        <v>-36233</v>
      </c>
      <c r="E94" s="55">
        <f t="shared" ref="E94:M94" si="24">SUM(E83:E93)</f>
        <v>-36694</v>
      </c>
      <c r="F94" s="55">
        <f t="shared" si="24"/>
        <v>-39572</v>
      </c>
      <c r="G94" s="55">
        <f t="shared" si="24"/>
        <v>-25140</v>
      </c>
      <c r="H94" s="55">
        <f t="shared" si="24"/>
        <v>-20879</v>
      </c>
      <c r="I94" s="55">
        <f t="shared" si="24"/>
        <v>-33116</v>
      </c>
      <c r="J94" s="55">
        <f t="shared" si="24"/>
        <v>-25671</v>
      </c>
      <c r="K94" s="55">
        <f t="shared" si="24"/>
        <v>-4442</v>
      </c>
      <c r="L94" s="55">
        <f t="shared" si="24"/>
        <v>-15419</v>
      </c>
      <c r="M94" s="55">
        <f t="shared" si="24"/>
        <v>-22780</v>
      </c>
    </row>
    <row r="96" spans="2:13" x14ac:dyDescent="0.3">
      <c r="B96" s="2" t="s">
        <v>144</v>
      </c>
    </row>
    <row r="97" spans="2:13" x14ac:dyDescent="0.3">
      <c r="B97" t="s">
        <v>130</v>
      </c>
      <c r="D97" s="24">
        <f>IFERROR('Cash Flow Data'!E25,0)</f>
        <v>0</v>
      </c>
      <c r="E97" s="24">
        <f>IFERROR('Cash Flow Data'!F25,0)</f>
        <v>7433</v>
      </c>
      <c r="F97" s="24">
        <f>IFERROR('Cash Flow Data'!G25,0)</f>
        <v>5</v>
      </c>
      <c r="G97" s="24">
        <f>IFERROR('Cash Flow Data'!H25,0)</f>
        <v>0</v>
      </c>
      <c r="H97" s="24">
        <f>IFERROR('Cash Flow Data'!I25,0)</f>
        <v>0</v>
      </c>
      <c r="I97" s="24">
        <f>IFERROR('Cash Flow Data'!J25,0)</f>
        <v>3889</v>
      </c>
      <c r="J97" s="24">
        <f>IFERROR('Cash Flow Data'!K25,0)</f>
        <v>2603</v>
      </c>
      <c r="K97" s="24">
        <f>IFERROR('Cash Flow Data'!L25,0)</f>
        <v>19</v>
      </c>
      <c r="L97" s="24">
        <f>IFERROR('Cash Flow Data'!M25,0)</f>
        <v>20</v>
      </c>
      <c r="M97" s="24">
        <f>IFERROR('Cash Flow Data'!N25,0)</f>
        <v>82</v>
      </c>
    </row>
    <row r="98" spans="2:13" x14ac:dyDescent="0.3">
      <c r="B98" t="s">
        <v>131</v>
      </c>
      <c r="D98" s="24">
        <f>IFERROR('Cash Flow Data'!E26,0)</f>
        <v>-744</v>
      </c>
      <c r="E98" s="24">
        <f>IFERROR('Cash Flow Data'!F26,0)</f>
        <v>0</v>
      </c>
      <c r="F98" s="24">
        <f>IFERROR('Cash Flow Data'!G26,0)</f>
        <v>0</v>
      </c>
      <c r="G98" s="24">
        <f>IFERROR('Cash Flow Data'!H26,0)</f>
        <v>0</v>
      </c>
      <c r="H98" s="24">
        <f>IFERROR('Cash Flow Data'!I26,0)</f>
        <v>0</v>
      </c>
      <c r="I98" s="24">
        <f>IFERROR('Cash Flow Data'!J26,0)</f>
        <v>0</v>
      </c>
      <c r="J98" s="24">
        <f>IFERROR('Cash Flow Data'!K26,0)</f>
        <v>0</v>
      </c>
      <c r="K98" s="24">
        <f>IFERROR('Cash Flow Data'!L26,0)</f>
        <v>0</v>
      </c>
      <c r="L98" s="24">
        <f>IFERROR('Cash Flow Data'!M26,0)</f>
        <v>0</v>
      </c>
      <c r="M98" s="24">
        <f>IFERROR('Cash Flow Data'!N26,0)</f>
        <v>0</v>
      </c>
    </row>
    <row r="99" spans="2:13" x14ac:dyDescent="0.3">
      <c r="B99" t="s">
        <v>132</v>
      </c>
      <c r="D99" s="24">
        <f>IFERROR('Cash Flow Data'!E27,0)</f>
        <v>36363</v>
      </c>
      <c r="E99" s="24">
        <f>IFERROR('Cash Flow Data'!F27,0)</f>
        <v>19519</v>
      </c>
      <c r="F99" s="24">
        <f>IFERROR('Cash Flow Data'!G27,0)</f>
        <v>33390</v>
      </c>
      <c r="G99" s="24">
        <f>IFERROR('Cash Flow Data'!H27,0)</f>
        <v>37482</v>
      </c>
      <c r="H99" s="24">
        <f>IFERROR('Cash Flow Data'!I27,0)</f>
        <v>51128</v>
      </c>
      <c r="I99" s="24">
        <f>IFERROR('Cash Flow Data'!J27,0)</f>
        <v>38297</v>
      </c>
      <c r="J99" s="24">
        <f>IFERROR('Cash Flow Data'!K27,0)</f>
        <v>46641</v>
      </c>
      <c r="K99" s="24">
        <f>IFERROR('Cash Flow Data'!L27,0)</f>
        <v>46578</v>
      </c>
      <c r="L99" s="24">
        <f>IFERROR('Cash Flow Data'!M27,0)</f>
        <v>43934</v>
      </c>
      <c r="M99" s="24">
        <f>IFERROR('Cash Flow Data'!N27,0)</f>
        <v>18747</v>
      </c>
    </row>
    <row r="100" spans="2:13" x14ac:dyDescent="0.3">
      <c r="B100" t="s">
        <v>133</v>
      </c>
      <c r="D100" s="24">
        <f>IFERROR('Cash Flow Data'!E28,0)</f>
        <v>-23332</v>
      </c>
      <c r="E100" s="24">
        <f>IFERROR('Cash Flow Data'!F28,0)</f>
        <v>-24924</v>
      </c>
      <c r="F100" s="24">
        <f>IFERROR('Cash Flow Data'!G28,0)</f>
        <v>-21732</v>
      </c>
      <c r="G100" s="24">
        <f>IFERROR('Cash Flow Data'!H28,0)</f>
        <v>-29964</v>
      </c>
      <c r="H100" s="24">
        <f>IFERROR('Cash Flow Data'!I28,0)</f>
        <v>-35198</v>
      </c>
      <c r="I100" s="24">
        <f>IFERROR('Cash Flow Data'!J28,0)</f>
        <v>-29847</v>
      </c>
      <c r="J100" s="24">
        <f>IFERROR('Cash Flow Data'!K28,0)</f>
        <v>-29709</v>
      </c>
      <c r="K100" s="24">
        <f>IFERROR('Cash Flow Data'!L28,0)</f>
        <v>-42816</v>
      </c>
      <c r="L100" s="24">
        <f>IFERROR('Cash Flow Data'!M28,0)</f>
        <v>-62557</v>
      </c>
      <c r="M100" s="24">
        <f>IFERROR('Cash Flow Data'!N28,0)</f>
        <v>-47332</v>
      </c>
    </row>
    <row r="101" spans="2:13" x14ac:dyDescent="0.3">
      <c r="B101" t="s">
        <v>134</v>
      </c>
      <c r="D101" s="24">
        <f>IFERROR('Cash Flow Data'!E29,0)</f>
        <v>-6307</v>
      </c>
      <c r="E101" s="24">
        <f>IFERROR('Cash Flow Data'!F29,0)</f>
        <v>-5716</v>
      </c>
      <c r="F101" s="24">
        <f>IFERROR('Cash Flow Data'!G29,0)</f>
        <v>-5336</v>
      </c>
      <c r="G101" s="24">
        <f>IFERROR('Cash Flow Data'!H29,0)</f>
        <v>-5411</v>
      </c>
      <c r="H101" s="24">
        <f>IFERROR('Cash Flow Data'!I29,0)</f>
        <v>-7005</v>
      </c>
      <c r="I101" s="24">
        <f>IFERROR('Cash Flow Data'!J29,0)</f>
        <v>-7518</v>
      </c>
      <c r="J101" s="24">
        <f>IFERROR('Cash Flow Data'!K29,0)</f>
        <v>-8123</v>
      </c>
      <c r="K101" s="24">
        <f>IFERROR('Cash Flow Data'!L29,0)</f>
        <v>-9251</v>
      </c>
      <c r="L101" s="24">
        <f>IFERROR('Cash Flow Data'!M29,0)</f>
        <v>-9336</v>
      </c>
      <c r="M101" s="24">
        <f>IFERROR('Cash Flow Data'!N29,0)</f>
        <v>-9332</v>
      </c>
    </row>
    <row r="102" spans="2:13" x14ac:dyDescent="0.3">
      <c r="B102" t="s">
        <v>135</v>
      </c>
      <c r="D102" s="24">
        <f>IFERROR('Cash Flow Data'!E30,0)</f>
        <v>-720</v>
      </c>
      <c r="E102" s="24">
        <f>IFERROR('Cash Flow Data'!F30,0)</f>
        <v>-108</v>
      </c>
      <c r="F102" s="24">
        <f>IFERROR('Cash Flow Data'!G30,0)</f>
        <v>-121</v>
      </c>
      <c r="G102" s="24">
        <f>IFERROR('Cash Flow Data'!H30,0)</f>
        <v>-96</v>
      </c>
      <c r="H102" s="24">
        <f>IFERROR('Cash Flow Data'!I30,0)</f>
        <v>-95</v>
      </c>
      <c r="I102" s="24">
        <f>IFERROR('Cash Flow Data'!J30,0)</f>
        <v>-57</v>
      </c>
      <c r="J102" s="24">
        <f>IFERROR('Cash Flow Data'!K30,0)</f>
        <v>-30</v>
      </c>
      <c r="K102" s="24">
        <f>IFERROR('Cash Flow Data'!L30,0)</f>
        <v>-100</v>
      </c>
      <c r="L102" s="24">
        <f>IFERROR('Cash Flow Data'!M30,0)</f>
        <v>-141</v>
      </c>
      <c r="M102" s="24">
        <f>IFERROR('Cash Flow Data'!N30,0)</f>
        <v>-1059</v>
      </c>
    </row>
    <row r="103" spans="2:13" x14ac:dyDescent="0.3">
      <c r="B103" t="s">
        <v>136</v>
      </c>
      <c r="D103" s="24">
        <f>IFERROR('Cash Flow Data'!E31,0)</f>
        <v>0</v>
      </c>
      <c r="E103" s="24">
        <f>IFERROR('Cash Flow Data'!F31,0)</f>
        <v>0</v>
      </c>
      <c r="F103" s="24">
        <f>IFERROR('Cash Flow Data'!G31,0)</f>
        <v>0</v>
      </c>
      <c r="G103" s="24">
        <f>IFERROR('Cash Flow Data'!H31,0)</f>
        <v>0</v>
      </c>
      <c r="H103" s="24">
        <f>IFERROR('Cash Flow Data'!I31,0)</f>
        <v>0</v>
      </c>
      <c r="I103" s="24">
        <f>IFERROR('Cash Flow Data'!J31,0)</f>
        <v>-1346</v>
      </c>
      <c r="J103" s="24">
        <f>IFERROR('Cash Flow Data'!K31,0)</f>
        <v>-1477</v>
      </c>
      <c r="K103" s="24">
        <f>IFERROR('Cash Flow Data'!L31,0)</f>
        <v>-1559</v>
      </c>
      <c r="L103" s="24">
        <f>IFERROR('Cash Flow Data'!M31,0)</f>
        <v>-1517</v>
      </c>
      <c r="M103" s="24">
        <f>IFERROR('Cash Flow Data'!N31,0)</f>
        <v>-1924</v>
      </c>
    </row>
    <row r="104" spans="2:13" x14ac:dyDescent="0.3">
      <c r="B104" t="s">
        <v>137</v>
      </c>
      <c r="D104" s="24">
        <f>IFERROR('Cash Flow Data'!E32,0)</f>
        <v>-57</v>
      </c>
      <c r="E104" s="24">
        <f>IFERROR('Cash Flow Data'!F32,0)</f>
        <v>0</v>
      </c>
      <c r="F104" s="24">
        <f>IFERROR('Cash Flow Data'!G32,0)</f>
        <v>0</v>
      </c>
      <c r="G104" s="24">
        <f>IFERROR('Cash Flow Data'!H32,0)</f>
        <v>0</v>
      </c>
      <c r="H104" s="24">
        <f>IFERROR('Cash Flow Data'!I32,0)</f>
        <v>0</v>
      </c>
      <c r="I104" s="24">
        <f>IFERROR('Cash Flow Data'!J32,0)</f>
        <v>-29</v>
      </c>
      <c r="J104" s="24">
        <f>IFERROR('Cash Flow Data'!K32,0)</f>
        <v>0</v>
      </c>
      <c r="K104" s="24">
        <f>IFERROR('Cash Flow Data'!L32,0)</f>
        <v>3750</v>
      </c>
      <c r="L104" s="24">
        <f>IFERROR('Cash Flow Data'!M32,0)</f>
        <v>3355</v>
      </c>
      <c r="M104" s="24">
        <f>IFERROR('Cash Flow Data'!N32,0)</f>
        <v>3812</v>
      </c>
    </row>
    <row r="105" spans="2:13" x14ac:dyDescent="0.3">
      <c r="B105" s="53" t="s">
        <v>145</v>
      </c>
      <c r="C105" s="58"/>
      <c r="D105" s="55">
        <f>SUM(D97:D104)</f>
        <v>5203</v>
      </c>
      <c r="E105" s="55">
        <f t="shared" ref="E105:M105" si="25">SUM(E97:E104)</f>
        <v>-3796</v>
      </c>
      <c r="F105" s="55">
        <f t="shared" si="25"/>
        <v>6206</v>
      </c>
      <c r="G105" s="55">
        <f t="shared" si="25"/>
        <v>2011</v>
      </c>
      <c r="H105" s="55">
        <f t="shared" si="25"/>
        <v>8830</v>
      </c>
      <c r="I105" s="55">
        <f t="shared" si="25"/>
        <v>3389</v>
      </c>
      <c r="J105" s="55">
        <f t="shared" si="25"/>
        <v>9905</v>
      </c>
      <c r="K105" s="55">
        <f t="shared" si="25"/>
        <v>-3379</v>
      </c>
      <c r="L105" s="55">
        <f t="shared" si="25"/>
        <v>-26242</v>
      </c>
      <c r="M105" s="55">
        <f t="shared" si="25"/>
        <v>-37006</v>
      </c>
    </row>
    <row r="107" spans="2:13" ht="15" thickBot="1" x14ac:dyDescent="0.35">
      <c r="B107" s="62" t="s">
        <v>35</v>
      </c>
      <c r="C107" s="63"/>
      <c r="D107" s="64">
        <f>IFERROR(D105+D94+D80,0)</f>
        <v>830</v>
      </c>
      <c r="E107" s="64">
        <f t="shared" ref="E107:M107" si="26">IFERROR(E105+E94+E80,0)</f>
        <v>-1278</v>
      </c>
      <c r="F107" s="64">
        <f t="shared" si="26"/>
        <v>88</v>
      </c>
      <c r="G107" s="64">
        <f t="shared" si="26"/>
        <v>-5706</v>
      </c>
      <c r="H107" s="64">
        <f t="shared" si="26"/>
        <v>-378</v>
      </c>
      <c r="I107" s="64">
        <f t="shared" si="26"/>
        <v>1971</v>
      </c>
      <c r="J107" s="64">
        <f t="shared" si="26"/>
        <v>13141</v>
      </c>
      <c r="K107" s="64">
        <f t="shared" si="26"/>
        <v>-4289</v>
      </c>
      <c r="L107" s="64">
        <f t="shared" si="26"/>
        <v>-9400</v>
      </c>
      <c r="M107" s="64">
        <f t="shared" si="26"/>
        <v>15455</v>
      </c>
    </row>
  </sheetData>
  <mergeCells count="1">
    <mergeCell ref="B2:N2"/>
  </mergeCells>
  <pageMargins left="0.7" right="0.7" top="0.75" bottom="0.75" header="0.3" footer="0.3"/>
  <ignoredErrors>
    <ignoredError sqref="N5 N8 D14:N14 N24 N30 D8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C5A-351F-4054-AF2B-AA937EA3E4E4}">
  <dimension ref="B2:N33"/>
  <sheetViews>
    <sheetView workbookViewId="0">
      <selection activeCell="B2" sqref="B2:N2"/>
    </sheetView>
  </sheetViews>
  <sheetFormatPr defaultRowHeight="14.4" x14ac:dyDescent="0.3"/>
  <cols>
    <col min="2" max="2" width="27" customWidth="1"/>
  </cols>
  <sheetData>
    <row r="2" spans="2:14" x14ac:dyDescent="0.3">
      <c r="B2" s="67" t="s">
        <v>97</v>
      </c>
      <c r="C2" s="68">
        <v>41334</v>
      </c>
      <c r="D2" s="68">
        <v>41699</v>
      </c>
      <c r="E2" s="68">
        <v>42064</v>
      </c>
      <c r="F2" s="68">
        <v>42430</v>
      </c>
      <c r="G2" s="68">
        <v>42795</v>
      </c>
      <c r="H2" s="68">
        <v>43160</v>
      </c>
      <c r="I2" s="68">
        <v>43525</v>
      </c>
      <c r="J2" s="68">
        <v>43891</v>
      </c>
      <c r="K2" s="68">
        <v>44256</v>
      </c>
      <c r="L2" s="68">
        <v>44621</v>
      </c>
      <c r="M2" s="68">
        <v>44986</v>
      </c>
      <c r="N2" s="68">
        <v>45352</v>
      </c>
    </row>
    <row r="3" spans="2:14" x14ac:dyDescent="0.3">
      <c r="B3" t="s">
        <v>32</v>
      </c>
      <c r="C3" s="65">
        <v>22163</v>
      </c>
      <c r="D3" s="65">
        <v>36151</v>
      </c>
      <c r="E3" s="65">
        <v>35531</v>
      </c>
      <c r="F3" s="65">
        <v>37900</v>
      </c>
      <c r="G3" s="65">
        <v>30199</v>
      </c>
      <c r="H3" s="65">
        <v>23857</v>
      </c>
      <c r="I3" s="65">
        <v>18891</v>
      </c>
      <c r="J3" s="65">
        <v>26633</v>
      </c>
      <c r="K3" s="65">
        <v>29001</v>
      </c>
      <c r="L3" s="65">
        <v>14283</v>
      </c>
      <c r="M3" s="65">
        <v>35388</v>
      </c>
      <c r="N3" s="65">
        <v>67915</v>
      </c>
    </row>
    <row r="4" spans="2:14" x14ac:dyDescent="0.3">
      <c r="B4" t="s">
        <v>113</v>
      </c>
      <c r="C4" s="65">
        <v>24406</v>
      </c>
      <c r="D4" s="65">
        <v>36303</v>
      </c>
      <c r="E4" s="65">
        <v>43397</v>
      </c>
      <c r="F4" s="65">
        <v>38626</v>
      </c>
      <c r="G4" s="65">
        <v>28840</v>
      </c>
      <c r="H4" s="65">
        <v>33312</v>
      </c>
      <c r="I4" s="65">
        <v>28771</v>
      </c>
      <c r="J4" s="65">
        <v>23352</v>
      </c>
      <c r="K4" s="65">
        <v>31198</v>
      </c>
      <c r="L4" s="65">
        <v>26943</v>
      </c>
      <c r="M4" s="65">
        <v>41694</v>
      </c>
      <c r="N4" s="65">
        <v>65106</v>
      </c>
    </row>
    <row r="5" spans="2:14" x14ac:dyDescent="0.3">
      <c r="B5" t="s">
        <v>68</v>
      </c>
      <c r="C5" s="65">
        <v>-5177</v>
      </c>
      <c r="D5" s="66">
        <v>445</v>
      </c>
      <c r="E5" s="65">
        <v>-3179</v>
      </c>
      <c r="F5" s="65">
        <v>-2223</v>
      </c>
      <c r="G5" s="65">
        <v>-4152</v>
      </c>
      <c r="H5" s="65">
        <v>-10688</v>
      </c>
      <c r="I5" s="65">
        <v>-9109</v>
      </c>
      <c r="J5" s="65">
        <v>9950</v>
      </c>
      <c r="K5" s="65">
        <v>-5505</v>
      </c>
      <c r="L5" s="66">
        <v>185</v>
      </c>
      <c r="M5" s="65">
        <v>-2213</v>
      </c>
      <c r="N5" s="65">
        <v>-1875</v>
      </c>
    </row>
    <row r="6" spans="2:14" x14ac:dyDescent="0.3">
      <c r="B6" t="s">
        <v>44</v>
      </c>
      <c r="C6" s="65">
        <v>-2656</v>
      </c>
      <c r="D6" s="65">
        <v>-2853</v>
      </c>
      <c r="E6" s="65">
        <v>-3692</v>
      </c>
      <c r="F6" s="65">
        <v>-5743</v>
      </c>
      <c r="G6" s="65">
        <v>-6621</v>
      </c>
      <c r="H6" s="65">
        <v>-3560</v>
      </c>
      <c r="I6" s="65">
        <v>2069</v>
      </c>
      <c r="J6" s="65">
        <v>2326</v>
      </c>
      <c r="K6" s="65">
        <v>3814</v>
      </c>
      <c r="L6" s="66">
        <v>472</v>
      </c>
      <c r="M6" s="65">
        <v>-5665</v>
      </c>
      <c r="N6" s="65">
        <v>-7265</v>
      </c>
    </row>
    <row r="7" spans="2:14" x14ac:dyDescent="0.3">
      <c r="B7" t="s">
        <v>114</v>
      </c>
      <c r="C7" s="65">
        <v>8132</v>
      </c>
      <c r="D7" s="65">
        <v>4694</v>
      </c>
      <c r="E7" s="65">
        <v>3598</v>
      </c>
      <c r="F7" s="65">
        <v>3947</v>
      </c>
      <c r="G7" s="65">
        <v>9301</v>
      </c>
      <c r="H7" s="65">
        <v>7320</v>
      </c>
      <c r="I7" s="65">
        <v>-4692</v>
      </c>
      <c r="J7" s="65">
        <v>-8085</v>
      </c>
      <c r="K7" s="65">
        <v>5748</v>
      </c>
      <c r="L7" s="65">
        <v>-7012</v>
      </c>
      <c r="M7" s="65">
        <v>6945</v>
      </c>
      <c r="N7" s="65">
        <v>13706</v>
      </c>
    </row>
    <row r="8" spans="2:14" x14ac:dyDescent="0.3">
      <c r="B8" t="s">
        <v>115</v>
      </c>
      <c r="C8" s="66">
        <v>0</v>
      </c>
      <c r="D8" s="66">
        <v>0</v>
      </c>
      <c r="E8" s="66">
        <v>0</v>
      </c>
      <c r="F8" s="66">
        <v>-520</v>
      </c>
      <c r="G8" s="66">
        <v>0</v>
      </c>
      <c r="H8" s="66">
        <v>0</v>
      </c>
      <c r="I8" s="66">
        <v>0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</row>
    <row r="9" spans="2:14" x14ac:dyDescent="0.3">
      <c r="B9" t="s">
        <v>116</v>
      </c>
      <c r="C9" s="66">
        <v>-303</v>
      </c>
      <c r="D9" s="65">
        <v>1870</v>
      </c>
      <c r="E9" s="66">
        <v>-398</v>
      </c>
      <c r="F9" s="65">
        <v>5852</v>
      </c>
      <c r="G9" s="65">
        <v>4727</v>
      </c>
      <c r="H9" s="66">
        <v>494</v>
      </c>
      <c r="I9" s="65">
        <v>4512</v>
      </c>
      <c r="J9" s="66">
        <v>875</v>
      </c>
      <c r="K9" s="65">
        <v>-4150</v>
      </c>
      <c r="L9" s="65">
        <v>-4396</v>
      </c>
      <c r="M9" s="65">
        <v>-2194</v>
      </c>
      <c r="N9" s="65">
        <v>2760</v>
      </c>
    </row>
    <row r="10" spans="2:14" x14ac:dyDescent="0.3">
      <c r="B10" t="s">
        <v>117</v>
      </c>
      <c r="C10" s="66">
        <v>-3</v>
      </c>
      <c r="D10" s="65">
        <v>4157</v>
      </c>
      <c r="E10" s="65">
        <v>-3672</v>
      </c>
      <c r="F10" s="65">
        <v>1313</v>
      </c>
      <c r="G10" s="65">
        <v>3254</v>
      </c>
      <c r="H10" s="65">
        <v>-6434</v>
      </c>
      <c r="I10" s="65">
        <v>-7221</v>
      </c>
      <c r="J10" s="65">
        <v>5065</v>
      </c>
      <c r="K10" s="66">
        <v>-93</v>
      </c>
      <c r="L10" s="65">
        <v>-10750</v>
      </c>
      <c r="M10" s="65">
        <v>-3127</v>
      </c>
      <c r="N10" s="65">
        <v>7325</v>
      </c>
    </row>
    <row r="11" spans="2:14" x14ac:dyDescent="0.3">
      <c r="B11" t="s">
        <v>118</v>
      </c>
      <c r="C11" s="65">
        <v>-2240</v>
      </c>
      <c r="D11" s="65">
        <v>-4308</v>
      </c>
      <c r="E11" s="65">
        <v>-4194</v>
      </c>
      <c r="F11" s="65">
        <v>-2040</v>
      </c>
      <c r="G11" s="65">
        <v>-1895</v>
      </c>
      <c r="H11" s="65">
        <v>-3021</v>
      </c>
      <c r="I11" s="65">
        <v>-2659</v>
      </c>
      <c r="J11" s="65">
        <v>-1785</v>
      </c>
      <c r="K11" s="65">
        <v>-2105</v>
      </c>
      <c r="L11" s="65">
        <v>-1910</v>
      </c>
      <c r="M11" s="65">
        <v>-3179</v>
      </c>
      <c r="N11" s="65">
        <v>-4516</v>
      </c>
    </row>
    <row r="12" spans="2:14" x14ac:dyDescent="0.3">
      <c r="B12" t="s">
        <v>33</v>
      </c>
      <c r="C12" s="65">
        <v>-22969</v>
      </c>
      <c r="D12" s="65">
        <v>-27991</v>
      </c>
      <c r="E12" s="65">
        <v>-36232</v>
      </c>
      <c r="F12" s="65">
        <v>-36694</v>
      </c>
      <c r="G12" s="65">
        <v>-39571</v>
      </c>
      <c r="H12" s="65">
        <v>-25139</v>
      </c>
      <c r="I12" s="65">
        <v>-20878</v>
      </c>
      <c r="J12" s="65">
        <v>-33115</v>
      </c>
      <c r="K12" s="65">
        <v>-25672</v>
      </c>
      <c r="L12" s="65">
        <v>-4444</v>
      </c>
      <c r="M12" s="65">
        <v>-15417</v>
      </c>
      <c r="N12" s="65">
        <v>-22782</v>
      </c>
    </row>
    <row r="13" spans="2:14" x14ac:dyDescent="0.3">
      <c r="B13" t="s">
        <v>119</v>
      </c>
      <c r="C13" s="65">
        <v>-18863</v>
      </c>
      <c r="D13" s="65">
        <v>-26975</v>
      </c>
      <c r="E13" s="65">
        <v>-31962</v>
      </c>
      <c r="F13" s="65">
        <v>-31503</v>
      </c>
      <c r="G13" s="65">
        <v>-16072</v>
      </c>
      <c r="H13" s="65">
        <v>-35079</v>
      </c>
      <c r="I13" s="65">
        <v>-35304</v>
      </c>
      <c r="J13" s="65">
        <v>-29702</v>
      </c>
      <c r="K13" s="65">
        <v>-20205</v>
      </c>
      <c r="L13" s="65">
        <v>-15168</v>
      </c>
      <c r="M13" s="65">
        <v>-19230</v>
      </c>
      <c r="N13" s="65">
        <v>-31414</v>
      </c>
    </row>
    <row r="14" spans="2:14" x14ac:dyDescent="0.3">
      <c r="B14" t="s">
        <v>120</v>
      </c>
      <c r="C14" s="66">
        <v>37</v>
      </c>
      <c r="D14" s="66">
        <v>50</v>
      </c>
      <c r="E14" s="66">
        <v>74</v>
      </c>
      <c r="F14" s="66">
        <v>59</v>
      </c>
      <c r="G14" s="66">
        <v>53</v>
      </c>
      <c r="H14" s="66">
        <v>30</v>
      </c>
      <c r="I14" s="66">
        <v>67</v>
      </c>
      <c r="J14" s="66">
        <v>171</v>
      </c>
      <c r="K14" s="66">
        <v>351</v>
      </c>
      <c r="L14" s="66">
        <v>230</v>
      </c>
      <c r="M14" s="66">
        <v>285</v>
      </c>
      <c r="N14" s="66">
        <v>231</v>
      </c>
    </row>
    <row r="15" spans="2:14" x14ac:dyDescent="0.3">
      <c r="B15" t="s">
        <v>121</v>
      </c>
      <c r="C15" s="66">
        <v>73</v>
      </c>
      <c r="D15" s="66">
        <v>-429</v>
      </c>
      <c r="E15" s="65">
        <v>-5461</v>
      </c>
      <c r="F15" s="65">
        <v>-4728</v>
      </c>
      <c r="G15" s="66">
        <v>-6</v>
      </c>
      <c r="H15" s="66">
        <v>-329</v>
      </c>
      <c r="I15" s="66">
        <v>-130</v>
      </c>
      <c r="J15" s="65">
        <v>-1439</v>
      </c>
      <c r="K15" s="65">
        <v>-7530</v>
      </c>
      <c r="L15" s="65">
        <v>-3008</v>
      </c>
      <c r="M15" s="66">
        <v>-50</v>
      </c>
      <c r="N15" s="66">
        <v>-74</v>
      </c>
    </row>
    <row r="16" spans="2:14" x14ac:dyDescent="0.3">
      <c r="B16" t="s">
        <v>122</v>
      </c>
      <c r="C16" s="66">
        <v>34</v>
      </c>
      <c r="D16" s="66">
        <v>4</v>
      </c>
      <c r="E16" s="66">
        <v>42</v>
      </c>
      <c r="F16" s="66">
        <v>89</v>
      </c>
      <c r="G16" s="65">
        <v>1965</v>
      </c>
      <c r="H16" s="65">
        <v>2381</v>
      </c>
      <c r="I16" s="65">
        <v>5644</v>
      </c>
      <c r="J16" s="66">
        <v>21</v>
      </c>
      <c r="K16" s="66">
        <v>226</v>
      </c>
      <c r="L16" s="66">
        <v>104</v>
      </c>
      <c r="M16" s="65">
        <v>6895</v>
      </c>
      <c r="N16" s="65">
        <v>10820</v>
      </c>
    </row>
    <row r="17" spans="2:14" x14ac:dyDescent="0.3">
      <c r="B17" t="s">
        <v>123</v>
      </c>
      <c r="C17" s="66">
        <v>713</v>
      </c>
      <c r="D17" s="66">
        <v>653</v>
      </c>
      <c r="E17" s="66">
        <v>698</v>
      </c>
      <c r="F17" s="66">
        <v>731</v>
      </c>
      <c r="G17" s="66">
        <v>638</v>
      </c>
      <c r="H17" s="66">
        <v>690</v>
      </c>
      <c r="I17" s="66">
        <v>761</v>
      </c>
      <c r="J17" s="65">
        <v>1104</v>
      </c>
      <c r="K17" s="66">
        <v>428</v>
      </c>
      <c r="L17" s="66">
        <v>653</v>
      </c>
      <c r="M17" s="66">
        <v>973</v>
      </c>
      <c r="N17" s="65">
        <v>2493</v>
      </c>
    </row>
    <row r="18" spans="2:14" x14ac:dyDescent="0.3">
      <c r="B18" t="s">
        <v>124</v>
      </c>
      <c r="C18" s="66">
        <v>95</v>
      </c>
      <c r="D18" s="66">
        <v>40</v>
      </c>
      <c r="E18" s="66">
        <v>80</v>
      </c>
      <c r="F18" s="66">
        <v>58</v>
      </c>
      <c r="G18" s="66">
        <v>620</v>
      </c>
      <c r="H18" s="65">
        <v>1797</v>
      </c>
      <c r="I18" s="66">
        <v>232</v>
      </c>
      <c r="J18" s="66">
        <v>21</v>
      </c>
      <c r="K18" s="66">
        <v>18</v>
      </c>
      <c r="L18" s="66">
        <v>32</v>
      </c>
      <c r="M18" s="66">
        <v>46</v>
      </c>
      <c r="N18" s="66">
        <v>47</v>
      </c>
    </row>
    <row r="19" spans="2:14" x14ac:dyDescent="0.3">
      <c r="B19" t="s">
        <v>125</v>
      </c>
      <c r="C19" s="66">
        <v>0</v>
      </c>
      <c r="D19" s="66">
        <v>0</v>
      </c>
      <c r="E19" s="66">
        <v>-160</v>
      </c>
      <c r="F19" s="66">
        <v>0</v>
      </c>
      <c r="G19" s="66">
        <v>-107</v>
      </c>
      <c r="H19" s="66">
        <v>-4</v>
      </c>
      <c r="I19" s="66">
        <v>-9</v>
      </c>
      <c r="J19" s="66">
        <v>-606</v>
      </c>
      <c r="K19" s="66">
        <v>-10</v>
      </c>
      <c r="L19" s="66">
        <v>0</v>
      </c>
      <c r="M19" s="66">
        <v>0</v>
      </c>
      <c r="N19" s="66">
        <v>-150</v>
      </c>
    </row>
    <row r="20" spans="2:14" x14ac:dyDescent="0.3">
      <c r="B20" t="s">
        <v>126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6">
        <v>14</v>
      </c>
      <c r="I20" s="66">
        <v>533</v>
      </c>
      <c r="J20" s="66">
        <v>0</v>
      </c>
      <c r="K20" s="66">
        <v>0</v>
      </c>
      <c r="L20" s="66">
        <v>0</v>
      </c>
      <c r="M20" s="66">
        <v>19</v>
      </c>
      <c r="N20" s="66">
        <v>108</v>
      </c>
    </row>
    <row r="21" spans="2:14" x14ac:dyDescent="0.3">
      <c r="B21" t="s">
        <v>127</v>
      </c>
      <c r="C21" s="66">
        <v>0</v>
      </c>
      <c r="D21" s="66">
        <v>-185</v>
      </c>
      <c r="E21" s="66">
        <v>0</v>
      </c>
      <c r="F21" s="66">
        <v>-111</v>
      </c>
      <c r="G21" s="66">
        <v>0</v>
      </c>
      <c r="H21" s="66">
        <v>0</v>
      </c>
      <c r="I21" s="66">
        <v>-8</v>
      </c>
      <c r="J21" s="66">
        <v>-27</v>
      </c>
      <c r="K21" s="66">
        <v>0</v>
      </c>
      <c r="L21" s="66">
        <v>-98</v>
      </c>
      <c r="M21" s="66">
        <v>0</v>
      </c>
      <c r="N21" s="66">
        <v>0</v>
      </c>
    </row>
    <row r="22" spans="2:14" x14ac:dyDescent="0.3">
      <c r="B22" t="s">
        <v>128</v>
      </c>
      <c r="C22" s="66">
        <v>45</v>
      </c>
      <c r="D22" s="66">
        <v>0</v>
      </c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6">
        <v>-24</v>
      </c>
    </row>
    <row r="23" spans="2:14" x14ac:dyDescent="0.3">
      <c r="B23" t="s">
        <v>129</v>
      </c>
      <c r="C23" s="65">
        <v>-5103</v>
      </c>
      <c r="D23" s="65">
        <v>-1149</v>
      </c>
      <c r="E23" s="66">
        <v>456</v>
      </c>
      <c r="F23" s="65">
        <v>-1289</v>
      </c>
      <c r="G23" s="65">
        <v>-26663</v>
      </c>
      <c r="H23" s="65">
        <v>5360</v>
      </c>
      <c r="I23" s="65">
        <v>7335</v>
      </c>
      <c r="J23" s="65">
        <v>-2659</v>
      </c>
      <c r="K23" s="65">
        <v>1051</v>
      </c>
      <c r="L23" s="65">
        <v>12813</v>
      </c>
      <c r="M23" s="65">
        <v>-4357</v>
      </c>
      <c r="N23" s="65">
        <v>-4817</v>
      </c>
    </row>
    <row r="24" spans="2:14" x14ac:dyDescent="0.3">
      <c r="B24" t="s">
        <v>34</v>
      </c>
      <c r="C24" s="65">
        <v>-1692</v>
      </c>
      <c r="D24" s="65">
        <v>-3883</v>
      </c>
      <c r="E24" s="65">
        <v>5201</v>
      </c>
      <c r="F24" s="65">
        <v>-3795</v>
      </c>
      <c r="G24" s="65">
        <v>6205</v>
      </c>
      <c r="H24" s="65">
        <v>2012</v>
      </c>
      <c r="I24" s="65">
        <v>8830</v>
      </c>
      <c r="J24" s="65">
        <v>3390</v>
      </c>
      <c r="K24" s="65">
        <v>9904</v>
      </c>
      <c r="L24" s="65">
        <v>-3380</v>
      </c>
      <c r="M24" s="65">
        <v>-26243</v>
      </c>
      <c r="N24" s="65">
        <v>-37006</v>
      </c>
    </row>
    <row r="25" spans="2:14" x14ac:dyDescent="0.3">
      <c r="B25" t="s">
        <v>130</v>
      </c>
      <c r="C25" s="66">
        <v>1</v>
      </c>
      <c r="D25" s="66">
        <v>0</v>
      </c>
      <c r="E25" s="66">
        <v>0</v>
      </c>
      <c r="F25" s="65">
        <v>7433</v>
      </c>
      <c r="G25" s="66">
        <v>5</v>
      </c>
      <c r="H25" s="66">
        <v>0</v>
      </c>
      <c r="I25" s="66">
        <v>0</v>
      </c>
      <c r="J25" s="65">
        <v>3889</v>
      </c>
      <c r="K25" s="65">
        <v>2603</v>
      </c>
      <c r="L25" s="66">
        <v>19</v>
      </c>
      <c r="M25" s="66">
        <v>20</v>
      </c>
      <c r="N25" s="66">
        <v>82</v>
      </c>
    </row>
    <row r="26" spans="2:14" x14ac:dyDescent="0.3">
      <c r="B26" t="s">
        <v>131</v>
      </c>
      <c r="C26" s="66">
        <v>-97</v>
      </c>
      <c r="D26" s="66">
        <v>-658</v>
      </c>
      <c r="E26" s="66">
        <v>-744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</row>
    <row r="27" spans="2:14" x14ac:dyDescent="0.3">
      <c r="B27" t="s">
        <v>132</v>
      </c>
      <c r="C27" s="65">
        <v>27863</v>
      </c>
      <c r="D27" s="65">
        <v>33258</v>
      </c>
      <c r="E27" s="65">
        <v>36363</v>
      </c>
      <c r="F27" s="65">
        <v>19519</v>
      </c>
      <c r="G27" s="65">
        <v>33390</v>
      </c>
      <c r="H27" s="65">
        <v>37482</v>
      </c>
      <c r="I27" s="65">
        <v>51128</v>
      </c>
      <c r="J27" s="65">
        <v>38297</v>
      </c>
      <c r="K27" s="65">
        <v>46641</v>
      </c>
      <c r="L27" s="65">
        <v>46578</v>
      </c>
      <c r="M27" s="65">
        <v>43934</v>
      </c>
      <c r="N27" s="65">
        <v>18747</v>
      </c>
    </row>
    <row r="28" spans="2:14" x14ac:dyDescent="0.3">
      <c r="B28" t="s">
        <v>133</v>
      </c>
      <c r="C28" s="65">
        <v>-20395</v>
      </c>
      <c r="D28" s="65">
        <v>-29141</v>
      </c>
      <c r="E28" s="65">
        <v>-23332</v>
      </c>
      <c r="F28" s="65">
        <v>-24924</v>
      </c>
      <c r="G28" s="65">
        <v>-21732</v>
      </c>
      <c r="H28" s="65">
        <v>-29964</v>
      </c>
      <c r="I28" s="65">
        <v>-35198</v>
      </c>
      <c r="J28" s="65">
        <v>-29847</v>
      </c>
      <c r="K28" s="65">
        <v>-29709</v>
      </c>
      <c r="L28" s="65">
        <v>-42816</v>
      </c>
      <c r="M28" s="65">
        <v>-62557</v>
      </c>
      <c r="N28" s="65">
        <v>-47332</v>
      </c>
    </row>
    <row r="29" spans="2:14" x14ac:dyDescent="0.3">
      <c r="B29" t="s">
        <v>134</v>
      </c>
      <c r="C29" s="65">
        <v>-4666</v>
      </c>
      <c r="D29" s="65">
        <v>-6171</v>
      </c>
      <c r="E29" s="65">
        <v>-6307</v>
      </c>
      <c r="F29" s="65">
        <v>-5716</v>
      </c>
      <c r="G29" s="65">
        <v>-5336</v>
      </c>
      <c r="H29" s="65">
        <v>-5411</v>
      </c>
      <c r="I29" s="65">
        <v>-7005</v>
      </c>
      <c r="J29" s="65">
        <v>-7518</v>
      </c>
      <c r="K29" s="65">
        <v>-8123</v>
      </c>
      <c r="L29" s="65">
        <v>-9251</v>
      </c>
      <c r="M29" s="65">
        <v>-9336</v>
      </c>
      <c r="N29" s="65">
        <v>-9332</v>
      </c>
    </row>
    <row r="30" spans="2:14" x14ac:dyDescent="0.3">
      <c r="B30" t="s">
        <v>135</v>
      </c>
      <c r="C30" s="65">
        <v>-1551</v>
      </c>
      <c r="D30" s="66">
        <v>-722</v>
      </c>
      <c r="E30" s="66">
        <v>-720</v>
      </c>
      <c r="F30" s="66">
        <v>-108</v>
      </c>
      <c r="G30" s="66">
        <v>-121</v>
      </c>
      <c r="H30" s="66">
        <v>-96</v>
      </c>
      <c r="I30" s="66">
        <v>-95</v>
      </c>
      <c r="J30" s="66">
        <v>-57</v>
      </c>
      <c r="K30" s="66">
        <v>-30</v>
      </c>
      <c r="L30" s="66">
        <v>-100</v>
      </c>
      <c r="M30" s="66">
        <v>-141</v>
      </c>
      <c r="N30" s="65">
        <v>-1059</v>
      </c>
    </row>
    <row r="31" spans="2:14" x14ac:dyDescent="0.3">
      <c r="B31" t="s">
        <v>136</v>
      </c>
      <c r="C31" s="66">
        <v>0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5">
        <v>-1346</v>
      </c>
      <c r="K31" s="65">
        <v>-1477</v>
      </c>
      <c r="L31" s="65">
        <v>-1559</v>
      </c>
      <c r="M31" s="65">
        <v>-1517</v>
      </c>
      <c r="N31" s="65">
        <v>-1924</v>
      </c>
    </row>
    <row r="32" spans="2:14" x14ac:dyDescent="0.3">
      <c r="B32" t="s">
        <v>137</v>
      </c>
      <c r="C32" s="65">
        <v>-2849</v>
      </c>
      <c r="D32" s="66">
        <v>-450</v>
      </c>
      <c r="E32" s="66">
        <v>-57</v>
      </c>
      <c r="F32" s="66">
        <v>0</v>
      </c>
      <c r="G32" s="66">
        <v>0</v>
      </c>
      <c r="H32" s="66">
        <v>0</v>
      </c>
      <c r="I32" s="66">
        <v>0</v>
      </c>
      <c r="J32" s="66">
        <v>-29</v>
      </c>
      <c r="K32" s="66">
        <v>0</v>
      </c>
      <c r="L32" s="65">
        <v>3750</v>
      </c>
      <c r="M32" s="65">
        <v>3355</v>
      </c>
      <c r="N32" s="65">
        <v>3812</v>
      </c>
    </row>
    <row r="33" spans="2:14" x14ac:dyDescent="0.3">
      <c r="B33" t="s">
        <v>138</v>
      </c>
      <c r="C33" s="65">
        <v>-2499</v>
      </c>
      <c r="D33" s="65">
        <v>4277</v>
      </c>
      <c r="E33" s="65">
        <v>4500</v>
      </c>
      <c r="F33" s="65">
        <v>-2589</v>
      </c>
      <c r="G33" s="65">
        <v>-3167</v>
      </c>
      <c r="H33" s="66">
        <v>730</v>
      </c>
      <c r="I33" s="65">
        <v>6843</v>
      </c>
      <c r="J33" s="65">
        <v>-3092</v>
      </c>
      <c r="K33" s="65">
        <v>13232</v>
      </c>
      <c r="L33" s="65">
        <v>6459</v>
      </c>
      <c r="M33" s="65">
        <v>-6272</v>
      </c>
      <c r="N33" s="65">
        <v>8128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AD4-A091-4065-A2ED-7AE3A4842C57}">
  <dimension ref="B2:P40"/>
  <sheetViews>
    <sheetView showGridLines="0" workbookViewId="0">
      <pane ySplit="3" topLeftCell="A21" activePane="bottomLeft" state="frozen"/>
      <selection pane="bottomLeft" activeCell="D5" sqref="D5"/>
    </sheetView>
  </sheetViews>
  <sheetFormatPr defaultRowHeight="14.4" x14ac:dyDescent="0.3"/>
  <cols>
    <col min="1" max="1" width="1.88671875" customWidth="1"/>
    <col min="2" max="2" width="16.77734375" customWidth="1"/>
    <col min="4" max="9" width="9" bestFit="1" customWidth="1"/>
    <col min="10" max="10" width="9.6640625" bestFit="1" customWidth="1"/>
    <col min="11" max="11" width="9.77734375" customWidth="1"/>
    <col min="12" max="13" width="9" bestFit="1" customWidth="1"/>
    <col min="14" max="14" width="14.109375" customWidth="1"/>
  </cols>
  <sheetData>
    <row r="2" spans="2:16" x14ac:dyDescent="0.3">
      <c r="B2" s="69" t="str">
        <f>"Ratio Analysis of - "&amp;'Data Sheet'!B1</f>
        <v>Ratio Analysis of - FORTIS HEALTHCARE LTD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2:16" x14ac:dyDescent="0.3">
      <c r="B3" s="21" t="s">
        <v>81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176</v>
      </c>
      <c r="O3" s="43" t="s">
        <v>174</v>
      </c>
      <c r="P3" s="43" t="s">
        <v>175</v>
      </c>
    </row>
    <row r="5" spans="2:16" x14ac:dyDescent="0.3">
      <c r="B5" s="70" t="s">
        <v>22</v>
      </c>
      <c r="C5" s="70"/>
      <c r="D5" s="70"/>
      <c r="E5" s="71">
        <f>IFERROR('Historical FS'!E6,0)</f>
        <v>8.9268830571889168E-2</v>
      </c>
      <c r="F5" s="71">
        <f>IFERROR('Historical FS'!F6,0)</f>
        <v>-2.8226476478664386E-3</v>
      </c>
      <c r="G5" s="71">
        <f>IFERROR('Historical FS'!G6,0)</f>
        <v>-2.0053455416910615E-2</v>
      </c>
      <c r="H5" s="71">
        <f>IFERROR('Historical FS'!H6,0)</f>
        <v>3.6463915334444374E-2</v>
      </c>
      <c r="I5" s="71">
        <f>IFERROR('Historical FS'!I6,0)</f>
        <v>-0.12999965460071838</v>
      </c>
      <c r="J5" s="71">
        <f>IFERROR('Historical FS'!J6,0)</f>
        <v>0.41872202316556328</v>
      </c>
      <c r="K5" s="71">
        <f>IFERROR('Historical FS'!K6,0)</f>
        <v>0.10144430724672171</v>
      </c>
      <c r="L5" s="71">
        <f>IFERROR('Historical FS'!L6,0)</f>
        <v>9.4522710094575135E-2</v>
      </c>
      <c r="M5" s="71">
        <f>IFERROR('Historical FS'!M6,0)</f>
        <v>0.12909496859816838</v>
      </c>
      <c r="N5" s="32"/>
      <c r="O5" s="32">
        <f>IFERROR(AVERAGE(E5:M5),0)</f>
        <v>7.962677748287407E-2</v>
      </c>
      <c r="P5" s="5">
        <f>IFERROR(MEDIAN(E5:M5),0)</f>
        <v>8.9268830571889168E-2</v>
      </c>
    </row>
    <row r="6" spans="2:16" x14ac:dyDescent="0.3">
      <c r="B6" s="56" t="s">
        <v>147</v>
      </c>
      <c r="C6" s="56"/>
      <c r="D6" s="56"/>
      <c r="E6" s="34">
        <f>IFERROR('Historical FS'!E17/'Historical FS'!D17-1,0)</f>
        <v>2.831403527756712</v>
      </c>
      <c r="F6" s="34">
        <f>IFERROR('Historical FS'!F17/'Historical FS'!E17-1,0)</f>
        <v>-0.22595040388634635</v>
      </c>
      <c r="G6" s="34">
        <f>IFERROR('Historical FS'!G17/'Historical FS'!F17-1,0)</f>
        <v>-0.15562285630883843</v>
      </c>
      <c r="H6" s="34">
        <f>IFERROR('Historical FS'!H17/'Historical FS'!G17-1,0)</f>
        <v>1.6376993215504925</v>
      </c>
      <c r="I6" s="34">
        <f>IFERROR('Historical FS'!I17/'Historical FS'!H17-1,0)</f>
        <v>-0.33739084847392731</v>
      </c>
      <c r="J6" s="34">
        <f>IFERROR('Historical FS'!J17/'Historical FS'!I17-1,0)</f>
        <v>1.642996662133767</v>
      </c>
      <c r="K6" s="34">
        <f>IFERROR('Historical FS'!K17/'Historical FS'!J17-1,0)</f>
        <v>3.0291124083221099E-2</v>
      </c>
      <c r="L6" s="34">
        <f>IFERROR('Historical FS'!L17/'Historical FS'!K17-1,0)</f>
        <v>0.15098879546733901</v>
      </c>
      <c r="M6" s="34">
        <f>IFERROR('Historical FS'!M17/'Historical FS'!L17-1,0)</f>
        <v>0.25268414284925456</v>
      </c>
      <c r="N6" s="32"/>
      <c r="O6" s="32">
        <f t="shared" ref="O6:O9" si="0">IFERROR(AVERAGE(E6:M6),0)</f>
        <v>0.64745549613018605</v>
      </c>
      <c r="P6" s="5">
        <f t="shared" ref="P6:P9" si="1">IFERROR(MEDIAN(E6:M6),0)</f>
        <v>0.15098879546733901</v>
      </c>
    </row>
    <row r="7" spans="2:16" x14ac:dyDescent="0.3">
      <c r="B7" s="56" t="s">
        <v>172</v>
      </c>
      <c r="C7" s="56"/>
      <c r="D7" s="56"/>
      <c r="E7" s="34">
        <f>IFERROR('Historical FS'!E27/'Historical FS'!D27-1,0)</f>
        <v>-0.63287423797696984</v>
      </c>
      <c r="F7" s="34">
        <f>IFERROR('Historical FS'!F27/'Historical FS'!E27-1,0)</f>
        <v>1.2825953259532605</v>
      </c>
      <c r="G7" s="34">
        <f>IFERROR('Historical FS'!G27/'Historical FS'!F27-1,0)</f>
        <v>0.51933180654722055</v>
      </c>
      <c r="H7" s="34">
        <f>IFERROR('Historical FS'!H27/'Historical FS'!G27-1,0)</f>
        <v>-1.3357569308979123</v>
      </c>
      <c r="I7" s="34">
        <f>IFERROR('Historical FS'!I27/'Historical FS'!H27-1,0)</f>
        <v>-1.45801056338029</v>
      </c>
      <c r="J7" s="34">
        <f>IFERROR('Historical FS'!J27/'Historical FS'!I27-1,0)</f>
        <v>-12.94061118585414</v>
      </c>
      <c r="K7" s="34">
        <f>IFERROR('Historical FS'!K27/'Historical FS'!J27-1,0)</f>
        <v>5.672251999935618E-2</v>
      </c>
      <c r="L7" s="34">
        <f>IFERROR('Historical FS'!L27/'Historical FS'!K27-1,0)</f>
        <v>0.20969977608871004</v>
      </c>
      <c r="M7" s="34">
        <f>IFERROR('Historical FS'!M27/'Historical FS'!L27-1,0)</f>
        <v>0.2817245460726796</v>
      </c>
      <c r="N7" s="32"/>
      <c r="O7" s="32">
        <f t="shared" si="0"/>
        <v>-1.5574643270497872</v>
      </c>
      <c r="P7" s="5">
        <f t="shared" si="1"/>
        <v>5.672251999935618E-2</v>
      </c>
    </row>
    <row r="8" spans="2:16" x14ac:dyDescent="0.3">
      <c r="B8" s="56" t="s">
        <v>148</v>
      </c>
      <c r="C8" s="56"/>
      <c r="D8" s="56"/>
      <c r="E8" s="34">
        <f>IFERROR('Historical FS'!E33/'Historical FS'!D33-1,0)</f>
        <v>-0.34055018818142935</v>
      </c>
      <c r="F8" s="34">
        <f>IFERROR('Historical FS'!F33/'Historical FS'!E33-1,0)</f>
        <v>0.44351612144033847</v>
      </c>
      <c r="G8" s="34">
        <f>IFERROR('Historical FS'!G33/'Historical FS'!F33-1,0)</f>
        <v>0.84213744191734197</v>
      </c>
      <c r="H8" s="34">
        <f>IFERROR('Historical FS'!H33/'Historical FS'!G33-1,0)</f>
        <v>-0.92417302798982104</v>
      </c>
      <c r="I8" s="34">
        <f>IFERROR('Historical FS'!I33/'Historical FS'!H33-1,0)</f>
        <v>3.4204843886781173</v>
      </c>
      <c r="J8" s="34">
        <f>IFERROR('Historical FS'!J33/'Historical FS'!I33-1,0)</f>
        <v>-3.7951019869298168</v>
      </c>
      <c r="K8" s="34">
        <f>IFERROR('Historical FS'!K33/'Historical FS'!J33-1,0)</f>
        <v>0.12370403608624803</v>
      </c>
      <c r="L8" s="34">
        <f>IFERROR('Historical FS'!L33/'Historical FS'!K33-1,0)</f>
        <v>0.22200037830226149</v>
      </c>
      <c r="M8" s="34">
        <f>IFERROR('Historical FS'!M33/'Historical FS'!L33-1,0)</f>
        <v>0.41073885525591791</v>
      </c>
      <c r="N8" s="32"/>
      <c r="O8" s="32">
        <f t="shared" si="0"/>
        <v>4.4750668731017566E-2</v>
      </c>
      <c r="P8" s="5">
        <f t="shared" si="1"/>
        <v>0.22200037830226149</v>
      </c>
    </row>
    <row r="9" spans="2:16" x14ac:dyDescent="0.3">
      <c r="B9" s="72" t="s">
        <v>149</v>
      </c>
      <c r="C9" s="72"/>
      <c r="D9" s="72"/>
      <c r="E9" s="73">
        <f>IFERROR('Historical FS'!E41/'Historical FS'!D41-1,0)</f>
        <v>0</v>
      </c>
      <c r="F9" s="73">
        <f>IFERROR('Historical FS'!F41/'Historical FS'!E41-1,0)</f>
        <v>0</v>
      </c>
      <c r="G9" s="73">
        <f>IFERROR('Historical FS'!G41/'Historical FS'!F41-1,0)</f>
        <v>0</v>
      </c>
      <c r="H9" s="73">
        <f>IFERROR('Historical FS'!H41/'Historical FS'!G41-1,0)</f>
        <v>0</v>
      </c>
      <c r="I9" s="73">
        <f>IFERROR('Historical FS'!I41/'Historical FS'!H41-1,0)</f>
        <v>0</v>
      </c>
      <c r="J9" s="73">
        <f>IFERROR('Historical FS'!J41/'Historical FS'!I41-1,0)</f>
        <v>0</v>
      </c>
      <c r="K9" s="73">
        <f>IFERROR('Historical FS'!K41/'Historical FS'!J41-1,0)</f>
        <v>0</v>
      </c>
      <c r="L9" s="73">
        <f>IFERROR('Historical FS'!L41/'Historical FS'!K41-1,0)</f>
        <v>0</v>
      </c>
      <c r="M9" s="73">
        <f>IFERROR('Historical FS'!M41/'Historical FS'!L41-1,0)</f>
        <v>0</v>
      </c>
      <c r="N9" s="32"/>
      <c r="O9" s="32">
        <f t="shared" si="0"/>
        <v>0</v>
      </c>
      <c r="P9" s="5">
        <f t="shared" si="1"/>
        <v>0</v>
      </c>
    </row>
    <row r="11" spans="2:16" x14ac:dyDescent="0.3">
      <c r="B11" s="70" t="s">
        <v>146</v>
      </c>
      <c r="C11" s="70"/>
      <c r="D11" s="71">
        <f>IFERROR('Historical FS'!D12,0)</f>
        <v>0.16851834651538872</v>
      </c>
      <c r="E11" s="71">
        <f>IFERROR('Historical FS'!E12,0)</f>
        <v>0.18518623789825353</v>
      </c>
      <c r="F11" s="71">
        <f>IFERROR('Historical FS'!F12,0)</f>
        <v>0.21330640829150968</v>
      </c>
      <c r="G11" s="71">
        <f>IFERROR('Historical FS'!G12,0)</f>
        <v>0.21591506594918722</v>
      </c>
      <c r="H11" s="71">
        <f>IFERROR('Historical FS'!H12,0)</f>
        <v>0.26407933821497648</v>
      </c>
      <c r="I11" s="71">
        <f>IFERROR('Historical FS'!I12,0)</f>
        <v>0.22309261262691912</v>
      </c>
      <c r="J11" s="71">
        <f>IFERROR('Historical FS'!J12,0)</f>
        <v>0.30270112389420772</v>
      </c>
      <c r="K11" s="71">
        <f>IFERROR('Historical FS'!K12,0)</f>
        <v>0.29810214620079906</v>
      </c>
      <c r="L11" s="71">
        <f>IFERROR('Historical FS'!L12,0)</f>
        <v>0.29946278132167681</v>
      </c>
      <c r="M11" s="71">
        <f>IFERROR('Historical FS'!M12,0)</f>
        <v>0.61486235585108084</v>
      </c>
      <c r="O11" s="32">
        <f>IFERROR(AVERAGE(D11:M11),0)</f>
        <v>0.2785226416763999</v>
      </c>
      <c r="P11" s="5">
        <f>IFERROR(MEDIAN(D11:M11),0)</f>
        <v>0.24358597542094779</v>
      </c>
    </row>
    <row r="12" spans="2:16" x14ac:dyDescent="0.3">
      <c r="B12" s="56" t="s">
        <v>150</v>
      </c>
      <c r="C12" s="56"/>
      <c r="D12" s="34">
        <f>IFERROR('Historical FS'!D18,0)</f>
        <v>2.2008197404552308E-2</v>
      </c>
      <c r="E12" s="34">
        <f>IFERROR('Historical FS'!E18,0)</f>
        <v>7.7411822324060117E-2</v>
      </c>
      <c r="F12" s="34">
        <f>IFERROR('Historical FS'!F18,0)</f>
        <v>6.0090203275295483E-2</v>
      </c>
      <c r="G12" s="34">
        <f>IFERROR('Historical FS'!G18,0)</f>
        <v>5.1777104053162104E-2</v>
      </c>
      <c r="H12" s="34">
        <f>IFERROR('Historical FS'!H18,0)</f>
        <v>0.13176766717325222</v>
      </c>
      <c r="I12" s="34">
        <f>IFERROR('Historical FS'!I18,0)</f>
        <v>0.1003568131966292</v>
      </c>
      <c r="J12" s="34">
        <f>IFERROR('Historical FS'!J18,0)</f>
        <v>0.18695890947632057</v>
      </c>
      <c r="K12" s="34">
        <f>IFERROR('Historical FS'!K18,0)</f>
        <v>0.17488138413754994</v>
      </c>
      <c r="L12" s="34">
        <f>IFERROR('Historical FS'!L18,0)</f>
        <v>0.18390346022217022</v>
      </c>
      <c r="M12" s="34">
        <f>IFERROR('Historical FS'!M18,0)</f>
        <v>0.20403327872538621</v>
      </c>
      <c r="O12" s="32">
        <f t="shared" ref="O12:O15" si="2">IFERROR(AVERAGE(D12:M12),0)</f>
        <v>0.11931888399883783</v>
      </c>
      <c r="P12" s="5">
        <f t="shared" ref="P12:P15" si="3">IFERROR(MEDIAN(D12:M12),0)</f>
        <v>0.11606224018494071</v>
      </c>
    </row>
    <row r="13" spans="2:16" x14ac:dyDescent="0.3">
      <c r="B13" s="56" t="s">
        <v>151</v>
      </c>
      <c r="C13" s="56"/>
      <c r="D13" s="34">
        <f>IFERROR(('Historical FS'!D17-'Historical FS'!D24)/'Historical FS'!D5,0)</f>
        <v>-3.1601208890921016E-2</v>
      </c>
      <c r="E13" s="34">
        <f>IFERROR(('Historical FS'!E17-'Historical FS'!E24)/'Historical FS'!E5,0)</f>
        <v>2.8834296808724673E-2</v>
      </c>
      <c r="F13" s="34">
        <f>IFERROR(('Historical FS'!F17-'Historical FS'!F24)/'Historical FS'!F5,0)</f>
        <v>7.6960013681781061E-3</v>
      </c>
      <c r="G13" s="34">
        <f>IFERROR(('Historical FS'!G17-'Historical FS'!G24)/'Historical FS'!G5,0)</f>
        <v>-3.378567353194325E-4</v>
      </c>
      <c r="H13" s="34">
        <f>IFERROR(('Historical FS'!H17-'Historical FS'!H24)/'Historical FS'!H5,0)</f>
        <v>6.8790584415584333E-2</v>
      </c>
      <c r="I13" s="34">
        <f>IFERROR(('Historical FS'!I17-'Historical FS'!I24)/'Historical FS'!I5,0)</f>
        <v>2.8249779162903148E-2</v>
      </c>
      <c r="J13" s="34">
        <f>IFERROR(('Historical FS'!J17-'Historical FS'!J24)/'Historical FS'!J5,0)</f>
        <v>0.13434261108643109</v>
      </c>
      <c r="K13" s="34">
        <f>IFERROR(('Historical FS'!K17-'Historical FS'!K24)/'Historical FS'!K5,0)</f>
        <v>0.12474514262485631</v>
      </c>
      <c r="L13" s="34">
        <f>IFERROR(('Historical FS'!L17-'Historical FS'!L24)/'Historical FS'!L5,0)</f>
        <v>0.13421472208399635</v>
      </c>
      <c r="M13" s="34">
        <f>IFERROR(('Historical FS'!M17-'Historical FS'!M24)/'Historical FS'!M5,0)</f>
        <v>0.15448652468600424</v>
      </c>
      <c r="O13" s="32">
        <f t="shared" si="2"/>
        <v>6.4942059661043772E-2</v>
      </c>
      <c r="P13" s="5">
        <f t="shared" si="3"/>
        <v>4.8812440612154506E-2</v>
      </c>
    </row>
    <row r="14" spans="2:16" x14ac:dyDescent="0.3">
      <c r="B14" s="56" t="s">
        <v>152</v>
      </c>
      <c r="C14" s="56"/>
      <c r="D14" s="34">
        <f>IFERROR('Historical FS'!D28,0)</f>
        <v>-6.3288154726606149E-2</v>
      </c>
      <c r="E14" s="34">
        <f>IFERROR('Historical FS'!E28,0)</f>
        <v>-2.133055805777349E-2</v>
      </c>
      <c r="F14" s="34">
        <f>IFERROR('Historical FS'!F28,0)</f>
        <v>-4.8826853124773799E-2</v>
      </c>
      <c r="G14" s="34">
        <f>IFERROR('Historical FS'!G28,0)</f>
        <v>-7.5702283329790662E-2</v>
      </c>
      <c r="H14" s="34">
        <f>IFERROR('Historical FS'!H28,0)</f>
        <v>2.4523348991434019E-2</v>
      </c>
      <c r="I14" s="34">
        <f>IFERROR('Historical FS'!I28,0)</f>
        <v>-1.2910285549810122E-2</v>
      </c>
      <c r="J14" s="34">
        <f>IFERROR('Historical FS'!J28,0)</f>
        <v>0.10865884756244733</v>
      </c>
      <c r="K14" s="34">
        <f>IFERROR('Historical FS'!K28,0)</f>
        <v>0.10424698776049442</v>
      </c>
      <c r="L14" s="34">
        <f>IFERROR('Historical FS'!L28,0)</f>
        <v>0.11521694030532811</v>
      </c>
      <c r="M14" s="34">
        <f>IFERROR('Historical FS'!M28,0)</f>
        <v>0.13079181523240496</v>
      </c>
      <c r="O14" s="32">
        <f t="shared" si="2"/>
        <v>2.6137980506335461E-2</v>
      </c>
      <c r="P14" s="5">
        <f t="shared" si="3"/>
        <v>5.8065317208119485E-3</v>
      </c>
    </row>
    <row r="15" spans="2:16" x14ac:dyDescent="0.3">
      <c r="B15" s="72" t="s">
        <v>153</v>
      </c>
      <c r="C15" s="72"/>
      <c r="D15" s="73">
        <f>IFERROR('Historical FS'!D34,0)</f>
        <v>-6.1380507705607747E-2</v>
      </c>
      <c r="E15" s="73">
        <f>IFERROR('Historical FS'!E34,0)</f>
        <v>-3.7160123488101542E-2</v>
      </c>
      <c r="F15" s="73">
        <f>IFERROR('Historical FS'!F34,0)</f>
        <v>-5.3793076229880124E-2</v>
      </c>
      <c r="G15" s="73">
        <f>IFERROR('Historical FS'!G34,0)</f>
        <v>-0.10112208710438876</v>
      </c>
      <c r="H15" s="73">
        <f>IFERROR('Historical FS'!H34,0)</f>
        <v>-7.3980208621166896E-3</v>
      </c>
      <c r="I15" s="73">
        <f>IFERROR('Historical FS'!I34,0)</f>
        <v>-3.7589451430726818E-2</v>
      </c>
      <c r="J15" s="73">
        <f>IFERROR('Historical FS'!J34,0)</f>
        <v>7.4057037718491273E-2</v>
      </c>
      <c r="K15" s="73">
        <f>IFERROR('Historical FS'!K34,0)</f>
        <v>7.5553699481075459E-2</v>
      </c>
      <c r="L15" s="73">
        <f>IFERROR('Historical FS'!L34,0)</f>
        <v>8.4353342782656257E-2</v>
      </c>
      <c r="M15" s="73">
        <f>IFERROR('Historical FS'!M34,0)</f>
        <v>0.1053946227233304</v>
      </c>
      <c r="O15" s="32">
        <f t="shared" si="2"/>
        <v>4.0915435884731647E-3</v>
      </c>
      <c r="P15" s="5">
        <f t="shared" si="3"/>
        <v>-2.2279072175109115E-2</v>
      </c>
    </row>
    <row r="17" spans="2:16" x14ac:dyDescent="0.3">
      <c r="B17" s="70" t="s">
        <v>154</v>
      </c>
      <c r="C17" s="70"/>
      <c r="D17" s="71">
        <f>IFERROR('Historical FS'!D15,0)</f>
        <v>0.1465101491108364</v>
      </c>
      <c r="E17" s="71">
        <f>IFERROR('Historical FS'!E15,0)</f>
        <v>0.10777441557419343</v>
      </c>
      <c r="F17" s="71">
        <f>IFERROR('Historical FS'!F15,0)</f>
        <v>0.15321620501621419</v>
      </c>
      <c r="G17" s="71">
        <f>IFERROR('Historical FS'!G15,0)</f>
        <v>0.16413796189602511</v>
      </c>
      <c r="H17" s="71">
        <f>IFERROR('Historical FS'!H15,0)</f>
        <v>0.13231167104172425</v>
      </c>
      <c r="I17" s="71">
        <f>IFERROR('Historical FS'!I15,0)</f>
        <v>0.12273579943028992</v>
      </c>
      <c r="J17" s="71">
        <f>IFERROR('Historical FS'!J15,0)</f>
        <v>0.11574221441788717</v>
      </c>
      <c r="K17" s="71">
        <f>IFERROR('Historical FS'!K15,0)</f>
        <v>0.12322076206324908</v>
      </c>
      <c r="L17" s="71">
        <f>IFERROR('Historical FS'!L15,0)</f>
        <v>0.11555932109950659</v>
      </c>
      <c r="M17" s="71">
        <f>IFERROR('Historical FS'!M15,0)</f>
        <v>0.41082907712569466</v>
      </c>
      <c r="O17" s="32">
        <f>IFERROR(AVERAGE(D17:M17),0)</f>
        <v>0.15920375767756206</v>
      </c>
      <c r="P17" s="5">
        <f t="shared" ref="P17:P18" si="4">IFERROR(MEDIAN(D17:M17),0)</f>
        <v>0.12776621655248666</v>
      </c>
    </row>
    <row r="18" spans="2:16" x14ac:dyDescent="0.3">
      <c r="B18" s="56" t="s">
        <v>155</v>
      </c>
      <c r="C18" s="56"/>
      <c r="D18" s="34">
        <f>IFERROR('Historical FS'!D25,0)</f>
        <v>5.3609406295473325E-2</v>
      </c>
      <c r="E18" s="34">
        <f>IFERROR('Historical FS'!E25,0)</f>
        <v>4.8577525515335437E-2</v>
      </c>
      <c r="F18" s="34">
        <f>IFERROR('Historical FS'!F25,0)</f>
        <v>5.2394201907117376E-2</v>
      </c>
      <c r="G18" s="34">
        <f>IFERROR('Historical FS'!G25,0)</f>
        <v>5.2114960788481539E-2</v>
      </c>
      <c r="H18" s="34">
        <f>IFERROR('Historical FS'!H25,0)</f>
        <v>6.2977082757667877E-2</v>
      </c>
      <c r="I18" s="34">
        <f>IFERROR('Historical FS'!I25,0)</f>
        <v>7.210703403372605E-2</v>
      </c>
      <c r="J18" s="34">
        <f>IFERROR('Historical FS'!J25,0)</f>
        <v>5.2616298389889495E-2</v>
      </c>
      <c r="K18" s="34">
        <f>IFERROR('Historical FS'!K25,0)</f>
        <v>5.0136241512693643E-2</v>
      </c>
      <c r="L18" s="34">
        <f>IFERROR('Historical FS'!L25,0)</f>
        <v>4.9688738138173864E-2</v>
      </c>
      <c r="M18" s="34">
        <f>IFERROR('Historical FS'!M25,0)</f>
        <v>4.9546754039381968E-2</v>
      </c>
      <c r="O18" s="32">
        <f t="shared" ref="O18:O19" si="5">IFERROR(AVERAGE(D18:M18),0)</f>
        <v>5.4376824337794061E-2</v>
      </c>
      <c r="P18" s="5">
        <f t="shared" si="4"/>
        <v>5.2254581347799457E-2</v>
      </c>
    </row>
    <row r="19" spans="2:16" x14ac:dyDescent="0.3">
      <c r="B19" s="72" t="s">
        <v>156</v>
      </c>
      <c r="C19" s="72"/>
      <c r="D19" s="73">
        <f>D13</f>
        <v>-3.1601208890921016E-2</v>
      </c>
      <c r="E19" s="73">
        <f t="shared" ref="E19:M19" si="6">E13</f>
        <v>2.8834296808724673E-2</v>
      </c>
      <c r="F19" s="73">
        <f t="shared" si="6"/>
        <v>7.6960013681781061E-3</v>
      </c>
      <c r="G19" s="73">
        <f t="shared" si="6"/>
        <v>-3.378567353194325E-4</v>
      </c>
      <c r="H19" s="73">
        <f t="shared" si="6"/>
        <v>6.8790584415584333E-2</v>
      </c>
      <c r="I19" s="73">
        <f t="shared" si="6"/>
        <v>2.8249779162903148E-2</v>
      </c>
      <c r="J19" s="73">
        <f t="shared" si="6"/>
        <v>0.13434261108643109</v>
      </c>
      <c r="K19" s="73">
        <f t="shared" si="6"/>
        <v>0.12474514262485631</v>
      </c>
      <c r="L19" s="73">
        <f t="shared" si="6"/>
        <v>0.13421472208399635</v>
      </c>
      <c r="M19" s="73">
        <f t="shared" si="6"/>
        <v>0.15448652468600424</v>
      </c>
      <c r="O19" s="32">
        <f t="shared" si="5"/>
        <v>6.4942059661043772E-2</v>
      </c>
      <c r="P19" s="5">
        <f>IFERROR(MEDIAN(D19:M19),0)</f>
        <v>4.8812440612154506E-2</v>
      </c>
    </row>
    <row r="21" spans="2:16" x14ac:dyDescent="0.3">
      <c r="B21" s="70" t="s">
        <v>157</v>
      </c>
      <c r="C21" s="70"/>
      <c r="D21" s="71">
        <f>IFERROR(('Historical FS'!D17-'Historical FS'!D24)/SUM('Historical FS'!D48:D50),0)</f>
        <v>-2.2209055349404618E-2</v>
      </c>
      <c r="E21" s="71">
        <f>IFERROR(('Historical FS'!E17-'Historical FS'!E24)/SUM('Historical FS'!E48:E50),0)</f>
        <v>1.7916457790765474E-2</v>
      </c>
      <c r="F21" s="71">
        <f>IFERROR(('Historical FS'!F17-'Historical FS'!F24)/SUM('Historical FS'!F48:F50),0)</f>
        <v>5.8267706078434624E-3</v>
      </c>
      <c r="G21" s="71">
        <f>IFERROR(('Historical FS'!G17-'Historical FS'!G24)/SUM('Historical FS'!G48:G50),0)</f>
        <v>-1.7535567589160297E-4</v>
      </c>
      <c r="H21" s="71">
        <f>IFERROR(('Historical FS'!H17-'Historical FS'!H24)/SUM('Historical FS'!H48:H50),0)</f>
        <v>3.8600329240239942E-2</v>
      </c>
      <c r="I21" s="71">
        <f>IFERROR(('Historical FS'!I17-'Historical FS'!I24)/SUM('Historical FS'!I48:I50),0)</f>
        <v>1.4881652628111516E-2</v>
      </c>
      <c r="J21" s="71">
        <f>IFERROR(('Historical FS'!J17-'Historical FS'!J24)/SUM('Historical FS'!J48:J50),0)</f>
        <v>0.10333679977721485</v>
      </c>
      <c r="K21" s="71">
        <f>IFERROR(('Historical FS'!K17-'Historical FS'!K24)/SUM('Historical FS'!K48:K50),0)</f>
        <v>9.6180333227636194E-2</v>
      </c>
      <c r="L21" s="71">
        <f>IFERROR(('Historical FS'!L17-'Historical FS'!L24)/SUM('Historical FS'!L48:L50),0)</f>
        <v>0.1049148834587787</v>
      </c>
      <c r="M21" s="71">
        <f>IFERROR(('Historical FS'!M17-'Historical FS'!M24)/SUM('Historical FS'!M48:M50),0)</f>
        <v>0.10554512878765263</v>
      </c>
      <c r="O21" s="32">
        <f>IFERROR(AVERAGE(D21:M21),0)</f>
        <v>4.6481794449294657E-2</v>
      </c>
      <c r="P21" s="5">
        <f>IFERROR(MEDIAN(D21:M21),0)</f>
        <v>2.825839351550271E-2</v>
      </c>
    </row>
    <row r="22" spans="2:16" x14ac:dyDescent="0.3">
      <c r="B22" s="56" t="s">
        <v>158</v>
      </c>
      <c r="C22" s="56"/>
      <c r="D22" s="34">
        <f>IFERROR('Historical FS'!D44,0)</f>
        <v>0</v>
      </c>
      <c r="E22" s="34">
        <f>IFERROR('Historical FS'!E44,0)</f>
        <v>0</v>
      </c>
      <c r="F22" s="34">
        <f>IFERROR('Historical FS'!F44,0)</f>
        <v>0</v>
      </c>
      <c r="G22" s="34">
        <f>IFERROR('Historical FS'!G44,0)</f>
        <v>0</v>
      </c>
      <c r="H22" s="34">
        <f>IFERROR('Historical FS'!H44,0)</f>
        <v>0</v>
      </c>
      <c r="I22" s="34">
        <f>IFERROR('Historical FS'!I44,0)</f>
        <v>0</v>
      </c>
      <c r="J22" s="34">
        <f>IFERROR('Historical FS'!J44,0)</f>
        <v>1</v>
      </c>
      <c r="K22" s="34">
        <f>IFERROR('Historical FS'!K44,0)</f>
        <v>0.84132321725058323</v>
      </c>
      <c r="L22" s="34">
        <f>IFERROR('Historical FS'!L44,0)</f>
        <v>0.87014997248211312</v>
      </c>
      <c r="M22" s="34">
        <f>IFERROR('Historical FS'!M44,0)</f>
        <v>0.90795601394679726</v>
      </c>
      <c r="O22" s="32">
        <f t="shared" ref="O22:O24" si="7">IFERROR(AVERAGE(D22:M22),0)</f>
        <v>0.36194292036794939</v>
      </c>
      <c r="P22" s="5">
        <f t="shared" ref="P22:P24" si="8">IFERROR(MEDIAN(D22:M22),0)</f>
        <v>0</v>
      </c>
    </row>
    <row r="23" spans="2:16" x14ac:dyDescent="0.3">
      <c r="B23" s="56" t="s">
        <v>159</v>
      </c>
      <c r="C23" s="56"/>
      <c r="D23" s="34">
        <f>IFERROR('Historical FS'!D33/SUM('Historical FS'!D48:D49),0)</f>
        <v>-5.777196962225057E-2</v>
      </c>
      <c r="E23" s="34">
        <f>IFERROR('Historical FS'!E33/SUM('Historical FS'!E48:E49),0)</f>
        <v>-3.3043711565493426E-2</v>
      </c>
      <c r="F23" s="34">
        <f>IFERROR('Historical FS'!F33/SUM('Historical FS'!F48:F49),0)</f>
        <v>-6.0402833275476117E-2</v>
      </c>
      <c r="G23" s="34">
        <f>IFERROR('Historical FS'!G33/SUM('Historical FS'!G48:G49),0)</f>
        <v>-6.8468973457762677E-2</v>
      </c>
      <c r="H23" s="34">
        <f>IFERROR('Historical FS'!H33/SUM('Historical FS'!H48:H49),0)</f>
        <v>-5.1448036282350758E-3</v>
      </c>
      <c r="I23" s="34">
        <f>IFERROR('Historical FS'!I33/SUM('Historical FS'!I48:I49),0)</f>
        <v>-2.4754036481524872E-2</v>
      </c>
      <c r="J23" s="34">
        <f>IFERROR('Historical FS'!J33/SUM('Historical FS'!J48:J49),0)</f>
        <v>6.8535699487232621E-2</v>
      </c>
      <c r="K23" s="34">
        <f>IFERROR('Historical FS'!K33/SUM('Historical FS'!K48:K49),0)</f>
        <v>6.5699104975518702E-2</v>
      </c>
      <c r="L23" s="34">
        <f>IFERROR('Historical FS'!L33/SUM('Historical FS'!L48:L49),0)</f>
        <v>7.5877278836993717E-2</v>
      </c>
      <c r="M23" s="34">
        <f>IFERROR('Historical FS'!M33/SUM('Historical FS'!M48:M49),0)</f>
        <v>9.1993288861573749E-2</v>
      </c>
      <c r="O23" s="32">
        <f t="shared" si="7"/>
        <v>5.2519044130576054E-3</v>
      </c>
      <c r="P23" s="5">
        <f t="shared" si="8"/>
        <v>-1.4949420054879974E-2</v>
      </c>
    </row>
    <row r="24" spans="2:16" x14ac:dyDescent="0.3">
      <c r="B24" s="56" t="s">
        <v>160</v>
      </c>
      <c r="C24" s="56"/>
      <c r="D24" s="34">
        <f>IFERROR(D22*D23,0)</f>
        <v>0</v>
      </c>
      <c r="E24" s="34">
        <f t="shared" ref="E24:M24" si="9">IFERROR(E22*E23,0)</f>
        <v>0</v>
      </c>
      <c r="F24" s="34">
        <f t="shared" si="9"/>
        <v>0</v>
      </c>
      <c r="G24" s="34">
        <f t="shared" si="9"/>
        <v>0</v>
      </c>
      <c r="H24" s="34">
        <f t="shared" si="9"/>
        <v>0</v>
      </c>
      <c r="I24" s="34">
        <f t="shared" si="9"/>
        <v>0</v>
      </c>
      <c r="J24" s="34">
        <f t="shared" si="9"/>
        <v>6.8535699487232621E-2</v>
      </c>
      <c r="K24" s="34">
        <f t="shared" si="9"/>
        <v>5.5274182368487197E-2</v>
      </c>
      <c r="L24" s="34">
        <f t="shared" si="9"/>
        <v>6.6024612092027701E-2</v>
      </c>
      <c r="M24" s="34">
        <f t="shared" si="9"/>
        <v>8.3525859864610807E-2</v>
      </c>
      <c r="O24" s="32">
        <f t="shared" si="7"/>
        <v>2.7336035381235836E-2</v>
      </c>
      <c r="P24" s="5">
        <f t="shared" si="8"/>
        <v>0</v>
      </c>
    </row>
    <row r="25" spans="2:16" x14ac:dyDescent="0.3">
      <c r="B25" s="72" t="s">
        <v>173</v>
      </c>
      <c r="C25" s="72"/>
      <c r="D25" s="74">
        <f>IFERROR(('Historical FS'!D17-'Historical FS'!D24)/'Historical FS'!D21,0)</f>
        <v>-0.99729425028184393</v>
      </c>
      <c r="E25" s="74">
        <f>IFERROR(('Historical FS'!E17-'Historical FS'!E24)/'Historical FS'!E21,0)</f>
        <v>0.57479079497908048</v>
      </c>
      <c r="F25" s="74">
        <f>IFERROR(('Historical FS'!F17-'Historical FS'!F24)/'Historical FS'!F21,0)</f>
        <v>0.13615733736762631</v>
      </c>
      <c r="G25" s="74">
        <f>IFERROR(('Historical FS'!G17-'Historical FS'!G24)/'Historical FS'!G21,0)</f>
        <v>-4.4829736068637167E-3</v>
      </c>
      <c r="H25" s="74">
        <f>IFERROR(('Historical FS'!H17-'Historical FS'!H24)/'Historical FS'!H21,0)</f>
        <v>1.5539841997464139</v>
      </c>
      <c r="I25" s="74">
        <f>IFERROR(('Historical FS'!I17-'Historical FS'!I24)/'Historical FS'!I21,0)</f>
        <v>0.6863395225464145</v>
      </c>
      <c r="J25" s="74">
        <f>IFERROR(('Historical FS'!J17-'Historical FS'!J24)/'Historical FS'!J21,0)</f>
        <v>5.2306435137895821</v>
      </c>
      <c r="K25" s="74">
        <f>IFERROR(('Historical FS'!K17-'Historical FS'!K24)/'Historical FS'!K21,0)</f>
        <v>6.0856766596947871</v>
      </c>
      <c r="L25" s="74">
        <f>IFERROR(('Historical FS'!L17-'Historical FS'!L24)/'Historical FS'!L21,0)</f>
        <v>7.0647575410461956</v>
      </c>
      <c r="M25" s="74">
        <f>IFERROR(('Historical FS'!M17-'Historical FS'!M24)/'Historical FS'!M21,0)</f>
        <v>6.5198741933734583</v>
      </c>
      <c r="O25" s="40">
        <f>IFERROR(AVERAGE(D25:M25),0)</f>
        <v>2.6850446538654849</v>
      </c>
      <c r="P25" s="5">
        <f>IFERROR(MEDIAN(D25:M25),0)</f>
        <v>1.1201618611464141</v>
      </c>
    </row>
    <row r="27" spans="2:16" x14ac:dyDescent="0.3">
      <c r="B27" s="70" t="s">
        <v>161</v>
      </c>
      <c r="C27" s="70"/>
      <c r="D27" s="75">
        <f>IFERROR('Historical FS'!D5/'Historical FS'!D60,0)</f>
        <v>9.4556816646399149</v>
      </c>
      <c r="E27" s="75">
        <f>IFERROR('Historical FS'!E5/'Historical FS'!E60,0)</f>
        <v>9.6708250518036127</v>
      </c>
      <c r="F27" s="75">
        <f>IFERROR('Historical FS'!F5/'Historical FS'!F60,0)</f>
        <v>9.699929815606458</v>
      </c>
      <c r="G27" s="75">
        <f>IFERROR('Historical FS'!G5/'Historical FS'!G60,0)</f>
        <v>8.2396482430588858</v>
      </c>
      <c r="H27" s="75">
        <f>IFERROR('Historical FS'!H5/'Historical FS'!H60,0)</f>
        <v>10.097039975587428</v>
      </c>
      <c r="I27" s="75">
        <f>IFERROR('Historical FS'!I5/'Historical FS'!I60,0)</f>
        <v>8.8040020971688229</v>
      </c>
      <c r="J27" s="75">
        <f>IFERROR('Historical FS'!J5/'Historical FS'!J60,0)</f>
        <v>11.163519925024895</v>
      </c>
      <c r="K27" s="75">
        <f>IFERROR('Historical FS'!K5/'Historical FS'!K60,0)</f>
        <v>10.827943123398841</v>
      </c>
      <c r="L27" s="75">
        <f>IFERROR('Historical FS'!L5/'Historical FS'!L60,0)</f>
        <v>10.97894334453594</v>
      </c>
      <c r="M27" s="75">
        <f>IFERROR('Historical FS'!M5/'Historical FS'!M60,0)</f>
        <v>9.9207765554691587</v>
      </c>
      <c r="O27" s="40">
        <f>IFERROR(AVERAGE(D27:M27),0)</f>
        <v>9.8858309796293966</v>
      </c>
      <c r="P27" s="41">
        <f>IFERROR(MEDIAN(D27:M27),0)</f>
        <v>9.8103531855378083</v>
      </c>
    </row>
    <row r="28" spans="2:16" x14ac:dyDescent="0.3">
      <c r="B28" s="56" t="s">
        <v>162</v>
      </c>
      <c r="C28" s="56"/>
      <c r="D28" s="76">
        <f>IFERROR('Historical FS'!D5/'Historical FS'!D51,0)</f>
        <v>3.3396883724259707</v>
      </c>
      <c r="E28" s="76">
        <f>IFERROR('Historical FS'!E5/'Historical FS'!E51,0)</f>
        <v>2.0535094532768818</v>
      </c>
      <c r="F28" s="76">
        <f>IFERROR('Historical FS'!F5/'Historical FS'!F51,0)</f>
        <v>1.8580286395209094</v>
      </c>
      <c r="G28" s="76">
        <f>IFERROR('Historical FS'!G5/'Historical FS'!G51,0)</f>
        <v>1.5546268179082883</v>
      </c>
      <c r="H28" s="76">
        <f>IFERROR('Historical FS'!H5/'Historical FS'!H51,0)</f>
        <v>1.6657988233771088</v>
      </c>
      <c r="I28" s="76">
        <f>IFERROR('Historical FS'!I5/'Historical FS'!I51,0)</f>
        <v>1.2533026495832815</v>
      </c>
      <c r="J28" s="76">
        <f>IFERROR('Historical FS'!J5/'Historical FS'!J51,0)</f>
        <v>1.4005295813563847</v>
      </c>
      <c r="K28" s="76">
        <f>IFERROR('Historical FS'!K5/'Historical FS'!K51,0)</f>
        <v>1.6059877338161603</v>
      </c>
      <c r="L28" s="76">
        <f>IFERROR('Historical FS'!L5/'Historical FS'!L51,0)</f>
        <v>1.6595585367380448</v>
      </c>
      <c r="M28" s="76">
        <f>IFERROR('Historical FS'!M5/'Historical FS'!M51,0)</f>
        <v>3.38393676274289</v>
      </c>
      <c r="O28" s="40">
        <f t="shared" ref="O28:O31" si="10">IFERROR(AVERAGE(D28:M28),0)</f>
        <v>1.9774967370745919</v>
      </c>
      <c r="P28" s="41">
        <f t="shared" ref="P28:P31" si="11">IFERROR(MEDIAN(D28:M28),0)</f>
        <v>1.6626786800575768</v>
      </c>
    </row>
    <row r="29" spans="2:16" x14ac:dyDescent="0.3">
      <c r="B29" s="56" t="s">
        <v>163</v>
      </c>
      <c r="C29" s="56"/>
      <c r="D29" s="76">
        <f>IFERROR('Historical FS'!D5/'Historical FS'!D61,0)</f>
        <v>69.934876748834114</v>
      </c>
      <c r="E29" s="76">
        <f>IFERROR('Historical FS'!E5/'Historical FS'!E61,0)</f>
        <v>74.284878999512756</v>
      </c>
      <c r="F29" s="76">
        <f>IFERROR('Historical FS'!F5/'Historical FS'!F61,0)</f>
        <v>68.449797388563724</v>
      </c>
      <c r="G29" s="76">
        <f>IFERROR('Historical FS'!G5/'Historical FS'!G61,0)</f>
        <v>79.061560233504338</v>
      </c>
      <c r="H29" s="76">
        <f>IFERROR('Historical FS'!H5/'Historical FS'!H61,0)</f>
        <v>59.251982604246599</v>
      </c>
      <c r="I29" s="76">
        <f>IFERROR('Historical FS'!I5/'Historical FS'!I61,0)</f>
        <v>52.50286607608129</v>
      </c>
      <c r="J29" s="76">
        <f>IFERROR('Historical FS'!J5/'Historical FS'!J61,0)</f>
        <v>46.52253864930838</v>
      </c>
      <c r="K29" s="76">
        <f>IFERROR('Historical FS'!K5/'Historical FS'!K61,0)</f>
        <v>51.267014001953761</v>
      </c>
      <c r="L29" s="76">
        <f>IFERROR('Historical FS'!L5/'Historical FS'!L61,0)</f>
        <v>64.167845838763725</v>
      </c>
      <c r="M29" s="76">
        <f>IFERROR('Historical FS'!M5/'Historical FS'!M61,0)</f>
        <v>67.5</v>
      </c>
      <c r="O29" s="40">
        <f t="shared" si="10"/>
        <v>63.294336054076872</v>
      </c>
      <c r="P29" s="41">
        <f t="shared" si="11"/>
        <v>65.833922919381862</v>
      </c>
    </row>
    <row r="30" spans="2:16" x14ac:dyDescent="0.3">
      <c r="B30" s="56" t="s">
        <v>164</v>
      </c>
      <c r="C30" s="56"/>
      <c r="D30" s="76">
        <f>IFERROR('Historical FS'!D5/'Historical FS'!D54,0)</f>
        <v>1.153059711329335</v>
      </c>
      <c r="E30" s="76">
        <f>IFERROR('Historical FS'!E5/'Historical FS'!E54,0)</f>
        <v>0.84400927101479239</v>
      </c>
      <c r="F30" s="76">
        <f>IFERROR('Historical FS'!F5/'Historical FS'!F54,0)</f>
        <v>0.91361464728918984</v>
      </c>
      <c r="G30" s="76">
        <f>IFERROR('Historical FS'!G5/'Historical FS'!G54,0)</f>
        <v>0.52724992685850192</v>
      </c>
      <c r="H30" s="76">
        <f>IFERROR('Historical FS'!H5/'Historical FS'!H54,0)</f>
        <v>0.52625946480201302</v>
      </c>
      <c r="I30" s="76">
        <f>IFERROR('Historical FS'!I5/'Historical FS'!I54,0)</f>
        <v>0.45801606531591937</v>
      </c>
      <c r="J30" s="76">
        <f>IFERROR('Historical FS'!J5/'Historical FS'!J54,0)</f>
        <v>0.60724322142804033</v>
      </c>
      <c r="K30" s="76">
        <f>IFERROR('Historical FS'!K5/'Historical FS'!K54,0)</f>
        <v>0.66808608597777097</v>
      </c>
      <c r="L30" s="76">
        <f>IFERROR('Historical FS'!L5/'Historical FS'!L54,0)</f>
        <v>0.698111640578712</v>
      </c>
      <c r="M30" s="76">
        <f>IFERROR('Historical FS'!M5/'Historical FS'!M54,0)</f>
        <v>0.74644580445234743</v>
      </c>
      <c r="O30" s="40">
        <f t="shared" si="10"/>
        <v>0.71420958390466216</v>
      </c>
      <c r="P30" s="41">
        <f t="shared" si="11"/>
        <v>0.68309886327824154</v>
      </c>
    </row>
    <row r="31" spans="2:16" x14ac:dyDescent="0.3">
      <c r="B31" s="72" t="s">
        <v>165</v>
      </c>
      <c r="C31" s="72"/>
      <c r="D31" s="74">
        <f>IFERROR('Historical FS'!D5/SUM('Historical FS'!D48:D49),0)</f>
        <v>0.9412103578441483</v>
      </c>
      <c r="E31" s="74">
        <f>IFERROR('Historical FS'!E5/SUM('Historical FS'!E48:E49),0)</f>
        <v>0.88922502036554951</v>
      </c>
      <c r="F31" s="74">
        <f>IFERROR('Historical FS'!F5/SUM('Historical FS'!F48:F49),0)</f>
        <v>1.1228737508401594</v>
      </c>
      <c r="G31" s="74">
        <f>IFERROR('Historical FS'!G5/SUM('Historical FS'!G48:G49),0)</f>
        <v>0.67709217064598237</v>
      </c>
      <c r="H31" s="74">
        <f>IFERROR('Historical FS'!H5/SUM('Historical FS'!H48:H49),0)</f>
        <v>0.69542972696660754</v>
      </c>
      <c r="I31" s="74">
        <f>IFERROR('Historical FS'!I5/SUM('Historical FS'!I48:I49),0)</f>
        <v>0.65853678463873877</v>
      </c>
      <c r="J31" s="74">
        <f>IFERROR('Historical FS'!J5/SUM('Historical FS'!J48:J49),0)</f>
        <v>0.92544478686486764</v>
      </c>
      <c r="K31" s="74">
        <f>IFERROR('Historical FS'!K5/SUM('Historical FS'!K48:K49),0)</f>
        <v>0.86956833916484633</v>
      </c>
      <c r="L31" s="74">
        <f>IFERROR('Historical FS'!L5/SUM('Historical FS'!L48:L49),0)</f>
        <v>0.89951715408004806</v>
      </c>
      <c r="M31" s="74">
        <f>IFERROR('Historical FS'!M5/SUM('Historical FS'!M48:M49),0)</f>
        <v>0.87284613279620293</v>
      </c>
      <c r="O31" s="40">
        <f t="shared" si="10"/>
        <v>0.85517442242071495</v>
      </c>
      <c r="P31" s="41">
        <f t="shared" si="11"/>
        <v>0.88103557658087617</v>
      </c>
    </row>
    <row r="33" spans="2:16" x14ac:dyDescent="0.3">
      <c r="B33" s="33" t="s">
        <v>45</v>
      </c>
      <c r="C33" s="33"/>
      <c r="D33" s="36">
        <f>IFERROR(365/D27,0)</f>
        <v>38.601130298721799</v>
      </c>
      <c r="E33" s="36">
        <f t="shared" ref="E33:M33" si="12">IFERROR(365/E27,0)</f>
        <v>37.742384754641733</v>
      </c>
      <c r="F33" s="36">
        <f t="shared" si="12"/>
        <v>37.62913824518013</v>
      </c>
      <c r="G33" s="36">
        <f t="shared" si="12"/>
        <v>44.298007540246338</v>
      </c>
      <c r="H33" s="36">
        <f t="shared" si="12"/>
        <v>36.149208172146999</v>
      </c>
      <c r="I33" s="36">
        <f t="shared" si="12"/>
        <v>41.458418111619501</v>
      </c>
      <c r="J33" s="36">
        <f t="shared" si="12"/>
        <v>32.695780761925413</v>
      </c>
      <c r="K33" s="36">
        <f t="shared" si="12"/>
        <v>33.709079909299355</v>
      </c>
      <c r="L33" s="36">
        <f t="shared" si="12"/>
        <v>33.245458014104351</v>
      </c>
      <c r="M33" s="36">
        <f t="shared" si="12"/>
        <v>36.791474735793905</v>
      </c>
      <c r="O33" s="39">
        <f>IFERROR(AVERAGE(D33:M33),0)</f>
        <v>37.232008054367952</v>
      </c>
      <c r="P33" s="42">
        <f>IFERROR(MEDIAN(D33:M33),0)</f>
        <v>37.210306490487014</v>
      </c>
    </row>
    <row r="34" spans="2:16" x14ac:dyDescent="0.3">
      <c r="B34" t="s">
        <v>166</v>
      </c>
      <c r="D34" s="37">
        <f>IFERROR(365/D28,0)</f>
        <v>109.29163421761464</v>
      </c>
      <c r="E34" s="37">
        <f t="shared" ref="E34:M34" si="13">IFERROR(365/E28,0)</f>
        <v>177.7444946345644</v>
      </c>
      <c r="F34" s="37">
        <f t="shared" si="13"/>
        <v>196.44476529388419</v>
      </c>
      <c r="G34" s="37">
        <f t="shared" si="13"/>
        <v>234.78303332699383</v>
      </c>
      <c r="H34" s="37">
        <f t="shared" si="13"/>
        <v>219.11409401768447</v>
      </c>
      <c r="I34" s="37">
        <f t="shared" si="13"/>
        <v>291.23053407838972</v>
      </c>
      <c r="J34" s="37">
        <f t="shared" si="13"/>
        <v>260.61570198789008</v>
      </c>
      <c r="K34" s="37">
        <f t="shared" si="13"/>
        <v>227.27446313222094</v>
      </c>
      <c r="L34" s="37">
        <f t="shared" si="13"/>
        <v>219.93800876552865</v>
      </c>
      <c r="M34" s="37">
        <f t="shared" si="13"/>
        <v>107.862535736083</v>
      </c>
      <c r="O34" s="39">
        <f t="shared" ref="O34:O36" si="14">IFERROR(AVERAGE(D34:M34),0)</f>
        <v>204.42992651908537</v>
      </c>
      <c r="P34" s="42">
        <f t="shared" ref="P34:P36" si="15">IFERROR(MEDIAN(D34:M34),0)</f>
        <v>219.52605139160656</v>
      </c>
    </row>
    <row r="35" spans="2:16" x14ac:dyDescent="0.3">
      <c r="B35" t="s">
        <v>167</v>
      </c>
      <c r="D35" s="37">
        <f>IFERROR(365/D29,0)</f>
        <v>5.2191412492349167</v>
      </c>
      <c r="E35" s="37">
        <f t="shared" ref="E35:M35" si="16">IFERROR(365/E29,0)</f>
        <v>4.9135167872104102</v>
      </c>
      <c r="F35" s="37">
        <f t="shared" si="16"/>
        <v>5.332375170200029</v>
      </c>
      <c r="G35" s="37">
        <f t="shared" si="16"/>
        <v>4.6166556658127016</v>
      </c>
      <c r="H35" s="37">
        <f t="shared" si="16"/>
        <v>6.1601314244266385</v>
      </c>
      <c r="I35" s="37">
        <f t="shared" si="16"/>
        <v>6.9520014292378391</v>
      </c>
      <c r="J35" s="37">
        <f t="shared" si="16"/>
        <v>7.8456595576481121</v>
      </c>
      <c r="K35" s="37">
        <f t="shared" si="16"/>
        <v>7.1195876550580852</v>
      </c>
      <c r="L35" s="37">
        <f t="shared" si="16"/>
        <v>5.6882071577896713</v>
      </c>
      <c r="M35" s="37">
        <f t="shared" si="16"/>
        <v>5.4074074074074074</v>
      </c>
      <c r="O35" s="39">
        <f t="shared" si="14"/>
        <v>5.9254683504025802</v>
      </c>
      <c r="P35" s="42">
        <f t="shared" si="15"/>
        <v>5.5478072825985389</v>
      </c>
    </row>
    <row r="36" spans="2:16" x14ac:dyDescent="0.3">
      <c r="B36" s="35" t="s">
        <v>168</v>
      </c>
      <c r="C36" s="35"/>
      <c r="D36" s="38">
        <f>IFERROR(SUM(D33,D35)-D34,0)</f>
        <v>-65.471362669657935</v>
      </c>
      <c r="E36" s="38">
        <f t="shared" ref="E36:M36" si="17">IFERROR(SUM(E33,E35)-E34,0)</f>
        <v>-135.08859309271224</v>
      </c>
      <c r="F36" s="38">
        <f t="shared" si="17"/>
        <v>-153.48325187850403</v>
      </c>
      <c r="G36" s="38">
        <f t="shared" si="17"/>
        <v>-185.8683701209348</v>
      </c>
      <c r="H36" s="38">
        <f t="shared" si="17"/>
        <v>-176.80475442111083</v>
      </c>
      <c r="I36" s="38">
        <f t="shared" si="17"/>
        <v>-242.82011453753239</v>
      </c>
      <c r="J36" s="38">
        <f t="shared" si="17"/>
        <v>-220.07426166831655</v>
      </c>
      <c r="K36" s="38">
        <f t="shared" si="17"/>
        <v>-186.44579556786351</v>
      </c>
      <c r="L36" s="38">
        <f t="shared" si="17"/>
        <v>-181.00434359363464</v>
      </c>
      <c r="M36" s="38">
        <f t="shared" si="17"/>
        <v>-65.663653592881701</v>
      </c>
      <c r="O36" s="39">
        <f t="shared" si="14"/>
        <v>-161.27245011431484</v>
      </c>
      <c r="P36" s="42">
        <f t="shared" si="15"/>
        <v>-178.90454900737274</v>
      </c>
    </row>
    <row r="38" spans="2:16" x14ac:dyDescent="0.3">
      <c r="B38" s="70" t="s">
        <v>169</v>
      </c>
      <c r="C38" s="70"/>
      <c r="D38" s="71">
        <f>IFERROR('Historical FS'!D80/'Historical FS'!D5,0)</f>
        <v>7.5877196116116394</v>
      </c>
      <c r="E38" s="71">
        <f>IFERROR('Historical FS'!E80/'Historical FS'!E5,0)</f>
        <v>8.5733276195307102</v>
      </c>
      <c r="F38" s="71">
        <f>IFERROR('Historical FS'!F80/'Historical FS'!F5,0)</f>
        <v>7.3351005632771367</v>
      </c>
      <c r="G38" s="71">
        <f>IFERROR('Historical FS'!G80/'Historical FS'!G5,0)</f>
        <v>3.8983297347489003</v>
      </c>
      <c r="H38" s="71">
        <f>IFERROR('Historical FS'!H80/'Historical FS'!H5,0)</f>
        <v>2.5194718844984805</v>
      </c>
      <c r="I38" s="71">
        <f>IFERROR('Historical FS'!I80/'Historical FS'!I5,0)</f>
        <v>7.865274483141941</v>
      </c>
      <c r="J38" s="71">
        <f>IFERROR('Historical FS'!J80/'Historical FS'!J5,0)</f>
        <v>5.0557749553135745</v>
      </c>
      <c r="K38" s="71">
        <f>IFERROR('Historical FS'!K80/'Historical FS'!K5,0)</f>
        <v>0.56084501495798422</v>
      </c>
      <c r="L38" s="71">
        <f>IFERROR('Historical FS'!L80/'Historical FS'!L5,0)</f>
        <v>4.6803164410967213</v>
      </c>
      <c r="M38" s="71">
        <f>IFERROR('Historical FS'!M80/'Historical FS'!M5,0)</f>
        <v>9.6676624586425106</v>
      </c>
      <c r="O38" s="32">
        <f>IFERROR(AVERAGE(D38:M38),0)</f>
        <v>5.7743822766819592</v>
      </c>
      <c r="P38" s="5">
        <f>IFERROR(MEDIAN(D38:M38),0)</f>
        <v>6.1954377592953556</v>
      </c>
    </row>
    <row r="39" spans="2:16" x14ac:dyDescent="0.3">
      <c r="B39" s="56" t="s">
        <v>170</v>
      </c>
      <c r="C39" s="56"/>
      <c r="D39" s="34">
        <f>IFERROR('Historical FS'!D80/'Historical FS'!D65,0)</f>
        <v>4.4055056375538237</v>
      </c>
      <c r="E39" s="34">
        <f>IFERROR('Historical FS'!E80/'Historical FS'!E65,0)</f>
        <v>4.089652798781823</v>
      </c>
      <c r="F39" s="34">
        <f>IFERROR('Historical FS'!F80/'Historical FS'!F65,0)</f>
        <v>3.945712543506747</v>
      </c>
      <c r="G39" s="34">
        <f>IFERROR('Historical FS'!G80/'Historical FS'!G65,0)</f>
        <v>1.5168980510084504</v>
      </c>
      <c r="H39" s="34">
        <f>IFERROR('Historical FS'!H80/'Historical FS'!H65,0)</f>
        <v>1.0575188402540363</v>
      </c>
      <c r="I39" s="34">
        <f>IFERROR('Historical FS'!I80/'Historical FS'!I65,0)</f>
        <v>2.9171835714469774</v>
      </c>
      <c r="J39" s="34">
        <f>IFERROR('Historical FS'!J80/'Historical FS'!J65,0)</f>
        <v>2.5102382498931886</v>
      </c>
      <c r="K39" s="34">
        <f>IFERROR('Historical FS'!K80/'Historical FS'!K65,0)</f>
        <v>0.29215821541953496</v>
      </c>
      <c r="L39" s="34">
        <f>IFERROR('Historical FS'!L80/'Historical FS'!L65,0)</f>
        <v>2.487092728061878</v>
      </c>
      <c r="M39" s="34">
        <f>IFERROR('Historical FS'!M80/'Historical FS'!M65,0)</f>
        <v>5.4954413422020769</v>
      </c>
      <c r="O39" s="32">
        <f t="shared" ref="O39:O40" si="18">IFERROR(AVERAGE(D39:M39),0)</f>
        <v>2.8717401978128536</v>
      </c>
      <c r="P39" s="5">
        <f t="shared" ref="P39:P40" si="19">IFERROR(MEDIAN(D39:M39),0)</f>
        <v>2.7137109106700832</v>
      </c>
    </row>
    <row r="40" spans="2:16" x14ac:dyDescent="0.3">
      <c r="B40" s="72" t="s">
        <v>171</v>
      </c>
      <c r="C40" s="72"/>
      <c r="D40" s="73">
        <f>IFERROR('Historical FS'!D80/'Historical FS'!D50,0)</f>
        <v>21.051518735587372</v>
      </c>
      <c r="E40" s="73">
        <f>IFERROR('Historical FS'!E80/'Historical FS'!E50,0)</f>
        <v>17.68425230230817</v>
      </c>
      <c r="F40" s="73">
        <f>IFERROR('Historical FS'!F80/'Historical FS'!F50,0)</f>
        <v>17.049317344395803</v>
      </c>
      <c r="G40" s="73">
        <f>IFERROR('Historical FS'!G80/'Historical FS'!G50,0)</f>
        <v>8.6669949807737279</v>
      </c>
      <c r="H40" s="73">
        <f>IFERROR('Historical FS'!H80/'Historical FS'!H50,0)</f>
        <v>7.3205459517776053</v>
      </c>
      <c r="I40" s="73">
        <f>IFERROR('Historical FS'!I80/'Historical FS'!I50,0)</f>
        <v>20.710202214890074</v>
      </c>
      <c r="J40" s="73">
        <f>IFERROR('Historical FS'!J80/'Historical FS'!J50,0)</f>
        <v>23.034750942283633</v>
      </c>
      <c r="K40" s="73">
        <f>IFERROR('Historical FS'!K80/'Historical FS'!K50,0)</f>
        <v>3.8153673317273933</v>
      </c>
      <c r="L40" s="73">
        <f>IFERROR('Historical FS'!L80/'Historical FS'!L50,0)</f>
        <v>27.931359901645873</v>
      </c>
      <c r="M40" s="73">
        <f>IFERROR('Historical FS'!M80/'Historical FS'!M50,0)</f>
        <v>30.399175790877138</v>
      </c>
      <c r="O40" s="32">
        <f t="shared" si="18"/>
        <v>17.766348549626677</v>
      </c>
      <c r="P40" s="5">
        <f t="shared" si="19"/>
        <v>19.197227258599121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08E476B-3467-421F-96B7-D51E9C81F8C0}">
          <x14:colorSeries theme="2" tint="-0.499984740745262"/>
          <x14:colorNegative theme="5"/>
          <x14:colorAxis rgb="FF000000"/>
          <x14:colorMarkers theme="1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  <x14:sparklineGroup displayEmptyCellsAs="gap" markers="1" xr2:uid="{F518F338-9286-44AF-B081-22646AD0D2C8}">
          <x14:colorSeries theme="2" tint="-0.49998474074526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D59-AF85-4E5C-AB94-4B7E0B8C7D5C}">
  <dimension ref="B2:O18"/>
  <sheetViews>
    <sheetView showGridLines="0" tabSelected="1" workbookViewId="0">
      <selection activeCell="J21" sqref="J21"/>
    </sheetView>
  </sheetViews>
  <sheetFormatPr defaultRowHeight="14.4" x14ac:dyDescent="0.3"/>
  <cols>
    <col min="1" max="1" width="2.33203125" customWidth="1"/>
    <col min="2" max="2" width="12.88671875" customWidth="1"/>
    <col min="4" max="4" width="9.5546875" bestFit="1" customWidth="1"/>
    <col min="5" max="5" width="11.6640625" bestFit="1" customWidth="1"/>
    <col min="7" max="7" width="14.77734375" customWidth="1"/>
    <col min="9" max="9" width="8.77734375" customWidth="1"/>
    <col min="10" max="10" width="17.6640625" customWidth="1"/>
    <col min="12" max="12" width="13" customWidth="1"/>
    <col min="14" max="14" width="8.6640625" customWidth="1"/>
    <col min="15" max="15" width="14.44140625" customWidth="1"/>
  </cols>
  <sheetData>
    <row r="2" spans="2:15" x14ac:dyDescent="0.3">
      <c r="B2" s="47" t="str">
        <f>'Data Sheet'!$B$1&amp;" -" &amp;'Data Sheet'!A17</f>
        <v>FORTIS HEALTHCARE LTD -Sales</v>
      </c>
      <c r="C2" s="47"/>
      <c r="D2" s="47"/>
      <c r="E2" s="47"/>
      <c r="G2" s="48" t="str">
        <f>'Data Sheet'!$B$1&amp;" - "&amp;'Historical FS'!B17</f>
        <v>FORTIS HEALTHCARE LTD - EBITDA</v>
      </c>
      <c r="H2" s="48"/>
      <c r="I2" s="48"/>
      <c r="J2" s="48"/>
      <c r="L2" s="48" t="str">
        <f>'Data Sheet'!B1&amp; " - " &amp;'Historical FS'!B38</f>
        <v>FORTIS HEALTHCARE LTD - EPS(Earning per share)</v>
      </c>
      <c r="M2" s="48"/>
      <c r="N2" s="48"/>
      <c r="O2" s="48"/>
    </row>
    <row r="3" spans="2:15" x14ac:dyDescent="0.3">
      <c r="B3" s="67" t="s">
        <v>177</v>
      </c>
      <c r="C3" s="67" t="s">
        <v>178</v>
      </c>
      <c r="D3" s="81" t="s">
        <v>6</v>
      </c>
      <c r="E3" s="81" t="s">
        <v>22</v>
      </c>
      <c r="G3" s="67" t="s">
        <v>177</v>
      </c>
      <c r="H3" s="67" t="s">
        <v>178</v>
      </c>
      <c r="I3" s="81" t="s">
        <v>6</v>
      </c>
      <c r="J3" s="81" t="s">
        <v>22</v>
      </c>
      <c r="L3" s="67" t="s">
        <v>177</v>
      </c>
      <c r="M3" s="67" t="s">
        <v>178</v>
      </c>
      <c r="N3" s="81" t="s">
        <v>6</v>
      </c>
      <c r="O3" s="81" t="s">
        <v>22</v>
      </c>
    </row>
    <row r="4" spans="2:15" x14ac:dyDescent="0.3">
      <c r="B4">
        <v>1</v>
      </c>
      <c r="C4" s="44">
        <v>2015</v>
      </c>
      <c r="D4" s="45">
        <f t="array" ref="D4:D13">TRANSPOSE('Data Sheet'!B17:K17)</f>
        <v>4198.8900000000003</v>
      </c>
      <c r="G4">
        <v>1</v>
      </c>
      <c r="H4" s="44">
        <v>2015</v>
      </c>
      <c r="I4" s="45">
        <f t="array" ref="I4:I13">TRANSPOSE('Historical FS'!D17:M17)</f>
        <v>92.41000000000065</v>
      </c>
      <c r="L4">
        <v>1</v>
      </c>
      <c r="M4" s="44">
        <v>2015</v>
      </c>
      <c r="N4" s="45">
        <f t="array" ref="N4:N13">TRANSPOSE('Historical FS'!D38:M38)</f>
        <v>-5.5653206650831208</v>
      </c>
    </row>
    <row r="5" spans="2:15" x14ac:dyDescent="0.3">
      <c r="B5">
        <f>B4+1</f>
        <v>2</v>
      </c>
      <c r="C5" s="44">
        <f>C4+1</f>
        <v>2016</v>
      </c>
      <c r="D5" s="45">
        <v>4573.72</v>
      </c>
      <c r="E5" s="29">
        <f>D5/D4-1</f>
        <v>8.9268830571889168E-2</v>
      </c>
      <c r="G5">
        <f>G4+1</f>
        <v>2</v>
      </c>
      <c r="H5" s="44">
        <f>H4+1</f>
        <v>2016</v>
      </c>
      <c r="I5" s="45">
        <v>354.06000000000023</v>
      </c>
      <c r="J5" s="29">
        <f>I5/I4-1</f>
        <v>2.831403527756712</v>
      </c>
      <c r="L5">
        <f>L4+1</f>
        <v>2</v>
      </c>
      <c r="M5" s="44">
        <f>M4+1</f>
        <v>2016</v>
      </c>
      <c r="N5" s="45">
        <v>-3.2829824222522652</v>
      </c>
      <c r="O5" s="29">
        <f>N5/N4-1</f>
        <v>-0.41010004277925427</v>
      </c>
    </row>
    <row r="6" spans="2:15" x14ac:dyDescent="0.3">
      <c r="B6">
        <f t="shared" ref="B6:B18" si="0">B5+1</f>
        <v>3</v>
      </c>
      <c r="C6" s="44">
        <f t="shared" ref="C6:C18" si="1">C5+1</f>
        <v>2017</v>
      </c>
      <c r="D6" s="45">
        <v>4560.8100000000004</v>
      </c>
      <c r="E6" s="29">
        <f t="shared" ref="E6:E18" si="2">D6/D5-1</f>
        <v>-2.8226476478664386E-3</v>
      </c>
      <c r="G6">
        <f t="shared" ref="G6:H18" si="3">G5+1</f>
        <v>3</v>
      </c>
      <c r="H6" s="44">
        <f t="shared" si="3"/>
        <v>2017</v>
      </c>
      <c r="I6" s="45">
        <v>274.0600000000004</v>
      </c>
      <c r="J6" s="29">
        <f t="shared" ref="J6:J18" si="4">I6/I5-1</f>
        <v>-0.22595040388634635</v>
      </c>
      <c r="L6">
        <f t="shared" ref="L6:M6" si="5">L5+1</f>
        <v>3</v>
      </c>
      <c r="M6" s="44">
        <f t="shared" si="5"/>
        <v>2017</v>
      </c>
      <c r="N6" s="45">
        <v>-4.7299016772700906</v>
      </c>
      <c r="O6" s="29">
        <f t="shared" ref="O6:O18" si="6">N6/N5-1</f>
        <v>0.44073317152431701</v>
      </c>
    </row>
    <row r="7" spans="2:15" x14ac:dyDescent="0.3">
      <c r="B7">
        <f t="shared" si="0"/>
        <v>4</v>
      </c>
      <c r="C7" s="44">
        <f t="shared" si="1"/>
        <v>2018</v>
      </c>
      <c r="D7" s="45">
        <v>4469.3500000000004</v>
      </c>
      <c r="E7" s="29">
        <f t="shared" si="2"/>
        <v>-2.0053455416910615E-2</v>
      </c>
      <c r="G7">
        <f t="shared" si="3"/>
        <v>4</v>
      </c>
      <c r="H7" s="44">
        <f t="shared" si="3"/>
        <v>2018</v>
      </c>
      <c r="I7" s="45">
        <v>231.41000000000008</v>
      </c>
      <c r="J7" s="29">
        <f t="shared" si="4"/>
        <v>-0.15562285630883843</v>
      </c>
      <c r="L7">
        <f t="shared" ref="L7:M7" si="7">L6+1</f>
        <v>4</v>
      </c>
      <c r="M7" s="44">
        <f t="shared" si="7"/>
        <v>2018</v>
      </c>
      <c r="N7" s="45">
        <v>-5.9860927152317869</v>
      </c>
      <c r="O7" s="29">
        <f t="shared" si="6"/>
        <v>0.26558502135433804</v>
      </c>
    </row>
    <row r="8" spans="2:15" x14ac:dyDescent="0.3">
      <c r="B8">
        <f t="shared" si="0"/>
        <v>5</v>
      </c>
      <c r="C8" s="44">
        <f t="shared" si="1"/>
        <v>2019</v>
      </c>
      <c r="D8" s="45">
        <v>4632.32</v>
      </c>
      <c r="E8" s="29">
        <f t="shared" si="2"/>
        <v>3.6463915334444374E-2</v>
      </c>
      <c r="G8">
        <f t="shared" si="3"/>
        <v>5</v>
      </c>
      <c r="H8" s="44">
        <f t="shared" si="3"/>
        <v>2019</v>
      </c>
      <c r="I8" s="45">
        <v>610.38999999999965</v>
      </c>
      <c r="J8" s="29">
        <f t="shared" si="4"/>
        <v>1.6376993215504925</v>
      </c>
      <c r="L8">
        <f t="shared" ref="L8:M8" si="8">L7+1</f>
        <v>5</v>
      </c>
      <c r="M8" s="44">
        <f t="shared" si="8"/>
        <v>2019</v>
      </c>
      <c r="N8" s="45">
        <v>-0.45390728476821696</v>
      </c>
      <c r="O8" s="29">
        <f t="shared" si="6"/>
        <v>-0.92417302798982104</v>
      </c>
    </row>
    <row r="9" spans="2:15" x14ac:dyDescent="0.3">
      <c r="B9">
        <f t="shared" si="0"/>
        <v>6</v>
      </c>
      <c r="C9" s="44">
        <f t="shared" si="1"/>
        <v>2020</v>
      </c>
      <c r="D9" s="45">
        <v>4030.12</v>
      </c>
      <c r="E9" s="29">
        <f t="shared" si="2"/>
        <v>-0.12999965460071838</v>
      </c>
      <c r="G9">
        <f t="shared" si="3"/>
        <v>6</v>
      </c>
      <c r="H9" s="44">
        <f t="shared" si="3"/>
        <v>2020</v>
      </c>
      <c r="I9" s="45">
        <v>404.44999999999925</v>
      </c>
      <c r="J9" s="29">
        <f t="shared" si="4"/>
        <v>-0.33739084847392731</v>
      </c>
      <c r="L9">
        <f t="shared" ref="L9:M9" si="9">L8+1</f>
        <v>6</v>
      </c>
      <c r="M9" s="44">
        <f t="shared" si="9"/>
        <v>2020</v>
      </c>
      <c r="N9" s="45">
        <v>-2.0064900662251755</v>
      </c>
      <c r="O9" s="29">
        <f t="shared" si="6"/>
        <v>3.4204843886781173</v>
      </c>
    </row>
    <row r="10" spans="2:15" x14ac:dyDescent="0.3">
      <c r="B10">
        <f t="shared" si="0"/>
        <v>7</v>
      </c>
      <c r="C10" s="44">
        <f t="shared" si="1"/>
        <v>2021</v>
      </c>
      <c r="D10" s="45">
        <v>5717.62</v>
      </c>
      <c r="E10" s="29">
        <f t="shared" si="2"/>
        <v>0.41872202316556328</v>
      </c>
      <c r="G10">
        <f t="shared" si="3"/>
        <v>7</v>
      </c>
      <c r="H10" s="44">
        <f t="shared" si="3"/>
        <v>2021</v>
      </c>
      <c r="I10" s="45">
        <v>1068.96</v>
      </c>
      <c r="J10" s="29">
        <f t="shared" si="4"/>
        <v>1.642996662133767</v>
      </c>
      <c r="L10">
        <f t="shared" ref="L10:M10" si="10">L9+1</f>
        <v>7</v>
      </c>
      <c r="M10" s="44">
        <f t="shared" si="10"/>
        <v>2021</v>
      </c>
      <c r="N10" s="45">
        <v>5.6083443708609284</v>
      </c>
      <c r="O10" s="29">
        <f t="shared" si="6"/>
        <v>-3.7951019869298173</v>
      </c>
    </row>
    <row r="11" spans="2:15" x14ac:dyDescent="0.3">
      <c r="B11">
        <f t="shared" si="0"/>
        <v>8</v>
      </c>
      <c r="C11" s="44">
        <f t="shared" si="1"/>
        <v>2022</v>
      </c>
      <c r="D11" s="45">
        <v>6297.64</v>
      </c>
      <c r="E11" s="29">
        <f t="shared" si="2"/>
        <v>0.10144430724672171</v>
      </c>
      <c r="G11">
        <f t="shared" si="3"/>
        <v>8</v>
      </c>
      <c r="H11" s="44">
        <f t="shared" si="3"/>
        <v>2022</v>
      </c>
      <c r="I11" s="45">
        <v>1101.3400000000001</v>
      </c>
      <c r="J11" s="29">
        <f t="shared" si="4"/>
        <v>3.0291124083221099E-2</v>
      </c>
      <c r="L11">
        <f t="shared" ref="L11:M11" si="11">L10+1</f>
        <v>8</v>
      </c>
      <c r="M11" s="44">
        <f t="shared" si="11"/>
        <v>2022</v>
      </c>
      <c r="N11" s="45">
        <v>6.3021192052980144</v>
      </c>
      <c r="O11" s="29">
        <f t="shared" si="6"/>
        <v>0.12370403608624803</v>
      </c>
    </row>
    <row r="12" spans="2:15" x14ac:dyDescent="0.3">
      <c r="B12">
        <f t="shared" si="0"/>
        <v>9</v>
      </c>
      <c r="C12" s="44">
        <f t="shared" si="1"/>
        <v>2023</v>
      </c>
      <c r="D12" s="45">
        <v>6892.91</v>
      </c>
      <c r="E12" s="29">
        <f t="shared" si="2"/>
        <v>9.4522710094575135E-2</v>
      </c>
      <c r="G12">
        <f t="shared" si="3"/>
        <v>9</v>
      </c>
      <c r="H12" s="44">
        <f t="shared" si="3"/>
        <v>2023</v>
      </c>
      <c r="I12" s="45">
        <v>1267.6299999999992</v>
      </c>
      <c r="J12" s="29">
        <f t="shared" si="4"/>
        <v>0.15098879546733901</v>
      </c>
      <c r="L12">
        <f t="shared" ref="L12:M12" si="12">L11+1</f>
        <v>9</v>
      </c>
      <c r="M12" s="44">
        <f t="shared" si="12"/>
        <v>2023</v>
      </c>
      <c r="N12" s="45">
        <v>7.7011920529801214</v>
      </c>
      <c r="O12" s="29">
        <f t="shared" si="6"/>
        <v>0.22200037830226149</v>
      </c>
    </row>
    <row r="13" spans="2:15" x14ac:dyDescent="0.3">
      <c r="B13">
        <f t="shared" si="0"/>
        <v>10</v>
      </c>
      <c r="C13" s="44">
        <f t="shared" si="1"/>
        <v>2024</v>
      </c>
      <c r="D13" s="45">
        <v>7782.75</v>
      </c>
      <c r="E13" s="29">
        <f t="shared" si="2"/>
        <v>0.12909496859816838</v>
      </c>
      <c r="G13">
        <f t="shared" si="3"/>
        <v>10</v>
      </c>
      <c r="H13" s="44">
        <f t="shared" si="3"/>
        <v>2024</v>
      </c>
      <c r="I13" s="45">
        <v>1587.9399999999996</v>
      </c>
      <c r="J13" s="29">
        <f t="shared" si="4"/>
        <v>0.25268414284925456</v>
      </c>
      <c r="L13">
        <f t="shared" ref="L13:M13" si="13">L12+1</f>
        <v>10</v>
      </c>
      <c r="M13" s="44">
        <f t="shared" si="13"/>
        <v>2024</v>
      </c>
      <c r="N13" s="45">
        <v>10.864370860927147</v>
      </c>
      <c r="O13" s="29">
        <f t="shared" si="6"/>
        <v>0.41073885525591769</v>
      </c>
    </row>
    <row r="14" spans="2:15" x14ac:dyDescent="0.3">
      <c r="B14" s="77">
        <f t="shared" si="0"/>
        <v>11</v>
      </c>
      <c r="C14" s="78">
        <f t="shared" si="1"/>
        <v>2025</v>
      </c>
      <c r="D14" s="80">
        <f>FORECAST(B14,$D$4:$D$13,$B$4:$B$13)</f>
        <v>7326.1406666666671</v>
      </c>
      <c r="E14" s="79">
        <f t="shared" si="2"/>
        <v>-5.8669407771460347E-2</v>
      </c>
      <c r="G14" s="77">
        <f t="shared" si="3"/>
        <v>11</v>
      </c>
      <c r="H14" s="78">
        <f t="shared" si="3"/>
        <v>2025</v>
      </c>
      <c r="I14" s="80">
        <f>FORECAST(G14,$I$4:$I$13,$G$4:$G$13)</f>
        <v>1575.8606666666658</v>
      </c>
      <c r="J14" s="79">
        <f t="shared" si="4"/>
        <v>-7.6069204965766302E-3</v>
      </c>
      <c r="L14" s="77">
        <f t="shared" ref="L14:M14" si="14">L13+1</f>
        <v>11</v>
      </c>
      <c r="M14" s="78">
        <f t="shared" si="14"/>
        <v>2025</v>
      </c>
      <c r="N14" s="80">
        <f>FORECAST(L14,$N$4:$N$13,$L$4:$L$13)</f>
        <v>11.283375764269584</v>
      </c>
      <c r="O14" s="79">
        <f t="shared" si="6"/>
        <v>3.8566881479474846E-2</v>
      </c>
    </row>
    <row r="15" spans="2:15" x14ac:dyDescent="0.3">
      <c r="B15" s="77">
        <f t="shared" si="0"/>
        <v>12</v>
      </c>
      <c r="C15" s="78">
        <f t="shared" si="1"/>
        <v>2026</v>
      </c>
      <c r="D15" s="80">
        <f t="shared" ref="D15:D18" si="15">FORECAST(B15,$D$4:$D$13,$B$4:$B$13)</f>
        <v>7691.6911515151523</v>
      </c>
      <c r="E15" s="79">
        <f t="shared" si="2"/>
        <v>4.9896733011380645E-2</v>
      </c>
      <c r="G15" s="77">
        <f t="shared" si="3"/>
        <v>12</v>
      </c>
      <c r="H15" s="78">
        <f t="shared" si="3"/>
        <v>2026</v>
      </c>
      <c r="I15" s="80">
        <f t="shared" ref="I15:I18" si="16">FORECAST(G15,$I$4:$I$13,$G$4:$G$13)</f>
        <v>1735.241696969696</v>
      </c>
      <c r="J15" s="79">
        <f t="shared" si="4"/>
        <v>0.10113903701915494</v>
      </c>
      <c r="L15" s="77">
        <f t="shared" ref="L15:M15" si="17">L14+1</f>
        <v>12</v>
      </c>
      <c r="M15" s="78">
        <f t="shared" si="17"/>
        <v>2026</v>
      </c>
      <c r="N15" s="80">
        <f t="shared" ref="N15:N18" si="18">FORECAST(L15,$N$4:$N$13,$L$4:$L$13)</f>
        <v>13.181238054877953</v>
      </c>
      <c r="O15" s="79">
        <f t="shared" si="6"/>
        <v>0.16819986591408398</v>
      </c>
    </row>
    <row r="16" spans="2:15" x14ac:dyDescent="0.3">
      <c r="B16" s="77">
        <f t="shared" si="0"/>
        <v>13</v>
      </c>
      <c r="C16" s="78">
        <f t="shared" si="1"/>
        <v>2027</v>
      </c>
      <c r="D16" s="80">
        <f t="shared" si="15"/>
        <v>8057.2416363636366</v>
      </c>
      <c r="E16" s="79">
        <f t="shared" si="2"/>
        <v>4.7525372203286675E-2</v>
      </c>
      <c r="G16" s="77">
        <f t="shared" si="3"/>
        <v>13</v>
      </c>
      <c r="H16" s="78">
        <f t="shared" si="3"/>
        <v>2027</v>
      </c>
      <c r="I16" s="80">
        <f t="shared" si="16"/>
        <v>1894.6227272727263</v>
      </c>
      <c r="J16" s="79">
        <f t="shared" si="4"/>
        <v>9.1849470065963779E-2</v>
      </c>
      <c r="L16" s="77">
        <f t="shared" ref="L16:M16" si="19">L15+1</f>
        <v>13</v>
      </c>
      <c r="M16" s="78">
        <f t="shared" si="19"/>
        <v>2027</v>
      </c>
      <c r="N16" s="80">
        <f t="shared" si="18"/>
        <v>15.079100345486323</v>
      </c>
      <c r="O16" s="79">
        <f t="shared" si="6"/>
        <v>0.14398209657597616</v>
      </c>
    </row>
    <row r="17" spans="2:15" x14ac:dyDescent="0.3">
      <c r="B17" s="77">
        <f t="shared" si="0"/>
        <v>14</v>
      </c>
      <c r="C17" s="78">
        <f t="shared" si="1"/>
        <v>2028</v>
      </c>
      <c r="D17" s="80">
        <f t="shared" si="15"/>
        <v>8422.7921212121219</v>
      </c>
      <c r="E17" s="79">
        <f t="shared" si="2"/>
        <v>4.5369184808693896E-2</v>
      </c>
      <c r="G17" s="77">
        <f t="shared" si="3"/>
        <v>14</v>
      </c>
      <c r="H17" s="78">
        <f t="shared" si="3"/>
        <v>2028</v>
      </c>
      <c r="I17" s="80">
        <f t="shared" si="16"/>
        <v>2054.003757575756</v>
      </c>
      <c r="J17" s="79">
        <f t="shared" si="4"/>
        <v>8.4122832482040222E-2</v>
      </c>
      <c r="L17" s="77">
        <f t="shared" ref="L17:M17" si="20">L16+1</f>
        <v>14</v>
      </c>
      <c r="M17" s="78">
        <f t="shared" si="20"/>
        <v>2028</v>
      </c>
      <c r="N17" s="80">
        <f t="shared" si="18"/>
        <v>16.97696263609469</v>
      </c>
      <c r="O17" s="79">
        <f t="shared" si="6"/>
        <v>0.12586044572456623</v>
      </c>
    </row>
    <row r="18" spans="2:15" x14ac:dyDescent="0.3">
      <c r="B18" s="77">
        <f t="shared" si="0"/>
        <v>15</v>
      </c>
      <c r="C18" s="78">
        <f t="shared" si="1"/>
        <v>2029</v>
      </c>
      <c r="D18" s="80">
        <f t="shared" si="15"/>
        <v>8788.3426060606071</v>
      </c>
      <c r="E18" s="79">
        <f t="shared" si="2"/>
        <v>4.3400155149012409E-2</v>
      </c>
      <c r="G18" s="77">
        <f t="shared" si="3"/>
        <v>15</v>
      </c>
      <c r="H18" s="78">
        <f t="shared" si="3"/>
        <v>2029</v>
      </c>
      <c r="I18" s="80">
        <f t="shared" si="16"/>
        <v>2213.3847878787865</v>
      </c>
      <c r="J18" s="79">
        <f t="shared" si="4"/>
        <v>7.7595296364569633E-2</v>
      </c>
      <c r="L18" s="77">
        <f t="shared" ref="L18:M18" si="21">L17+1</f>
        <v>15</v>
      </c>
      <c r="M18" s="78">
        <f t="shared" si="21"/>
        <v>2029</v>
      </c>
      <c r="N18" s="80">
        <f t="shared" si="18"/>
        <v>18.874824926703056</v>
      </c>
      <c r="O18" s="79">
        <f t="shared" si="6"/>
        <v>0.11179044987548736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Data&gt;</vt:lpstr>
      <vt:lpstr>Data Sheet</vt:lpstr>
      <vt:lpstr>Financials&gt;</vt:lpstr>
      <vt:lpstr>Historical FS</vt:lpstr>
      <vt:lpstr>Cash Flow Data</vt:lpstr>
      <vt:lpstr>Ratio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 Laptop</cp:lastModifiedBy>
  <cp:lastPrinted>2012-12-06T18:14:13Z</cp:lastPrinted>
  <dcterms:created xsi:type="dcterms:W3CDTF">2012-08-17T09:55:37Z</dcterms:created>
  <dcterms:modified xsi:type="dcterms:W3CDTF">2025-06-17T22:10:04Z</dcterms:modified>
</cp:coreProperties>
</file>