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904BA53-3270-4DED-80F4-B3354F741E5B}" xr6:coauthVersionLast="47" xr6:coauthVersionMax="47" xr10:uidLastSave="{00000000-0000-0000-0000-000000000000}"/>
  <bookViews>
    <workbookView xWindow="-108" yWindow="-108" windowWidth="23256" windowHeight="12456" firstSheet="1" activeTab="1" xr2:uid="{F0247F16-79AD-44E9-B0AC-B4494DFD805E}"/>
  </bookViews>
  <sheets>
    <sheet name="DCF&gt;" sheetId="2" r:id="rId1"/>
    <sheet name="WACC" sheetId="1" r:id="rId2"/>
    <sheet name="Rm" sheetId="3" r:id="rId3"/>
    <sheet name="Data&gt;" sheetId="4" r:id="rId4"/>
    <sheet name="Beta Calculation - Apollo" sheetId="5" r:id="rId5"/>
    <sheet name="Beta Calculation - Dr Lal" sheetId="6" r:id="rId6"/>
    <sheet name="Beta Calculation - Gland" sheetId="7" r:id="rId7"/>
    <sheet name="Beta Calculation - Sun Pharma " sheetId="8" r:id="rId8"/>
    <sheet name="Beta Calculation - Aurobindo" sheetId="9" r:id="rId9"/>
    <sheet name="Beta Calculation - Biocon " sheetId="10" r:id="rId10"/>
    <sheet name="Beta Calculation - Max Health" sheetId="11" r:id="rId11"/>
    <sheet name="Beta Calculation - Fortis" sheetId="12" r:id="rId12"/>
    <sheet name="Beta Calculation - Cipla" sheetId="13" r:id="rId13"/>
    <sheet name="Beta Calculation - Metropolis " sheetId="14" r:id="rId1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8" i="1" l="1"/>
  <c r="K47" i="1"/>
  <c r="J47" i="1"/>
  <c r="K46" i="1"/>
  <c r="J46" i="1"/>
  <c r="K33" i="1"/>
  <c r="K31" i="1"/>
  <c r="F9" i="3"/>
  <c r="F7" i="3"/>
  <c r="K32" i="1"/>
  <c r="B26" i="1"/>
  <c r="E32" i="1"/>
  <c r="E31" i="1"/>
  <c r="E30" i="1"/>
  <c r="K41" i="1"/>
  <c r="K38" i="1"/>
  <c r="K40" i="1"/>
  <c r="K39" i="1"/>
  <c r="E43" i="1"/>
  <c r="D43" i="1"/>
  <c r="D41" i="1"/>
  <c r="E40" i="1"/>
  <c r="E41" i="1"/>
  <c r="E39" i="1"/>
  <c r="D40" i="1"/>
  <c r="D39" i="1"/>
  <c r="C41" i="1"/>
  <c r="C40" i="1"/>
  <c r="C39" i="1"/>
  <c r="K25" i="1"/>
  <c r="K24" i="1"/>
  <c r="J25" i="1"/>
  <c r="J24" i="1"/>
  <c r="I25" i="1"/>
  <c r="I24" i="1"/>
  <c r="H25" i="1"/>
  <c r="H24" i="1"/>
  <c r="G25" i="1"/>
  <c r="G24" i="1"/>
  <c r="K22" i="1"/>
  <c r="K21" i="1"/>
  <c r="K20" i="1"/>
  <c r="K19" i="1"/>
  <c r="K18" i="1"/>
  <c r="K17" i="1"/>
  <c r="K16" i="1"/>
  <c r="K15" i="1"/>
  <c r="K14" i="1"/>
  <c r="H22" i="1"/>
  <c r="H21" i="1"/>
  <c r="H20" i="1"/>
  <c r="H19" i="1"/>
  <c r="H18" i="1"/>
  <c r="H17" i="1"/>
  <c r="H16" i="1"/>
  <c r="H15" i="1"/>
  <c r="H14" i="1"/>
  <c r="H13" i="1"/>
  <c r="K13" i="1" s="1"/>
  <c r="I22" i="1"/>
  <c r="I21" i="1"/>
  <c r="I20" i="1"/>
  <c r="I19" i="1"/>
  <c r="I18" i="1"/>
  <c r="I17" i="1"/>
  <c r="I16" i="1"/>
  <c r="I15" i="1"/>
  <c r="I14" i="1"/>
  <c r="I13" i="1"/>
  <c r="F22" i="1"/>
  <c r="F15" i="1"/>
  <c r="F20" i="1"/>
  <c r="F18" i="1"/>
  <c r="F14" i="1"/>
  <c r="F17" i="1"/>
  <c r="F13" i="1"/>
  <c r="F19" i="1"/>
  <c r="F21" i="1"/>
  <c r="F16" i="1"/>
  <c r="J20" i="1"/>
  <c r="J22" i="1"/>
  <c r="J21" i="1"/>
  <c r="J19" i="1"/>
  <c r="J18" i="1"/>
  <c r="J17" i="1"/>
  <c r="J16" i="1"/>
  <c r="J15" i="1"/>
  <c r="J14" i="1"/>
  <c r="J13" i="1"/>
  <c r="K11" i="6"/>
  <c r="K6" i="6"/>
  <c r="N8" i="6"/>
  <c r="N6" i="6"/>
  <c r="N5" i="6"/>
  <c r="K6" i="7"/>
  <c r="K11" i="7" s="1"/>
  <c r="N8" i="7"/>
  <c r="K11" i="8"/>
  <c r="K6" i="8"/>
  <c r="N8" i="8"/>
  <c r="N6" i="8"/>
  <c r="N5" i="8"/>
  <c r="K11" i="9"/>
  <c r="K6" i="9"/>
  <c r="N8" i="9"/>
  <c r="N6" i="9"/>
  <c r="N5" i="9"/>
  <c r="K11" i="10"/>
  <c r="K6" i="10"/>
  <c r="N8" i="10"/>
  <c r="N6" i="10"/>
  <c r="N5" i="10"/>
  <c r="K11" i="11"/>
  <c r="K6" i="11"/>
  <c r="N8" i="11"/>
  <c r="N6" i="11"/>
  <c r="N5" i="11"/>
  <c r="K11" i="12"/>
  <c r="K6" i="12"/>
  <c r="N8" i="12"/>
  <c r="N6" i="12"/>
  <c r="N5" i="12"/>
  <c r="K11" i="13"/>
  <c r="K6" i="13"/>
  <c r="N8" i="13"/>
  <c r="N6" i="13"/>
  <c r="N5" i="13"/>
  <c r="K11" i="14"/>
  <c r="K6" i="14"/>
  <c r="N8" i="14"/>
  <c r="N6" i="14"/>
  <c r="N5" i="14"/>
  <c r="K11" i="5"/>
  <c r="K6" i="5"/>
  <c r="N8" i="5"/>
  <c r="N6" i="5" l="1"/>
  <c r="N5" i="5"/>
  <c r="H109" i="12" l="1"/>
  <c r="H108" i="12"/>
  <c r="H107" i="12"/>
  <c r="H106" i="12"/>
  <c r="H105" i="12"/>
  <c r="H104" i="12"/>
  <c r="H103" i="12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H109" i="13"/>
  <c r="H108" i="13"/>
  <c r="H107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4" i="13"/>
  <c r="H93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80" i="13"/>
  <c r="H79" i="13"/>
  <c r="H78" i="13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H9" i="5"/>
  <c r="D9" i="5"/>
  <c r="N6" i="7" l="1"/>
  <c r="N5" i="7"/>
</calcChain>
</file>

<file path=xl/sharedStrings.xml><?xml version="1.0" encoding="utf-8"?>
<sst xmlns="http://schemas.openxmlformats.org/spreadsheetml/2006/main" count="511" uniqueCount="108">
  <si>
    <t>Weighted Average Cost of Capital</t>
  </si>
  <si>
    <t>All figures are in INR unless stated otherwise</t>
  </si>
  <si>
    <t>Peer Comps</t>
  </si>
  <si>
    <t>Name of the Comp</t>
  </si>
  <si>
    <t>Apollo Hospitals</t>
  </si>
  <si>
    <t>Country</t>
  </si>
  <si>
    <t>Total Debt</t>
  </si>
  <si>
    <t xml:space="preserve">Total Equity </t>
  </si>
  <si>
    <t>Tax Rate</t>
  </si>
  <si>
    <t>Debt/</t>
  </si>
  <si>
    <t>Equity</t>
  </si>
  <si>
    <t>Capital</t>
  </si>
  <si>
    <t>Levered</t>
  </si>
  <si>
    <r>
      <t>Beta</t>
    </r>
    <r>
      <rPr>
        <vertAlign val="superscript"/>
        <sz val="11"/>
        <color theme="1"/>
        <rFont val="Calibri"/>
        <family val="2"/>
        <scheme val="minor"/>
      </rPr>
      <t>2</t>
    </r>
  </si>
  <si>
    <t>Unlevered</t>
  </si>
  <si>
    <r>
      <t>Beta</t>
    </r>
    <r>
      <rPr>
        <vertAlign val="superscript"/>
        <sz val="11"/>
        <color theme="1"/>
        <rFont val="Calibri"/>
        <family val="2"/>
        <scheme val="minor"/>
      </rPr>
      <t>3</t>
    </r>
  </si>
  <si>
    <t>Fortis Health</t>
  </si>
  <si>
    <t>Dr Lal Pathlabs</t>
  </si>
  <si>
    <t>Sun Pharma.Inds</t>
  </si>
  <si>
    <t>Aurobindo Pharma</t>
  </si>
  <si>
    <t>Biocon</t>
  </si>
  <si>
    <t>Max Healthcare</t>
  </si>
  <si>
    <t>Gland Pharma</t>
  </si>
  <si>
    <t>Average</t>
  </si>
  <si>
    <t>Median</t>
  </si>
  <si>
    <t>Cost of Debt</t>
  </si>
  <si>
    <t>Pre-Tax cost of Debt</t>
  </si>
  <si>
    <t>Post Tax Cost of Debt</t>
  </si>
  <si>
    <t>Capital Structure</t>
  </si>
  <si>
    <t>Market Capitalization</t>
  </si>
  <si>
    <t>Total Capital</t>
  </si>
  <si>
    <t>Current</t>
  </si>
  <si>
    <t>Target</t>
  </si>
  <si>
    <t>Debt/ Equity</t>
  </si>
  <si>
    <t>Cost of Equity</t>
  </si>
  <si>
    <t>Risk free Rate</t>
  </si>
  <si>
    <t>Equity Risk Premium</t>
  </si>
  <si>
    <t>Levered Beta</t>
  </si>
  <si>
    <t>Comps Median Unlevered Beta</t>
  </si>
  <si>
    <t>Target Debt/ Equity</t>
  </si>
  <si>
    <t>Weighted Average Cost of Capital (WACC)</t>
  </si>
  <si>
    <t>Total Cost</t>
  </si>
  <si>
    <t>Total Weight</t>
  </si>
  <si>
    <t>Debt</t>
  </si>
  <si>
    <t>Notes:</t>
  </si>
  <si>
    <t>1. Tax Rate considered as Marginal Tax Rate for the country</t>
  </si>
  <si>
    <t>2. Levered beta is based on 5 year monthly data</t>
  </si>
  <si>
    <t>3. Unlevered Beta = Levered Beta/(1+(1-Tax Rate)*Debt / Equity)</t>
  </si>
  <si>
    <t>4. Levered Beta = Unlevered Beta*(1+(1-Tax Rate)*Debt / Equity)</t>
  </si>
  <si>
    <t>Cipla</t>
  </si>
  <si>
    <t>Regression Beta - 2 Years Weekly</t>
  </si>
  <si>
    <t>Date</t>
  </si>
  <si>
    <t>Closing Price</t>
  </si>
  <si>
    <t>Return</t>
  </si>
  <si>
    <t>Apollo Hospital Weekly Returns</t>
  </si>
  <si>
    <t>Nifty Returns</t>
  </si>
  <si>
    <t xml:space="preserve">Closing Price </t>
  </si>
  <si>
    <t>Metropolis Healthcare</t>
  </si>
  <si>
    <t>India</t>
  </si>
  <si>
    <t>Sun Pharma Weekly Returns</t>
  </si>
  <si>
    <t>Dr Lal Pathlabs Weekly Returns</t>
  </si>
  <si>
    <t>Cipla Weekly Returns</t>
  </si>
  <si>
    <t>Biocon Weekly Returns</t>
  </si>
  <si>
    <t>Beta Drifting</t>
  </si>
  <si>
    <t>Levered Raw Beta</t>
  </si>
  <si>
    <t>Market Beta Weight</t>
  </si>
  <si>
    <t>Market Beta</t>
  </si>
  <si>
    <t>Raw Beta Weight</t>
  </si>
  <si>
    <t>Adjusted Beta</t>
  </si>
  <si>
    <t>Beta 1 (Slope)</t>
  </si>
  <si>
    <t>Beta 2 (Formula)</t>
  </si>
  <si>
    <t>Beta 3 (Regression)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</si>
  <si>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</si>
  <si>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</si>
  <si>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</si>
  <si>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</si>
  <si>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</si>
  <si>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</si>
  <si>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</si>
  <si>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</si>
  <si>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</si>
  <si>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</si>
  <si>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</si>
  <si>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</si>
  <si>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</si>
  <si>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</si>
  <si>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</si>
  <si>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</si>
  <si>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</si>
  <si>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</si>
  <si>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</si>
  <si>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</si>
  <si>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</si>
  <si>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</si>
  <si>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</si>
  <si>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</si>
  <si>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</si>
  <si>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Sum</t>
  </si>
  <si>
    <t>Running Total</t>
  </si>
  <si>
    <t>Count</t>
  </si>
  <si>
    <t>Gland Pharma Weekly Returns</t>
  </si>
  <si>
    <t>Year</t>
  </si>
  <si>
    <t>Annual</t>
  </si>
  <si>
    <t>Average Return</t>
  </si>
  <si>
    <t>Dividend Yield</t>
  </si>
  <si>
    <t>Total Market Return</t>
  </si>
  <si>
    <r>
      <t>1.29%</t>
    </r>
    <r>
      <rPr>
        <vertAlign val="superscript"/>
        <sz val="11"/>
        <color theme="1"/>
        <rFont val="Calibri"/>
        <family val="2"/>
        <scheme val="minor"/>
      </rPr>
      <t>1</t>
    </r>
  </si>
  <si>
    <t>Return on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</si>
</sst>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ashDotDot">
        <color auto="1"/>
      </bottom>
      <diagonal/>
    </border>
    <border>
      <left/>
      <right/>
      <top style="dashDotDot">
        <color auto="1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0" applyFont="1"/>
    <xf numFmtId="0" fontId="0" fillId="0" borderId="1" xfId="0" applyBorder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0" fillId="0" borderId="1" xfId="0" applyBorder="1" applyAlignment="1">
      <alignment horizontal="right"/>
    </xf>
    <xf numFmtId="0" fontId="0" fillId="0" borderId="4" xfId="0" applyBorder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164" fontId="0" fillId="0" borderId="0" xfId="0" applyNumberFormat="1"/>
    <xf numFmtId="10" fontId="0" fillId="0" borderId="0" xfId="0" applyNumberFormat="1"/>
    <xf numFmtId="0" fontId="7" fillId="0" borderId="0" xfId="0" applyFont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2" fontId="0" fillId="0" borderId="0" xfId="0" applyNumberFormat="1"/>
    <xf numFmtId="0" fontId="0" fillId="0" borderId="0" xfId="0" applyFill="1" applyBorder="1" applyAlignment="1"/>
    <xf numFmtId="0" fontId="0" fillId="0" borderId="6" xfId="0" applyFill="1" applyBorder="1" applyAlignment="1"/>
    <xf numFmtId="0" fontId="5" fillId="0" borderId="7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Continuous"/>
    </xf>
    <xf numFmtId="0" fontId="0" fillId="4" borderId="0" xfId="0" applyFill="1"/>
    <xf numFmtId="2" fontId="0" fillId="4" borderId="0" xfId="0" applyNumberFormat="1" applyFill="1"/>
    <xf numFmtId="0" fontId="2" fillId="0" borderId="0" xfId="0" applyFont="1"/>
    <xf numFmtId="3" fontId="0" fillId="0" borderId="0" xfId="0" applyNumberFormat="1"/>
    <xf numFmtId="10" fontId="7" fillId="0" borderId="0" xfId="0" applyNumberFormat="1" applyFont="1"/>
    <xf numFmtId="3" fontId="7" fillId="0" borderId="0" xfId="0" applyNumberFormat="1" applyFont="1"/>
    <xf numFmtId="10" fontId="0" fillId="0" borderId="2" xfId="0" applyNumberFormat="1" applyBorder="1"/>
    <xf numFmtId="10" fontId="0" fillId="0" borderId="1" xfId="0" applyNumberFormat="1" applyBorder="1"/>
    <xf numFmtId="2" fontId="0" fillId="0" borderId="2" xfId="0" applyNumberFormat="1" applyBorder="1"/>
    <xf numFmtId="2" fontId="0" fillId="0" borderId="1" xfId="0" applyNumberFormat="1" applyBorder="1"/>
    <xf numFmtId="10" fontId="0" fillId="0" borderId="3" xfId="0" applyNumberFormat="1" applyBorder="1"/>
    <xf numFmtId="3" fontId="7" fillId="0" borderId="3" xfId="0" applyNumberFormat="1" applyFont="1" applyBorder="1"/>
    <xf numFmtId="10" fontId="7" fillId="0" borderId="3" xfId="0" applyNumberFormat="1" applyFont="1" applyBorder="1"/>
    <xf numFmtId="0" fontId="9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10" fontId="0" fillId="0" borderId="0" xfId="1" applyNumberFormat="1" applyFont="1"/>
    <xf numFmtId="10" fontId="2" fillId="0" borderId="0" xfId="0" applyNumberFormat="1" applyFont="1"/>
    <xf numFmtId="2" fontId="0" fillId="4" borderId="0" xfId="0" applyNumberFormat="1" applyFont="1" applyFill="1"/>
    <xf numFmtId="10" fontId="0" fillId="4" borderId="0" xfId="0" applyNumberFormat="1" applyFill="1"/>
    <xf numFmtId="10" fontId="0" fillId="4" borderId="4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C129-AAEF-46CD-8AB1-A702A08B25A6}">
  <sheetPr>
    <tabColor rgb="FF00206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56141-0BDE-4F00-8363-710357D50F1C}">
  <dimension ref="B3:K50"/>
  <sheetViews>
    <sheetView showGridLines="0" tabSelected="1" workbookViewId="0">
      <selection activeCell="F13" sqref="F13"/>
    </sheetView>
  </sheetViews>
  <sheetFormatPr defaultRowHeight="14.4" x14ac:dyDescent="0.3"/>
  <cols>
    <col min="1" max="1" width="1.88671875" customWidth="1"/>
    <col min="2" max="2" width="20.33203125" customWidth="1"/>
    <col min="3" max="3" width="8.88671875" customWidth="1"/>
    <col min="4" max="4" width="13.77734375" customWidth="1"/>
    <col min="5" max="5" width="13.5546875" customWidth="1"/>
    <col min="6" max="6" width="11.109375" bestFit="1" customWidth="1"/>
    <col min="7" max="7" width="8.109375" bestFit="1" customWidth="1"/>
    <col min="9" max="9" width="8.109375" bestFit="1" customWidth="1"/>
    <col min="10" max="10" width="9.33203125" bestFit="1" customWidth="1"/>
    <col min="11" max="11" width="11.44140625" bestFit="1" customWidth="1"/>
  </cols>
  <sheetData>
    <row r="3" spans="2:11" x14ac:dyDescent="0.3">
      <c r="B3" s="15" t="s">
        <v>0</v>
      </c>
      <c r="C3" s="16"/>
      <c r="D3" s="16"/>
      <c r="E3" s="16"/>
      <c r="F3" s="16"/>
      <c r="G3" s="16"/>
      <c r="H3" s="16"/>
      <c r="I3" s="16"/>
      <c r="J3" s="16"/>
      <c r="K3" s="16"/>
    </row>
    <row r="4" spans="2:11" x14ac:dyDescent="0.3">
      <c r="B4" s="16"/>
      <c r="C4" s="16"/>
      <c r="D4" s="16"/>
      <c r="E4" s="16"/>
      <c r="F4" s="16"/>
      <c r="G4" s="16"/>
      <c r="H4" s="16"/>
      <c r="I4" s="16"/>
      <c r="J4" s="16"/>
      <c r="K4" s="16"/>
    </row>
    <row r="6" spans="2:11" x14ac:dyDescent="0.3">
      <c r="B6" s="1" t="s">
        <v>1</v>
      </c>
    </row>
    <row r="8" spans="2:11" x14ac:dyDescent="0.3">
      <c r="B8" t="s">
        <v>2</v>
      </c>
    </row>
    <row r="9" spans="2:11" x14ac:dyDescent="0.3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 x14ac:dyDescent="0.3">
      <c r="H10" t="s">
        <v>9</v>
      </c>
      <c r="I10" t="s">
        <v>9</v>
      </c>
      <c r="J10" t="s">
        <v>12</v>
      </c>
      <c r="K10" t="s">
        <v>14</v>
      </c>
    </row>
    <row r="11" spans="2:11" ht="16.2" x14ac:dyDescent="0.3">
      <c r="B11" s="2" t="s">
        <v>3</v>
      </c>
      <c r="C11" s="2"/>
      <c r="D11" s="2" t="s">
        <v>5</v>
      </c>
      <c r="E11" s="2" t="s">
        <v>6</v>
      </c>
      <c r="F11" s="2" t="s">
        <v>7</v>
      </c>
      <c r="G11" s="2" t="s">
        <v>8</v>
      </c>
      <c r="H11" s="2" t="s">
        <v>10</v>
      </c>
      <c r="I11" s="2" t="s">
        <v>11</v>
      </c>
      <c r="J11" s="2" t="s">
        <v>13</v>
      </c>
      <c r="K11" s="2" t="s">
        <v>15</v>
      </c>
    </row>
    <row r="13" spans="2:11" x14ac:dyDescent="0.3">
      <c r="B13" t="s">
        <v>4</v>
      </c>
      <c r="D13" s="14" t="s">
        <v>58</v>
      </c>
      <c r="E13" s="29">
        <v>7864</v>
      </c>
      <c r="F13" s="29">
        <f>100780.84</f>
        <v>100780.84</v>
      </c>
      <c r="G13" s="28">
        <v>0.18</v>
      </c>
      <c r="H13" s="43">
        <f>E13/F13</f>
        <v>7.8030705042744244E-2</v>
      </c>
      <c r="I13" s="25">
        <f>E13/(F13+E13)</f>
        <v>7.2382636856016355E-2</v>
      </c>
      <c r="J13" s="19">
        <f>'Beta Calculation - Apollo'!N8</f>
        <v>0.88912475488989673</v>
      </c>
      <c r="K13" s="25">
        <f>J13/(1+(1-G13)*H13)</f>
        <v>0.83565520757380451</v>
      </c>
    </row>
    <row r="14" spans="2:11" x14ac:dyDescent="0.3">
      <c r="B14" t="s">
        <v>16</v>
      </c>
      <c r="D14" s="14" t="s">
        <v>58</v>
      </c>
      <c r="E14" s="29">
        <v>2475</v>
      </c>
      <c r="F14" s="29">
        <f>57815.14</f>
        <v>57815.14</v>
      </c>
      <c r="G14" s="28">
        <v>0.18</v>
      </c>
      <c r="H14" s="43">
        <f t="shared" ref="H14:H22" si="0">E14/F14</f>
        <v>4.2808855950188823E-2</v>
      </c>
      <c r="I14" s="25">
        <f t="shared" ref="I14:I22" si="1">E14/(F14+E14)</f>
        <v>4.1051488684551073E-2</v>
      </c>
      <c r="J14" s="19">
        <f>'Beta Calculation - Fortis'!N8</f>
        <v>0.88775227414111868</v>
      </c>
      <c r="K14" s="25">
        <f t="shared" ref="K14:K22" si="2">J14/(1+(1-G14)*H14)</f>
        <v>0.8576460985442832</v>
      </c>
    </row>
    <row r="15" spans="2:11" x14ac:dyDescent="0.3">
      <c r="B15" t="s">
        <v>17</v>
      </c>
      <c r="D15" s="14" t="s">
        <v>58</v>
      </c>
      <c r="E15" s="14">
        <v>157</v>
      </c>
      <c r="F15" s="29">
        <f>22939.24</f>
        <v>22939.24</v>
      </c>
      <c r="G15" s="28">
        <v>0.18</v>
      </c>
      <c r="H15" s="43">
        <f t="shared" si="0"/>
        <v>6.8441674615200851E-3</v>
      </c>
      <c r="I15" s="25">
        <f t="shared" si="1"/>
        <v>6.7976432527545603E-3</v>
      </c>
      <c r="J15" s="19">
        <f>'Beta Calculation - Dr Lal'!N8</f>
        <v>0.58250536812740572</v>
      </c>
      <c r="K15" s="25">
        <f t="shared" si="2"/>
        <v>0.5792544661805199</v>
      </c>
    </row>
    <row r="16" spans="2:11" x14ac:dyDescent="0.3">
      <c r="B16" t="s">
        <v>18</v>
      </c>
      <c r="D16" s="14" t="s">
        <v>58</v>
      </c>
      <c r="E16" s="29">
        <v>2362</v>
      </c>
      <c r="F16" s="29">
        <f>398901.44</f>
        <v>398901.44</v>
      </c>
      <c r="G16" s="28">
        <v>0.18</v>
      </c>
      <c r="H16" s="43">
        <f t="shared" si="0"/>
        <v>5.9212621543807912E-3</v>
      </c>
      <c r="I16" s="25">
        <f t="shared" si="1"/>
        <v>5.8864071942362857E-3</v>
      </c>
      <c r="J16" s="19">
        <f>'Beta Calculation - Sun Pharma '!N8</f>
        <v>0.67898558924652652</v>
      </c>
      <c r="K16" s="25">
        <f t="shared" si="2"/>
        <v>0.675704748782197</v>
      </c>
    </row>
    <row r="17" spans="2:11" x14ac:dyDescent="0.3">
      <c r="B17" t="s">
        <v>19</v>
      </c>
      <c r="D17" s="14" t="s">
        <v>58</v>
      </c>
      <c r="E17" s="29">
        <v>8263</v>
      </c>
      <c r="F17" s="29">
        <f>64696.4</f>
        <v>64696.4</v>
      </c>
      <c r="G17" s="28">
        <v>0.18</v>
      </c>
      <c r="H17" s="43">
        <f t="shared" si="0"/>
        <v>0.12771962582152949</v>
      </c>
      <c r="I17" s="25">
        <f t="shared" si="1"/>
        <v>0.11325476909075459</v>
      </c>
      <c r="J17" s="19">
        <f>'Beta Calculation - Aurobindo'!N8</f>
        <v>1.0808850592341395</v>
      </c>
      <c r="K17" s="25">
        <f t="shared" si="2"/>
        <v>0.97841551154724771</v>
      </c>
    </row>
    <row r="18" spans="2:11" x14ac:dyDescent="0.3">
      <c r="B18" t="s">
        <v>20</v>
      </c>
      <c r="D18" s="14" t="s">
        <v>58</v>
      </c>
      <c r="E18" s="29">
        <v>18362</v>
      </c>
      <c r="F18" s="29">
        <f>41936.86</f>
        <v>41936.86</v>
      </c>
      <c r="G18" s="28">
        <v>0.18</v>
      </c>
      <c r="H18" s="43">
        <f t="shared" si="0"/>
        <v>0.43784870874929593</v>
      </c>
      <c r="I18" s="25">
        <f t="shared" si="1"/>
        <v>0.30451653646520016</v>
      </c>
      <c r="J18" s="19">
        <f>'Beta Calculation - Biocon '!N8</f>
        <v>1.4958582425377653</v>
      </c>
      <c r="K18" s="25">
        <f t="shared" si="2"/>
        <v>1.1006759992271482</v>
      </c>
    </row>
    <row r="19" spans="2:11" x14ac:dyDescent="0.3">
      <c r="B19" t="s">
        <v>21</v>
      </c>
      <c r="D19" s="14" t="s">
        <v>58</v>
      </c>
      <c r="E19" s="29">
        <v>3010</v>
      </c>
      <c r="F19" s="29">
        <f>116287.18</f>
        <v>116287.18</v>
      </c>
      <c r="G19" s="28">
        <v>0.18</v>
      </c>
      <c r="H19" s="43">
        <f t="shared" si="0"/>
        <v>2.5884194629193006E-2</v>
      </c>
      <c r="I19" s="25">
        <f t="shared" si="1"/>
        <v>2.5231107726100484E-2</v>
      </c>
      <c r="J19" s="19">
        <f>'Beta Calculation - Max Health'!N8</f>
        <v>1.3515249811048202</v>
      </c>
      <c r="K19" s="25">
        <f t="shared" si="2"/>
        <v>1.3234350203942997</v>
      </c>
    </row>
    <row r="20" spans="2:11" x14ac:dyDescent="0.3">
      <c r="B20" t="s">
        <v>22</v>
      </c>
      <c r="D20" s="14" t="s">
        <v>58</v>
      </c>
      <c r="E20" s="14">
        <v>314</v>
      </c>
      <c r="F20" s="29">
        <f>29087.87</f>
        <v>29087.87</v>
      </c>
      <c r="G20" s="28">
        <v>0.18</v>
      </c>
      <c r="H20" s="43">
        <f t="shared" si="0"/>
        <v>1.0794877727382583E-2</v>
      </c>
      <c r="I20" s="25">
        <f t="shared" si="1"/>
        <v>1.0679592828619404E-2</v>
      </c>
      <c r="J20" s="19">
        <f>'Beta Calculation - Gland'!N8</f>
        <v>0.59069484160128716</v>
      </c>
      <c r="K20" s="25">
        <f t="shared" si="2"/>
        <v>0.58551200657578917</v>
      </c>
    </row>
    <row r="21" spans="2:11" x14ac:dyDescent="0.3">
      <c r="B21" t="s">
        <v>49</v>
      </c>
      <c r="D21" s="14" t="s">
        <v>58</v>
      </c>
      <c r="E21" s="14">
        <v>438</v>
      </c>
      <c r="F21" s="29">
        <f>121410.77</f>
        <v>121410.77</v>
      </c>
      <c r="G21" s="28">
        <v>0.18</v>
      </c>
      <c r="H21" s="43">
        <f t="shared" si="0"/>
        <v>3.6075876958856284E-3</v>
      </c>
      <c r="I21" s="25">
        <f t="shared" si="1"/>
        <v>3.5946197897607007E-3</v>
      </c>
      <c r="J21" s="19">
        <f>'Beta Calculation - Cipla'!N8</f>
        <v>0.59166256013890972</v>
      </c>
      <c r="K21" s="25">
        <f t="shared" si="2"/>
        <v>0.58991745340279278</v>
      </c>
    </row>
    <row r="22" spans="2:11" x14ac:dyDescent="0.3">
      <c r="B22" t="s">
        <v>57</v>
      </c>
      <c r="D22" s="14" t="s">
        <v>58</v>
      </c>
      <c r="E22" s="14">
        <v>204</v>
      </c>
      <c r="F22" s="29">
        <f>8772.46</f>
        <v>8772.4599999999991</v>
      </c>
      <c r="G22" s="28">
        <v>0.18</v>
      </c>
      <c r="H22" s="43">
        <f t="shared" si="0"/>
        <v>2.3254594492308888E-2</v>
      </c>
      <c r="I22" s="25">
        <f t="shared" si="1"/>
        <v>2.2726108064871901E-2</v>
      </c>
      <c r="J22" s="19">
        <f>'Beta Calculation - Metropolis '!N8</f>
        <v>0.9384527059008998</v>
      </c>
      <c r="K22" s="25">
        <f t="shared" si="2"/>
        <v>0.92089242242027247</v>
      </c>
    </row>
    <row r="24" spans="2:11" x14ac:dyDescent="0.3">
      <c r="F24" s="4" t="s">
        <v>23</v>
      </c>
      <c r="G24" s="30">
        <f>AVERAGE(G13:G22)</f>
        <v>0.17999999999999997</v>
      </c>
      <c r="H24" s="32">
        <f>AVERAGE(H13:H22)</f>
        <v>7.627145797244296E-2</v>
      </c>
      <c r="I24" s="32">
        <f>AVERAGE(I13:I22)</f>
        <v>6.0612090995286548E-2</v>
      </c>
      <c r="J24" s="32">
        <f>AVERAGE(J13:J22)</f>
        <v>0.90874463769227687</v>
      </c>
      <c r="K24" s="32">
        <f>AVERAGE(K13:K22)</f>
        <v>0.84471089346483552</v>
      </c>
    </row>
    <row r="25" spans="2:11" x14ac:dyDescent="0.3">
      <c r="F25" s="3" t="s">
        <v>24</v>
      </c>
      <c r="G25" s="31">
        <f>MEDIAN(G13:G22)</f>
        <v>0.18</v>
      </c>
      <c r="H25" s="33">
        <f>MEDIAN(H13:H22)</f>
        <v>2.4569394560750947E-2</v>
      </c>
      <c r="I25" s="33">
        <f>MEDIAN(I13:I22)</f>
        <v>2.3978607895486191E-2</v>
      </c>
      <c r="J25" s="33">
        <f>MEDIAN(J13:J22)</f>
        <v>0.8884385145155077</v>
      </c>
      <c r="K25" s="33">
        <f>MEDIAN(K13:K22)</f>
        <v>0.84665065305904386</v>
      </c>
    </row>
    <row r="26" spans="2:11" x14ac:dyDescent="0.3">
      <c r="B26" s="26" t="str">
        <f>"For "&amp;B18</f>
        <v>For Biocon</v>
      </c>
    </row>
    <row r="28" spans="2:11" x14ac:dyDescent="0.3">
      <c r="B28" s="3" t="s">
        <v>25</v>
      </c>
      <c r="C28" s="2"/>
      <c r="D28" s="2"/>
      <c r="E28" s="2"/>
      <c r="G28" s="3" t="s">
        <v>34</v>
      </c>
      <c r="H28" s="2"/>
      <c r="I28" s="2"/>
      <c r="J28" s="2"/>
      <c r="K28" s="2"/>
    </row>
    <row r="30" spans="2:11" x14ac:dyDescent="0.3">
      <c r="B30" t="s">
        <v>26</v>
      </c>
      <c r="E30" s="28">
        <f>897/E18</f>
        <v>4.8850887702864609E-2</v>
      </c>
      <c r="G30" t="s">
        <v>35</v>
      </c>
      <c r="K30" s="28">
        <v>6.2469999999999998E-2</v>
      </c>
    </row>
    <row r="31" spans="2:11" x14ac:dyDescent="0.3">
      <c r="B31" s="5" t="s">
        <v>8</v>
      </c>
      <c r="C31" s="5"/>
      <c r="D31" s="5"/>
      <c r="E31" s="36">
        <f>G18</f>
        <v>0.18</v>
      </c>
      <c r="G31" t="s">
        <v>36</v>
      </c>
      <c r="K31" s="13">
        <f>Rm!F9-WACC!K30</f>
        <v>9.0877999999999987E-2</v>
      </c>
    </row>
    <row r="32" spans="2:11" x14ac:dyDescent="0.3">
      <c r="B32" t="s">
        <v>27</v>
      </c>
      <c r="E32" s="44">
        <f>E30*(1-E31)</f>
        <v>4.0057727916348984E-2</v>
      </c>
      <c r="G32" t="s">
        <v>37</v>
      </c>
      <c r="K32" s="19">
        <f>K41</f>
        <v>0.89144594802150479</v>
      </c>
    </row>
    <row r="33" spans="2:11" x14ac:dyDescent="0.3">
      <c r="G33" s="7" t="s">
        <v>34</v>
      </c>
      <c r="H33" s="7"/>
      <c r="I33" s="7"/>
      <c r="J33" s="7"/>
      <c r="K33" s="45">
        <f>K30+K31*K32</f>
        <v>0.14348282486429831</v>
      </c>
    </row>
    <row r="36" spans="2:11" x14ac:dyDescent="0.3">
      <c r="B36" s="3" t="s">
        <v>28</v>
      </c>
      <c r="C36" s="2"/>
      <c r="D36" s="2"/>
      <c r="E36" s="2"/>
      <c r="G36" s="3" t="s">
        <v>37</v>
      </c>
      <c r="H36" s="2"/>
      <c r="I36" s="2"/>
      <c r="J36" s="2"/>
      <c r="K36" s="2"/>
    </row>
    <row r="38" spans="2:11" x14ac:dyDescent="0.3">
      <c r="D38" s="6" t="s">
        <v>31</v>
      </c>
      <c r="E38" s="6" t="s">
        <v>32</v>
      </c>
      <c r="G38" t="s">
        <v>38</v>
      </c>
      <c r="K38" s="19">
        <f>K25</f>
        <v>0.84665065305904386</v>
      </c>
    </row>
    <row r="39" spans="2:11" x14ac:dyDescent="0.3">
      <c r="B39" t="s">
        <v>6</v>
      </c>
      <c r="C39" s="29">
        <f>E18</f>
        <v>18362</v>
      </c>
      <c r="D39" s="13">
        <f>C39/C41</f>
        <v>0.30451653646520016</v>
      </c>
      <c r="E39" s="28">
        <f>I24</f>
        <v>6.0612090995286548E-2</v>
      </c>
      <c r="G39" t="s">
        <v>39</v>
      </c>
      <c r="K39" s="13">
        <f>E43</f>
        <v>6.4522962680566523E-2</v>
      </c>
    </row>
    <row r="40" spans="2:11" x14ac:dyDescent="0.3">
      <c r="B40" s="5" t="s">
        <v>29</v>
      </c>
      <c r="C40" s="35">
        <f>F18</f>
        <v>41936.86</v>
      </c>
      <c r="D40" s="34">
        <f>C40/C41</f>
        <v>0.69548346353479984</v>
      </c>
      <c r="E40" s="34">
        <f>E41-E39</f>
        <v>0.93938790900471347</v>
      </c>
      <c r="G40" s="5" t="s">
        <v>8</v>
      </c>
      <c r="H40" s="5"/>
      <c r="I40" s="5"/>
      <c r="J40" s="5"/>
      <c r="K40" s="34">
        <f>G18</f>
        <v>0.18</v>
      </c>
    </row>
    <row r="41" spans="2:11" x14ac:dyDescent="0.3">
      <c r="B41" t="s">
        <v>30</v>
      </c>
      <c r="C41" s="27">
        <f>C40+C39</f>
        <v>60298.86</v>
      </c>
      <c r="D41" s="13">
        <f>D40+D39</f>
        <v>1</v>
      </c>
      <c r="E41" s="28">
        <f>100%</f>
        <v>1</v>
      </c>
      <c r="G41" t="s">
        <v>37</v>
      </c>
      <c r="K41" s="19">
        <f>K38*(1+(1-K40)*K39)</f>
        <v>0.89144594802150479</v>
      </c>
    </row>
    <row r="43" spans="2:11" x14ac:dyDescent="0.3">
      <c r="B43" t="s">
        <v>33</v>
      </c>
      <c r="D43" s="44">
        <f>D39/D40</f>
        <v>0.43784870874929593</v>
      </c>
      <c r="E43" s="44">
        <f>E39/E40</f>
        <v>6.4522962680566523E-2</v>
      </c>
      <c r="G43" s="3" t="s">
        <v>40</v>
      </c>
      <c r="H43" s="2"/>
      <c r="I43" s="2"/>
      <c r="J43" s="2"/>
      <c r="K43" s="2"/>
    </row>
    <row r="45" spans="2:11" x14ac:dyDescent="0.3">
      <c r="J45" s="3" t="s">
        <v>41</v>
      </c>
      <c r="K45" s="3" t="s">
        <v>42</v>
      </c>
    </row>
    <row r="46" spans="2:11" x14ac:dyDescent="0.3">
      <c r="B46" s="1" t="s">
        <v>44</v>
      </c>
      <c r="G46" t="s">
        <v>43</v>
      </c>
      <c r="J46" s="13">
        <f>E32</f>
        <v>4.0057727916348984E-2</v>
      </c>
      <c r="K46" s="13">
        <f>E39</f>
        <v>6.0612090995286548E-2</v>
      </c>
    </row>
    <row r="47" spans="2:11" x14ac:dyDescent="0.3">
      <c r="B47" s="1" t="s">
        <v>45</v>
      </c>
      <c r="G47" s="5" t="s">
        <v>10</v>
      </c>
      <c r="H47" s="5"/>
      <c r="I47" s="5"/>
      <c r="J47" s="34">
        <f>K33</f>
        <v>0.14348282486429831</v>
      </c>
      <c r="K47" s="34">
        <f>E40</f>
        <v>0.93938790900471347</v>
      </c>
    </row>
    <row r="48" spans="2:11" x14ac:dyDescent="0.3">
      <c r="B48" s="1" t="s">
        <v>46</v>
      </c>
      <c r="G48" t="s">
        <v>0</v>
      </c>
      <c r="K48" s="13">
        <f>SUMPRODUCT(J46:J47,K46:K47)</f>
        <v>0.13721401347689288</v>
      </c>
    </row>
    <row r="49" spans="2:2" x14ac:dyDescent="0.3">
      <c r="B49" s="1" t="s">
        <v>47</v>
      </c>
    </row>
    <row r="50" spans="2:2" x14ac:dyDescent="0.3">
      <c r="B50" s="1" t="s">
        <v>48</v>
      </c>
    </row>
  </sheetData>
  <mergeCells count="1">
    <mergeCell ref="B3:K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FD7F8-0EB0-4667-A368-98715FCEAFDC}">
  <dimension ref="B2:F32"/>
  <sheetViews>
    <sheetView showGridLines="0" workbookViewId="0">
      <selection activeCell="E7" sqref="E7"/>
    </sheetView>
  </sheetViews>
  <sheetFormatPr defaultRowHeight="14.4" x14ac:dyDescent="0.3"/>
  <cols>
    <col min="1" max="1" width="1.88671875" customWidth="1"/>
    <col min="5" max="5" width="17.6640625" bestFit="1" customWidth="1"/>
  </cols>
  <sheetData>
    <row r="2" spans="2:6" ht="14.4" customHeight="1" x14ac:dyDescent="0.3">
      <c r="B2" s="37" t="s">
        <v>107</v>
      </c>
      <c r="C2" s="37"/>
      <c r="D2" s="37"/>
      <c r="E2" s="37"/>
      <c r="F2" s="37"/>
    </row>
    <row r="3" spans="2:6" ht="14.4" customHeight="1" x14ac:dyDescent="0.3">
      <c r="B3" s="37"/>
      <c r="C3" s="37"/>
      <c r="D3" s="37"/>
      <c r="E3" s="37"/>
      <c r="F3" s="37"/>
    </row>
    <row r="6" spans="2:6" x14ac:dyDescent="0.3">
      <c r="B6" s="38" t="s">
        <v>101</v>
      </c>
      <c r="C6" s="39" t="s">
        <v>102</v>
      </c>
    </row>
    <row r="7" spans="2:6" x14ac:dyDescent="0.3">
      <c r="B7" s="40">
        <v>2000</v>
      </c>
      <c r="C7" s="41">
        <v>-0.14649999999999999</v>
      </c>
      <c r="E7" t="s">
        <v>103</v>
      </c>
      <c r="F7" s="13">
        <f>AVERAGE(C7:C31)</f>
        <v>0.15334799999999998</v>
      </c>
    </row>
    <row r="8" spans="2:6" ht="16.2" x14ac:dyDescent="0.3">
      <c r="B8" s="40">
        <v>2001</v>
      </c>
      <c r="C8" s="41">
        <v>-0.1618</v>
      </c>
      <c r="E8" t="s">
        <v>104</v>
      </c>
      <c r="F8" t="s">
        <v>106</v>
      </c>
    </row>
    <row r="9" spans="2:6" x14ac:dyDescent="0.3">
      <c r="B9" s="40">
        <v>2002</v>
      </c>
      <c r="C9" s="41">
        <v>3.2500000000000001E-2</v>
      </c>
      <c r="E9" s="26" t="s">
        <v>105</v>
      </c>
      <c r="F9" s="42">
        <f>SUM(F7:F8)</f>
        <v>0.15334799999999998</v>
      </c>
    </row>
    <row r="10" spans="2:6" x14ac:dyDescent="0.3">
      <c r="B10" s="40">
        <v>2003</v>
      </c>
      <c r="C10" s="41">
        <v>0.71900000000000008</v>
      </c>
    </row>
    <row r="11" spans="2:6" x14ac:dyDescent="0.3">
      <c r="B11" s="40">
        <v>2004</v>
      </c>
      <c r="C11" s="41">
        <v>0.10679999999999999</v>
      </c>
    </row>
    <row r="12" spans="2:6" x14ac:dyDescent="0.3">
      <c r="B12" s="40">
        <v>2005</v>
      </c>
      <c r="C12" s="41">
        <v>0.36340000000000006</v>
      </c>
    </row>
    <row r="13" spans="2:6" x14ac:dyDescent="0.3">
      <c r="B13" s="40">
        <v>2006</v>
      </c>
      <c r="C13" s="41">
        <v>0.39829999999999999</v>
      </c>
    </row>
    <row r="14" spans="2:6" x14ac:dyDescent="0.3">
      <c r="B14" s="40">
        <v>2007</v>
      </c>
      <c r="C14" s="41">
        <v>0.54770000000000008</v>
      </c>
    </row>
    <row r="15" spans="2:6" x14ac:dyDescent="0.3">
      <c r="B15" s="40">
        <v>2008</v>
      </c>
      <c r="C15" s="41">
        <v>-0.51790000000000003</v>
      </c>
    </row>
    <row r="16" spans="2:6" x14ac:dyDescent="0.3">
      <c r="B16" s="40">
        <v>2009</v>
      </c>
      <c r="C16" s="41">
        <v>0.75760000000000005</v>
      </c>
    </row>
    <row r="17" spans="2:3" x14ac:dyDescent="0.3">
      <c r="B17" s="40">
        <v>2010</v>
      </c>
      <c r="C17" s="41">
        <v>0.17949999999999999</v>
      </c>
    </row>
    <row r="18" spans="2:3" x14ac:dyDescent="0.3">
      <c r="B18" s="40">
        <v>2011</v>
      </c>
      <c r="C18" s="41">
        <v>-0.2462</v>
      </c>
    </row>
    <row r="19" spans="2:3" x14ac:dyDescent="0.3">
      <c r="B19" s="40">
        <v>2012</v>
      </c>
      <c r="C19" s="41">
        <v>0.27699999999999997</v>
      </c>
    </row>
    <row r="20" spans="2:3" x14ac:dyDescent="0.3">
      <c r="B20" s="40">
        <v>2013</v>
      </c>
      <c r="C20" s="41">
        <v>6.7599999999999993E-2</v>
      </c>
    </row>
    <row r="21" spans="2:3" x14ac:dyDescent="0.3">
      <c r="B21" s="40">
        <v>2014</v>
      </c>
      <c r="C21" s="41">
        <v>0.31390000000000001</v>
      </c>
    </row>
    <row r="22" spans="2:3" x14ac:dyDescent="0.3">
      <c r="B22" s="40">
        <v>2015</v>
      </c>
      <c r="C22" s="41">
        <v>-4.0599999999999997E-2</v>
      </c>
    </row>
    <row r="23" spans="2:3" x14ac:dyDescent="0.3">
      <c r="B23" s="40">
        <v>2016</v>
      </c>
      <c r="C23" s="41">
        <v>3.0099999999999998E-2</v>
      </c>
    </row>
    <row r="24" spans="2:3" x14ac:dyDescent="0.3">
      <c r="B24" s="40">
        <v>2017</v>
      </c>
      <c r="C24" s="41">
        <v>0.28649999999999998</v>
      </c>
    </row>
    <row r="25" spans="2:3" x14ac:dyDescent="0.3">
      <c r="B25" s="40">
        <v>2018</v>
      </c>
      <c r="C25" s="41">
        <v>3.15E-2</v>
      </c>
    </row>
    <row r="26" spans="2:3" x14ac:dyDescent="0.3">
      <c r="B26" s="40">
        <v>2019</v>
      </c>
      <c r="C26" s="41">
        <v>0.1202</v>
      </c>
    </row>
    <row r="27" spans="2:3" x14ac:dyDescent="0.3">
      <c r="B27" s="40">
        <v>2020</v>
      </c>
      <c r="C27" s="41">
        <v>0.14899999999999999</v>
      </c>
    </row>
    <row r="28" spans="2:3" x14ac:dyDescent="0.3">
      <c r="B28" s="40">
        <v>2021</v>
      </c>
      <c r="C28" s="41">
        <v>0.2412</v>
      </c>
    </row>
    <row r="29" spans="2:3" x14ac:dyDescent="0.3">
      <c r="B29" s="40">
        <v>2022</v>
      </c>
      <c r="C29" s="41">
        <v>4.3200000000000002E-2</v>
      </c>
    </row>
    <row r="30" spans="2:3" x14ac:dyDescent="0.3">
      <c r="B30" s="40">
        <v>2023</v>
      </c>
      <c r="C30" s="41">
        <v>0.19420000000000001</v>
      </c>
    </row>
    <row r="31" spans="2:3" x14ac:dyDescent="0.3">
      <c r="B31" s="40">
        <v>2024</v>
      </c>
      <c r="C31" s="41">
        <v>8.7499999999999994E-2</v>
      </c>
    </row>
    <row r="32" spans="2:3" x14ac:dyDescent="0.3">
      <c r="B32" s="40">
        <v>2025</v>
      </c>
    </row>
  </sheetData>
  <mergeCells count="1">
    <mergeCell ref="B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279BA-7C38-477C-A258-490B5FCFA722}">
  <sheetPr>
    <tabColor rgb="FF00206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2971-B040-4147-9516-7EE0EC17A179}">
  <dimension ref="B3:U112"/>
  <sheetViews>
    <sheetView showGridLines="0" workbookViewId="0">
      <selection activeCell="M17" sqref="M17"/>
    </sheetView>
  </sheetViews>
  <sheetFormatPr defaultRowHeight="14.4" x14ac:dyDescent="0.3"/>
  <cols>
    <col min="1" max="1" width="1.88671875" customWidth="1"/>
    <col min="2" max="2" width="14.109375" customWidth="1"/>
    <col min="3" max="3" width="12.88671875" customWidth="1"/>
    <col min="6" max="6" width="9.6640625" customWidth="1"/>
    <col min="7" max="7" width="12" bestFit="1" customWidth="1"/>
    <col min="10" max="10" width="17.5546875" bestFit="1" customWidth="1"/>
    <col min="13" max="13" width="16.6640625" bestFit="1" customWidth="1"/>
    <col min="14" max="14" width="20.21875" bestFit="1" customWidth="1"/>
    <col min="15" max="15" width="13.44140625" bestFit="1" customWidth="1"/>
  </cols>
  <sheetData>
    <row r="3" spans="2:14" x14ac:dyDescent="0.3">
      <c r="B3" s="18" t="s">
        <v>50</v>
      </c>
      <c r="C3" s="18"/>
      <c r="D3" s="18"/>
      <c r="E3" s="18"/>
      <c r="F3" s="18"/>
      <c r="G3" s="18"/>
      <c r="H3" s="18"/>
    </row>
    <row r="5" spans="2:14" x14ac:dyDescent="0.3">
      <c r="B5" s="17" t="s">
        <v>54</v>
      </c>
      <c r="C5" s="17"/>
      <c r="D5" s="17"/>
      <c r="G5" s="17" t="s">
        <v>55</v>
      </c>
      <c r="H5" s="17"/>
      <c r="J5" s="17" t="s">
        <v>63</v>
      </c>
      <c r="K5" s="17"/>
      <c r="M5" t="s">
        <v>69</v>
      </c>
      <c r="N5" s="19">
        <f>SLOPE(D9:D109,H9:H109)</f>
        <v>0.88912475488989617</v>
      </c>
    </row>
    <row r="6" spans="2:14" x14ac:dyDescent="0.3">
      <c r="J6" t="s">
        <v>64</v>
      </c>
      <c r="K6" s="19">
        <f>N8</f>
        <v>0.88912475488989673</v>
      </c>
      <c r="M6" t="s">
        <v>70</v>
      </c>
      <c r="N6" s="19">
        <f>_xlfn.COVARIANCE.S(D9:D109,H9:H109)/_xlfn.VAR.S(H9:H109)</f>
        <v>0.88912475488989617</v>
      </c>
    </row>
    <row r="7" spans="2:14" x14ac:dyDescent="0.3">
      <c r="B7" s="10" t="s">
        <v>51</v>
      </c>
      <c r="C7" s="11" t="s">
        <v>52</v>
      </c>
      <c r="D7" s="11" t="s">
        <v>53</v>
      </c>
      <c r="G7" s="11" t="s">
        <v>56</v>
      </c>
      <c r="H7" s="11" t="s">
        <v>53</v>
      </c>
      <c r="J7" t="s">
        <v>67</v>
      </c>
      <c r="K7" s="13">
        <v>0.75</v>
      </c>
    </row>
    <row r="8" spans="2:14" x14ac:dyDescent="0.3">
      <c r="B8" s="9">
        <v>45100</v>
      </c>
      <c r="C8" s="12">
        <v>5016.8122518361597</v>
      </c>
      <c r="G8" s="12">
        <v>18665.5</v>
      </c>
      <c r="J8" t="s">
        <v>65</v>
      </c>
      <c r="K8" s="13">
        <v>0.25</v>
      </c>
      <c r="M8" t="s">
        <v>71</v>
      </c>
      <c r="N8" s="19">
        <f>N31</f>
        <v>0.88912475488989673</v>
      </c>
    </row>
    <row r="9" spans="2:14" x14ac:dyDescent="0.3">
      <c r="B9" s="9">
        <v>45107</v>
      </c>
      <c r="C9" s="12">
        <v>5069.2628451993596</v>
      </c>
      <c r="D9" s="13">
        <f>C8/C9-1</f>
        <v>-1.0346789062806505E-2</v>
      </c>
      <c r="G9" s="12">
        <v>19189.05</v>
      </c>
      <c r="H9" s="13">
        <f>G8/G9-1</f>
        <v>-2.7283789452838936E-2</v>
      </c>
      <c r="J9" t="s">
        <v>66</v>
      </c>
      <c r="K9">
        <v>1</v>
      </c>
    </row>
    <row r="10" spans="2:14" x14ac:dyDescent="0.3">
      <c r="B10" s="9">
        <v>45114</v>
      </c>
      <c r="C10" s="12">
        <v>5117.0401155520003</v>
      </c>
      <c r="D10" s="13">
        <f t="shared" ref="D10:D73" si="0">C9/C10-1</f>
        <v>-9.3368957979111933E-3</v>
      </c>
      <c r="G10" s="12">
        <v>19331.8</v>
      </c>
      <c r="H10" s="13">
        <f t="shared" ref="H10:H73" si="1">G9/G10-1</f>
        <v>-7.3842063336058139E-3</v>
      </c>
    </row>
    <row r="11" spans="2:14" x14ac:dyDescent="0.3">
      <c r="B11" s="9">
        <v>45121</v>
      </c>
      <c r="C11" s="12">
        <v>5142.4450948966396</v>
      </c>
      <c r="D11" s="13">
        <f t="shared" si="0"/>
        <v>-4.9402529100118775E-3</v>
      </c>
      <c r="G11" s="12">
        <v>19564.5</v>
      </c>
      <c r="H11" s="13">
        <f t="shared" si="1"/>
        <v>-1.1893991668583404E-2</v>
      </c>
      <c r="J11" s="24" t="s">
        <v>68</v>
      </c>
      <c r="K11" s="25">
        <f>(K6*K7)+(K8*K9)</f>
        <v>0.91684356616742257</v>
      </c>
    </row>
    <row r="12" spans="2:14" x14ac:dyDescent="0.3">
      <c r="B12" s="9">
        <v>45128</v>
      </c>
      <c r="C12" s="12">
        <v>5175.3572207795196</v>
      </c>
      <c r="D12" s="13">
        <f t="shared" si="0"/>
        <v>-6.3593921112797824E-3</v>
      </c>
      <c r="G12" s="12">
        <v>19745</v>
      </c>
      <c r="H12" s="13">
        <f t="shared" si="1"/>
        <v>-9.1415548240060263E-3</v>
      </c>
    </row>
    <row r="13" spans="2:14" x14ac:dyDescent="0.3">
      <c r="B13" s="9">
        <v>45135</v>
      </c>
      <c r="C13" s="12">
        <v>5316.6009513433601</v>
      </c>
      <c r="D13" s="13">
        <f t="shared" si="0"/>
        <v>-2.656654728396568E-2</v>
      </c>
      <c r="G13" s="12">
        <v>19646.05</v>
      </c>
      <c r="H13" s="13">
        <f t="shared" si="1"/>
        <v>5.0366358631888097E-3</v>
      </c>
    </row>
    <row r="14" spans="2:14" x14ac:dyDescent="0.3">
      <c r="B14" s="9">
        <v>45142</v>
      </c>
      <c r="C14" s="12">
        <v>4952.0320403174401</v>
      </c>
      <c r="D14" s="13">
        <f t="shared" si="0"/>
        <v>7.3620063048410733E-2</v>
      </c>
      <c r="G14" s="12">
        <v>19517</v>
      </c>
      <c r="H14" s="13">
        <f t="shared" si="1"/>
        <v>6.6121842496285055E-3</v>
      </c>
      <c r="M14" t="s">
        <v>72</v>
      </c>
    </row>
    <row r="15" spans="2:14" ht="15" thickBot="1" x14ac:dyDescent="0.35">
      <c r="B15" s="9">
        <v>45149</v>
      </c>
      <c r="C15" s="12">
        <v>4878.3029123955102</v>
      </c>
      <c r="D15" s="13">
        <f t="shared" si="0"/>
        <v>1.5113683845787484E-2</v>
      </c>
      <c r="G15" s="12">
        <v>19428.3</v>
      </c>
      <c r="H15" s="13">
        <f t="shared" si="1"/>
        <v>4.5655049592605579E-3</v>
      </c>
    </row>
    <row r="16" spans="2:14" x14ac:dyDescent="0.3">
      <c r="B16" s="9">
        <v>45156</v>
      </c>
      <c r="C16" s="12">
        <v>4829.7150322388497</v>
      </c>
      <c r="D16" s="13">
        <f t="shared" si="0"/>
        <v>1.0060196063811588E-2</v>
      </c>
      <c r="G16" s="12">
        <v>19310.150000000001</v>
      </c>
      <c r="H16" s="13">
        <f t="shared" si="1"/>
        <v>6.1185438745943177E-3</v>
      </c>
      <c r="M16" s="23" t="s">
        <v>73</v>
      </c>
      <c r="N16" s="23"/>
    </row>
    <row r="17" spans="2:21" x14ac:dyDescent="0.3">
      <c r="B17" s="9">
        <v>45163</v>
      </c>
      <c r="C17" s="12">
        <v>4846.7991150304997</v>
      </c>
      <c r="D17" s="13">
        <f t="shared" si="0"/>
        <v>-3.5248175932586223E-3</v>
      </c>
      <c r="G17" s="12">
        <v>19265.8</v>
      </c>
      <c r="H17" s="13">
        <f t="shared" si="1"/>
        <v>2.3020066646597392E-3</v>
      </c>
      <c r="M17" s="20" t="s">
        <v>74</v>
      </c>
      <c r="N17" s="20">
        <v>0.49089288840766099</v>
      </c>
    </row>
    <row r="18" spans="2:21" x14ac:dyDescent="0.3">
      <c r="B18" s="9">
        <v>45170</v>
      </c>
      <c r="C18" s="12">
        <v>4821.7457807908504</v>
      </c>
      <c r="D18" s="13">
        <f t="shared" si="0"/>
        <v>5.1959052547851936E-3</v>
      </c>
      <c r="G18" s="12">
        <v>19435.3</v>
      </c>
      <c r="H18" s="13">
        <f t="shared" si="1"/>
        <v>-8.7212443337638668E-3</v>
      </c>
      <c r="M18" s="20" t="s">
        <v>75</v>
      </c>
      <c r="N18" s="20">
        <v>0.24097582788921632</v>
      </c>
    </row>
    <row r="19" spans="2:21" x14ac:dyDescent="0.3">
      <c r="B19" s="9">
        <v>45177</v>
      </c>
      <c r="C19" s="12">
        <v>4965.9892319996497</v>
      </c>
      <c r="D19" s="13">
        <f t="shared" si="0"/>
        <v>-2.9046267414220117E-2</v>
      </c>
      <c r="G19" s="12">
        <v>19819.95</v>
      </c>
      <c r="H19" s="13">
        <f t="shared" si="1"/>
        <v>-1.940721343898455E-2</v>
      </c>
      <c r="M19" s="20" t="s">
        <v>76</v>
      </c>
      <c r="N19" s="20">
        <v>0.23330891705981446</v>
      </c>
    </row>
    <row r="20" spans="2:21" x14ac:dyDescent="0.3">
      <c r="B20" s="9">
        <v>45184</v>
      </c>
      <c r="C20" s="12">
        <v>5072.2293153658002</v>
      </c>
      <c r="D20" s="13">
        <f t="shared" si="0"/>
        <v>-2.0945441690561339E-2</v>
      </c>
      <c r="G20" s="12">
        <v>20192.349999999999</v>
      </c>
      <c r="H20" s="13">
        <f t="shared" si="1"/>
        <v>-1.8442628024969765E-2</v>
      </c>
      <c r="M20" s="20" t="s">
        <v>77</v>
      </c>
      <c r="N20" s="20">
        <v>2.6602858296240033E-2</v>
      </c>
    </row>
    <row r="21" spans="2:21" ht="15" thickBot="1" x14ac:dyDescent="0.35">
      <c r="B21" s="9">
        <v>45191</v>
      </c>
      <c r="C21" s="12">
        <v>4970.37232029605</v>
      </c>
      <c r="D21" s="13">
        <f t="shared" si="0"/>
        <v>2.0492830014730901E-2</v>
      </c>
      <c r="G21" s="12">
        <v>19674.25</v>
      </c>
      <c r="H21" s="13">
        <f t="shared" si="1"/>
        <v>2.6333913618054039E-2</v>
      </c>
      <c r="M21" s="21" t="s">
        <v>78</v>
      </c>
      <c r="N21" s="21">
        <v>101</v>
      </c>
    </row>
    <row r="22" spans="2:21" x14ac:dyDescent="0.3">
      <c r="B22" s="9">
        <v>45198</v>
      </c>
      <c r="C22" s="12">
        <v>5118.0027033702499</v>
      </c>
      <c r="D22" s="13">
        <f t="shared" si="0"/>
        <v>-2.8845311663665996E-2</v>
      </c>
      <c r="G22" s="12">
        <v>19638.3</v>
      </c>
      <c r="H22" s="13">
        <f t="shared" si="1"/>
        <v>1.8306065188942178E-3</v>
      </c>
    </row>
    <row r="23" spans="2:21" ht="15" thickBot="1" x14ac:dyDescent="0.35">
      <c r="B23" s="9">
        <v>45205</v>
      </c>
      <c r="C23" s="12">
        <v>5040.8005799677403</v>
      </c>
      <c r="D23" s="13">
        <f t="shared" si="0"/>
        <v>1.5315448841462409E-2</v>
      </c>
      <c r="G23" s="12">
        <v>19653.5</v>
      </c>
      <c r="H23" s="13">
        <f t="shared" si="1"/>
        <v>-7.7339914010232658E-4</v>
      </c>
      <c r="M23" t="s">
        <v>79</v>
      </c>
    </row>
    <row r="24" spans="2:21" x14ac:dyDescent="0.3">
      <c r="B24" s="9">
        <v>45212</v>
      </c>
      <c r="C24" s="12">
        <v>4998.0156612562996</v>
      </c>
      <c r="D24" s="13">
        <f t="shared" si="0"/>
        <v>8.560381081456292E-3</v>
      </c>
      <c r="G24" s="12">
        <v>19751.05</v>
      </c>
      <c r="H24" s="13">
        <f t="shared" si="1"/>
        <v>-4.9389779277556611E-3</v>
      </c>
      <c r="M24" s="22"/>
      <c r="N24" s="22" t="s">
        <v>84</v>
      </c>
      <c r="O24" s="22" t="s">
        <v>85</v>
      </c>
      <c r="P24" s="22" t="s">
        <v>86</v>
      </c>
      <c r="Q24" s="22" t="s">
        <v>87</v>
      </c>
      <c r="R24" s="22" t="s">
        <v>88</v>
      </c>
    </row>
    <row r="25" spans="2:21" x14ac:dyDescent="0.3">
      <c r="B25" s="9">
        <v>45219</v>
      </c>
      <c r="C25" s="12">
        <v>4958.4184431240501</v>
      </c>
      <c r="D25" s="13">
        <f t="shared" si="0"/>
        <v>7.985856495665411E-3</v>
      </c>
      <c r="G25" s="12">
        <v>19542.650000000001</v>
      </c>
      <c r="H25" s="13">
        <f t="shared" si="1"/>
        <v>1.0663855720692839E-2</v>
      </c>
      <c r="M25" s="20" t="s">
        <v>80</v>
      </c>
      <c r="N25" s="20">
        <v>1</v>
      </c>
      <c r="O25" s="20">
        <v>2.2243835314756849E-2</v>
      </c>
      <c r="P25" s="20">
        <v>2.2243835314756849E-2</v>
      </c>
      <c r="Q25" s="20">
        <v>31.430628743600035</v>
      </c>
      <c r="R25" s="20">
        <v>1.8709077988866849E-7</v>
      </c>
    </row>
    <row r="26" spans="2:21" x14ac:dyDescent="0.3">
      <c r="B26" s="9">
        <v>45226</v>
      </c>
      <c r="C26" s="12">
        <v>4811.6347930161901</v>
      </c>
      <c r="D26" s="13">
        <f t="shared" si="0"/>
        <v>3.0505983189104136E-2</v>
      </c>
      <c r="G26" s="12">
        <v>19047.25</v>
      </c>
      <c r="H26" s="13">
        <f t="shared" si="1"/>
        <v>2.6009003924451157E-2</v>
      </c>
      <c r="M26" s="20" t="s">
        <v>81</v>
      </c>
      <c r="N26" s="20">
        <v>99</v>
      </c>
      <c r="O26" s="20">
        <v>7.0063494883452884E-2</v>
      </c>
      <c r="P26" s="20">
        <v>7.0771206952982709E-4</v>
      </c>
      <c r="Q26" s="20"/>
      <c r="R26" s="20"/>
    </row>
    <row r="27" spans="2:21" ht="15" thickBot="1" x14ac:dyDescent="0.35">
      <c r="B27" s="9">
        <v>45233</v>
      </c>
      <c r="C27" s="12">
        <v>5133.3933202291901</v>
      </c>
      <c r="D27" s="13">
        <f t="shared" si="0"/>
        <v>-6.267950011643264E-2</v>
      </c>
      <c r="G27" s="12">
        <v>19230.599999999999</v>
      </c>
      <c r="H27" s="13">
        <f t="shared" si="1"/>
        <v>-9.5342839016983039E-3</v>
      </c>
      <c r="M27" s="21" t="s">
        <v>82</v>
      </c>
      <c r="N27" s="21">
        <v>100</v>
      </c>
      <c r="O27" s="21">
        <v>9.2307330198209733E-2</v>
      </c>
      <c r="P27" s="21"/>
      <c r="Q27" s="21"/>
      <c r="R27" s="21"/>
    </row>
    <row r="28" spans="2:21" ht="15" thickBot="1" x14ac:dyDescent="0.35">
      <c r="B28" s="9">
        <v>45240</v>
      </c>
      <c r="C28" s="12">
        <v>5258.2117210335</v>
      </c>
      <c r="D28" s="13">
        <f t="shared" si="0"/>
        <v>-2.3737804300466014E-2</v>
      </c>
      <c r="G28" s="12">
        <v>19425.349999999999</v>
      </c>
      <c r="H28" s="13">
        <f t="shared" si="1"/>
        <v>-1.0025559385030358E-2</v>
      </c>
    </row>
    <row r="29" spans="2:21" x14ac:dyDescent="0.3">
      <c r="B29" s="9">
        <v>45247</v>
      </c>
      <c r="C29" s="12">
        <v>5457.8912776274401</v>
      </c>
      <c r="D29" s="13">
        <f t="shared" si="0"/>
        <v>-3.6585477144341572E-2</v>
      </c>
      <c r="G29" s="12">
        <v>19731.8</v>
      </c>
      <c r="H29" s="13">
        <f t="shared" si="1"/>
        <v>-1.5530767593427863E-2</v>
      </c>
      <c r="M29" s="22"/>
      <c r="N29" s="22" t="s">
        <v>89</v>
      </c>
      <c r="O29" s="22" t="s">
        <v>77</v>
      </c>
      <c r="P29" s="22" t="s">
        <v>90</v>
      </c>
      <c r="Q29" s="22" t="s">
        <v>91</v>
      </c>
      <c r="R29" s="22" t="s">
        <v>92</v>
      </c>
      <c r="S29" s="22" t="s">
        <v>93</v>
      </c>
      <c r="T29" s="22" t="s">
        <v>94</v>
      </c>
      <c r="U29" s="22" t="s">
        <v>95</v>
      </c>
    </row>
    <row r="30" spans="2:21" x14ac:dyDescent="0.3">
      <c r="B30" s="9">
        <v>45254</v>
      </c>
      <c r="C30" s="12">
        <v>5380.5397307602998</v>
      </c>
      <c r="D30" s="13">
        <f t="shared" si="0"/>
        <v>1.4376168700126035E-2</v>
      </c>
      <c r="G30" s="12">
        <v>19794.7</v>
      </c>
      <c r="H30" s="13">
        <f t="shared" si="1"/>
        <v>-3.1776182513502116E-3</v>
      </c>
      <c r="M30" s="20" t="s">
        <v>83</v>
      </c>
      <c r="N30" s="20">
        <v>-2.8462044068644325E-4</v>
      </c>
      <c r="O30" s="20">
        <v>2.6810797490677595E-3</v>
      </c>
      <c r="P30" s="20">
        <v>-0.10615888646557749</v>
      </c>
      <c r="Q30" s="20">
        <v>0.91567110374887706</v>
      </c>
      <c r="R30" s="20">
        <v>-5.6044643273417474E-3</v>
      </c>
      <c r="S30" s="20">
        <v>5.0352234459688609E-3</v>
      </c>
      <c r="T30" s="20">
        <v>-5.6044643273417474E-3</v>
      </c>
      <c r="U30" s="20">
        <v>5.0352234459688609E-3</v>
      </c>
    </row>
    <row r="31" spans="2:21" ht="15" thickBot="1" x14ac:dyDescent="0.35">
      <c r="B31" s="9">
        <v>45261</v>
      </c>
      <c r="C31" s="12">
        <v>5569.6600291856403</v>
      </c>
      <c r="D31" s="13">
        <f t="shared" si="0"/>
        <v>-3.3955447448197784E-2</v>
      </c>
      <c r="G31" s="12">
        <v>20267.900000000001</v>
      </c>
      <c r="H31" s="13">
        <f t="shared" si="1"/>
        <v>-2.3347263406667706E-2</v>
      </c>
      <c r="M31" s="21" t="s">
        <v>96</v>
      </c>
      <c r="N31" s="21">
        <v>0.88912475488989673</v>
      </c>
      <c r="O31" s="21">
        <v>0.15859378626700135</v>
      </c>
      <c r="P31" s="21">
        <v>5.6063025911557869</v>
      </c>
      <c r="Q31" s="21">
        <v>1.870907798886641E-7</v>
      </c>
      <c r="R31" s="21">
        <v>0.57444027576263967</v>
      </c>
      <c r="S31" s="21">
        <v>1.2038092340171538</v>
      </c>
      <c r="T31" s="21">
        <v>0.57444027576263967</v>
      </c>
      <c r="U31" s="21">
        <v>1.2038092340171538</v>
      </c>
    </row>
    <row r="32" spans="2:21" x14ac:dyDescent="0.3">
      <c r="B32" s="9">
        <v>45268</v>
      </c>
      <c r="C32" s="12">
        <v>5533.9976289558499</v>
      </c>
      <c r="D32" s="13">
        <f t="shared" si="0"/>
        <v>6.4442384368204042E-3</v>
      </c>
      <c r="G32" s="12">
        <v>20969.400000000001</v>
      </c>
      <c r="H32" s="13">
        <f t="shared" si="1"/>
        <v>-3.3453508445639879E-2</v>
      </c>
    </row>
    <row r="33" spans="2:8" x14ac:dyDescent="0.3">
      <c r="B33" s="9">
        <v>45275</v>
      </c>
      <c r="C33" s="12">
        <v>5529.8635797671996</v>
      </c>
      <c r="D33" s="13">
        <f t="shared" si="0"/>
        <v>7.4758610750835786E-4</v>
      </c>
      <c r="G33" s="12">
        <v>21456.65</v>
      </c>
      <c r="H33" s="13">
        <f t="shared" si="1"/>
        <v>-2.2708577527246754E-2</v>
      </c>
    </row>
    <row r="34" spans="2:8" x14ac:dyDescent="0.3">
      <c r="B34" s="9">
        <v>45282</v>
      </c>
      <c r="C34" s="12">
        <v>5520.1012467433902</v>
      </c>
      <c r="D34" s="13">
        <f t="shared" si="0"/>
        <v>1.7685061536811819E-3</v>
      </c>
      <c r="G34" s="12">
        <v>21349.4</v>
      </c>
      <c r="H34" s="13">
        <f t="shared" si="1"/>
        <v>5.023560381087977E-3</v>
      </c>
    </row>
    <row r="35" spans="2:8" x14ac:dyDescent="0.3">
      <c r="B35" s="9">
        <v>45289</v>
      </c>
      <c r="C35" s="12">
        <v>5682.1758980671002</v>
      </c>
      <c r="D35" s="13">
        <f t="shared" si="0"/>
        <v>-2.8523342858647327E-2</v>
      </c>
      <c r="G35" s="12">
        <v>21731.4</v>
      </c>
      <c r="H35" s="13">
        <f t="shared" si="1"/>
        <v>-1.7578250825993735E-2</v>
      </c>
    </row>
    <row r="36" spans="2:8" x14ac:dyDescent="0.3">
      <c r="B36" s="9">
        <v>45296</v>
      </c>
      <c r="C36" s="12">
        <v>5732.1331430817499</v>
      </c>
      <c r="D36" s="13">
        <f t="shared" si="0"/>
        <v>-8.7152973888864338E-3</v>
      </c>
      <c r="G36" s="12">
        <v>21710.799999999999</v>
      </c>
      <c r="H36" s="13">
        <f t="shared" si="1"/>
        <v>9.4883652375776784E-4</v>
      </c>
    </row>
    <row r="37" spans="2:8" x14ac:dyDescent="0.3">
      <c r="B37" s="9">
        <v>45303</v>
      </c>
      <c r="C37" s="12">
        <v>5773.4238271466902</v>
      </c>
      <c r="D37" s="13">
        <f t="shared" si="0"/>
        <v>-7.1518539606932885E-3</v>
      </c>
      <c r="G37" s="12">
        <v>21894.55</v>
      </c>
      <c r="H37" s="13">
        <f t="shared" si="1"/>
        <v>-8.3924995033010097E-3</v>
      </c>
    </row>
    <row r="38" spans="2:8" x14ac:dyDescent="0.3">
      <c r="B38" s="9">
        <v>45311</v>
      </c>
      <c r="C38" s="12">
        <v>6099.0175566190501</v>
      </c>
      <c r="D38" s="13">
        <f t="shared" si="0"/>
        <v>-5.3384619153785562E-2</v>
      </c>
      <c r="G38" s="12">
        <v>21622.400000000001</v>
      </c>
      <c r="H38" s="13">
        <f t="shared" si="1"/>
        <v>1.2586484386561958E-2</v>
      </c>
    </row>
    <row r="39" spans="2:8" x14ac:dyDescent="0.3">
      <c r="B39" s="9">
        <v>45316</v>
      </c>
      <c r="C39" s="12">
        <v>6145.1395993743499</v>
      </c>
      <c r="D39" s="13">
        <f t="shared" si="0"/>
        <v>-7.5054507728344877E-3</v>
      </c>
      <c r="G39" s="12">
        <v>21352.6</v>
      </c>
      <c r="H39" s="13">
        <f t="shared" si="1"/>
        <v>1.2635463596939234E-2</v>
      </c>
    </row>
    <row r="40" spans="2:8" x14ac:dyDescent="0.3">
      <c r="B40" s="9">
        <v>45324</v>
      </c>
      <c r="C40" s="12">
        <v>6296.2565299570497</v>
      </c>
      <c r="D40" s="13">
        <f t="shared" si="0"/>
        <v>-2.4001075855740406E-2</v>
      </c>
      <c r="G40" s="12">
        <v>21853.8</v>
      </c>
      <c r="H40" s="13">
        <f t="shared" si="1"/>
        <v>-2.2934226541837188E-2</v>
      </c>
    </row>
    <row r="41" spans="2:8" x14ac:dyDescent="0.3">
      <c r="B41" s="9">
        <v>45331</v>
      </c>
      <c r="C41" s="12">
        <v>6412.6076010978504</v>
      </c>
      <c r="D41" s="13">
        <f t="shared" si="0"/>
        <v>-1.8144112095815901E-2</v>
      </c>
      <c r="G41" s="12">
        <v>21782.5</v>
      </c>
      <c r="H41" s="13">
        <f t="shared" si="1"/>
        <v>3.273269826695735E-3</v>
      </c>
    </row>
    <row r="42" spans="2:8" x14ac:dyDescent="0.3">
      <c r="B42" s="9">
        <v>45338</v>
      </c>
      <c r="C42" s="12">
        <v>6575.1803306370502</v>
      </c>
      <c r="D42" s="13">
        <f t="shared" si="0"/>
        <v>-2.4725212292914911E-2</v>
      </c>
      <c r="G42" s="12">
        <v>22040.7</v>
      </c>
      <c r="H42" s="13">
        <f t="shared" si="1"/>
        <v>-1.1714691457167858E-2</v>
      </c>
    </row>
    <row r="43" spans="2:8" x14ac:dyDescent="0.3">
      <c r="B43" s="9">
        <v>45345</v>
      </c>
      <c r="C43" s="12">
        <v>6754.1008522247703</v>
      </c>
      <c r="D43" s="13">
        <f t="shared" si="0"/>
        <v>-2.6490649977307434E-2</v>
      </c>
      <c r="G43" s="12">
        <v>22212.7</v>
      </c>
      <c r="H43" s="13">
        <f t="shared" si="1"/>
        <v>-7.7433180117680855E-3</v>
      </c>
    </row>
    <row r="44" spans="2:8" x14ac:dyDescent="0.3">
      <c r="B44" s="9">
        <v>45353</v>
      </c>
      <c r="C44" s="12">
        <v>6115.2378203512199</v>
      </c>
      <c r="D44" s="13">
        <f t="shared" si="0"/>
        <v>0.10447067647106789</v>
      </c>
      <c r="G44" s="12">
        <v>22338.75</v>
      </c>
      <c r="H44" s="13">
        <f t="shared" si="1"/>
        <v>-5.6426612948351496E-3</v>
      </c>
    </row>
    <row r="45" spans="2:8" x14ac:dyDescent="0.3">
      <c r="B45" s="9">
        <v>45358</v>
      </c>
      <c r="C45" s="12">
        <v>6030.9866674939203</v>
      </c>
      <c r="D45" s="13">
        <f t="shared" si="0"/>
        <v>1.3969713000925754E-2</v>
      </c>
      <c r="G45" s="12">
        <v>22493.55</v>
      </c>
      <c r="H45" s="13">
        <f t="shared" si="1"/>
        <v>-6.8819728322118134E-3</v>
      </c>
    </row>
    <row r="46" spans="2:8" x14ac:dyDescent="0.3">
      <c r="B46" s="9">
        <v>45366</v>
      </c>
      <c r="C46" s="12">
        <v>5965.5798553348804</v>
      </c>
      <c r="D46" s="13">
        <f t="shared" si="0"/>
        <v>1.0964032624682485E-2</v>
      </c>
      <c r="G46" s="12">
        <v>22023.35</v>
      </c>
      <c r="H46" s="13">
        <f t="shared" si="1"/>
        <v>2.1350067087886337E-2</v>
      </c>
    </row>
    <row r="47" spans="2:8" x14ac:dyDescent="0.3">
      <c r="B47" s="9">
        <v>45373</v>
      </c>
      <c r="C47" s="12">
        <v>6357.1233787320598</v>
      </c>
      <c r="D47" s="13">
        <f t="shared" si="0"/>
        <v>-6.1591304756975385E-2</v>
      </c>
      <c r="G47" s="12">
        <v>22096.75</v>
      </c>
      <c r="H47" s="13">
        <f t="shared" si="1"/>
        <v>-3.3217554617761547E-3</v>
      </c>
    </row>
    <row r="48" spans="2:8" x14ac:dyDescent="0.3">
      <c r="B48" s="9">
        <v>45379</v>
      </c>
      <c r="C48" s="12">
        <v>6338.0796270211204</v>
      </c>
      <c r="D48" s="13">
        <f t="shared" si="0"/>
        <v>3.0046564309085255E-3</v>
      </c>
      <c r="G48" s="12">
        <v>22326.9</v>
      </c>
      <c r="H48" s="13">
        <f t="shared" si="1"/>
        <v>-1.0308193255669229E-2</v>
      </c>
    </row>
    <row r="49" spans="2:8" x14ac:dyDescent="0.3">
      <c r="B49" s="9">
        <v>45387</v>
      </c>
      <c r="C49" s="12">
        <v>6378.9090318673498</v>
      </c>
      <c r="D49" s="13">
        <f t="shared" si="0"/>
        <v>-6.4006877417841501E-3</v>
      </c>
      <c r="G49" s="12">
        <v>22513.7</v>
      </c>
      <c r="H49" s="13">
        <f t="shared" si="1"/>
        <v>-8.2971701674979803E-3</v>
      </c>
    </row>
    <row r="50" spans="2:8" x14ac:dyDescent="0.3">
      <c r="B50" s="9">
        <v>45394</v>
      </c>
      <c r="C50" s="12">
        <v>6387.6831164252699</v>
      </c>
      <c r="D50" s="13">
        <f t="shared" si="0"/>
        <v>-1.3735942121735345E-3</v>
      </c>
      <c r="G50" s="12">
        <v>22519.400389999999</v>
      </c>
      <c r="H50" s="13">
        <f t="shared" si="1"/>
        <v>-2.5313240589341923E-4</v>
      </c>
    </row>
    <row r="51" spans="2:8" x14ac:dyDescent="0.3">
      <c r="B51" s="9">
        <v>45401</v>
      </c>
      <c r="C51" s="12">
        <v>6151.38106639947</v>
      </c>
      <c r="D51" s="13">
        <f t="shared" si="0"/>
        <v>3.8414471071634093E-2</v>
      </c>
      <c r="G51" s="12">
        <v>22147</v>
      </c>
      <c r="H51" s="13">
        <f t="shared" si="1"/>
        <v>1.6814936108727974E-2</v>
      </c>
    </row>
    <row r="52" spans="2:8" x14ac:dyDescent="0.3">
      <c r="B52" s="9">
        <v>45408</v>
      </c>
      <c r="C52" s="12">
        <v>6240.1688197952399</v>
      </c>
      <c r="D52" s="13">
        <f t="shared" si="0"/>
        <v>-1.4228421691752091E-2</v>
      </c>
      <c r="G52" s="12">
        <v>22419.949219999999</v>
      </c>
      <c r="H52" s="13">
        <f t="shared" si="1"/>
        <v>-1.2174390642977539E-2</v>
      </c>
    </row>
    <row r="53" spans="2:8" x14ac:dyDescent="0.3">
      <c r="B53" s="9">
        <v>45415</v>
      </c>
      <c r="C53" s="12">
        <v>5991.9021090086399</v>
      </c>
      <c r="D53" s="13">
        <f t="shared" si="0"/>
        <v>4.1433706070287624E-2</v>
      </c>
      <c r="G53" s="12">
        <v>22475.849610000001</v>
      </c>
      <c r="H53" s="13">
        <f t="shared" si="1"/>
        <v>-2.4871313418617369E-3</v>
      </c>
    </row>
    <row r="54" spans="2:8" x14ac:dyDescent="0.3">
      <c r="B54" s="9">
        <v>45422</v>
      </c>
      <c r="C54" s="12">
        <v>5825.2443551613296</v>
      </c>
      <c r="D54" s="13">
        <f t="shared" si="0"/>
        <v>2.8609573038708147E-2</v>
      </c>
      <c r="G54" s="12">
        <v>22055.199219999999</v>
      </c>
      <c r="H54" s="13">
        <f t="shared" si="1"/>
        <v>1.9072618016460652E-2</v>
      </c>
    </row>
    <row r="55" spans="2:8" x14ac:dyDescent="0.3">
      <c r="B55" s="9">
        <v>45430</v>
      </c>
      <c r="C55" s="12">
        <v>5936.4159947304297</v>
      </c>
      <c r="D55" s="13">
        <f t="shared" si="0"/>
        <v>-1.872706354604925E-2</v>
      </c>
      <c r="G55" s="12">
        <v>22464.800780000001</v>
      </c>
      <c r="H55" s="13">
        <f t="shared" si="1"/>
        <v>-1.8233037720266076E-2</v>
      </c>
    </row>
    <row r="56" spans="2:8" x14ac:dyDescent="0.3">
      <c r="B56" s="9">
        <v>45436</v>
      </c>
      <c r="C56" s="12">
        <v>5896.9326142197897</v>
      </c>
      <c r="D56" s="13">
        <f t="shared" si="0"/>
        <v>6.6955793958760612E-3</v>
      </c>
      <c r="G56" s="12">
        <v>22957.099610000001</v>
      </c>
      <c r="H56" s="13">
        <f t="shared" si="1"/>
        <v>-2.1444295593227136E-2</v>
      </c>
    </row>
    <row r="57" spans="2:8" x14ac:dyDescent="0.3">
      <c r="B57" s="9">
        <v>45443</v>
      </c>
      <c r="C57" s="12">
        <v>5822.0039262052796</v>
      </c>
      <c r="D57" s="13">
        <f t="shared" si="0"/>
        <v>1.2869913686806456E-2</v>
      </c>
      <c r="G57" s="12">
        <v>22530.699219999999</v>
      </c>
      <c r="H57" s="13">
        <f t="shared" si="1"/>
        <v>1.8925306571111467E-2</v>
      </c>
    </row>
    <row r="58" spans="2:8" x14ac:dyDescent="0.3">
      <c r="B58" s="9">
        <v>45450</v>
      </c>
      <c r="C58" s="12">
        <v>5996.8375315724697</v>
      </c>
      <c r="D58" s="13">
        <f t="shared" si="0"/>
        <v>-2.9154300820510293E-2</v>
      </c>
      <c r="G58" s="12">
        <v>23290.150389999999</v>
      </c>
      <c r="H58" s="13">
        <f t="shared" si="1"/>
        <v>-3.2608255304615086E-2</v>
      </c>
    </row>
    <row r="59" spans="2:8" x14ac:dyDescent="0.3">
      <c r="B59" s="9">
        <v>45457</v>
      </c>
      <c r="C59" s="12">
        <v>6189.3190115618399</v>
      </c>
      <c r="D59" s="13">
        <f t="shared" si="0"/>
        <v>-3.1098975449449062E-2</v>
      </c>
      <c r="G59" s="12">
        <v>23465.599610000001</v>
      </c>
      <c r="H59" s="13">
        <f t="shared" si="1"/>
        <v>-7.4768692433170303E-3</v>
      </c>
    </row>
    <row r="60" spans="2:8" x14ac:dyDescent="0.3">
      <c r="B60" s="9">
        <v>45464</v>
      </c>
      <c r="C60" s="12">
        <v>6151.8297411780004</v>
      </c>
      <c r="D60" s="13">
        <f t="shared" si="0"/>
        <v>6.0940032414911194E-3</v>
      </c>
      <c r="G60" s="12">
        <v>23501.099610000001</v>
      </c>
      <c r="H60" s="13">
        <f t="shared" si="1"/>
        <v>-1.5105676155210412E-3</v>
      </c>
    </row>
    <row r="61" spans="2:8" x14ac:dyDescent="0.3">
      <c r="B61" s="9">
        <v>45471</v>
      </c>
      <c r="C61" s="12">
        <v>6167.48350567338</v>
      </c>
      <c r="D61" s="13">
        <f t="shared" si="0"/>
        <v>-2.5381120972565174E-3</v>
      </c>
      <c r="G61" s="12">
        <v>24010.599610000001</v>
      </c>
      <c r="H61" s="13">
        <f t="shared" si="1"/>
        <v>-2.1219794935391834E-2</v>
      </c>
    </row>
    <row r="62" spans="2:8" x14ac:dyDescent="0.3">
      <c r="B62" s="9">
        <v>45478</v>
      </c>
      <c r="C62" s="12">
        <v>6309.9128214800703</v>
      </c>
      <c r="D62" s="13">
        <f t="shared" si="0"/>
        <v>-2.2572311192927352E-2</v>
      </c>
      <c r="G62" s="12">
        <v>24323.849610000001</v>
      </c>
      <c r="H62" s="13">
        <f t="shared" si="1"/>
        <v>-1.2878306889022029E-2</v>
      </c>
    </row>
    <row r="63" spans="2:8" x14ac:dyDescent="0.3">
      <c r="B63" s="9">
        <v>45485</v>
      </c>
      <c r="C63" s="12">
        <v>6335.18816733726</v>
      </c>
      <c r="D63" s="13">
        <f t="shared" si="0"/>
        <v>-3.9896756322888027E-3</v>
      </c>
      <c r="G63" s="12">
        <v>24502.150389999999</v>
      </c>
      <c r="H63" s="13">
        <f t="shared" si="1"/>
        <v>-7.2769441523290457E-3</v>
      </c>
    </row>
    <row r="64" spans="2:8" x14ac:dyDescent="0.3">
      <c r="B64" s="9">
        <v>45492</v>
      </c>
      <c r="C64" s="12">
        <v>6363.1555618656303</v>
      </c>
      <c r="D64" s="13">
        <f t="shared" si="0"/>
        <v>-4.3952083610808712E-3</v>
      </c>
      <c r="G64" s="12">
        <v>24530.900389999999</v>
      </c>
      <c r="H64" s="13">
        <f t="shared" si="1"/>
        <v>-1.1719912250640618E-3</v>
      </c>
    </row>
    <row r="65" spans="2:8" x14ac:dyDescent="0.3">
      <c r="B65" s="9">
        <v>45499</v>
      </c>
      <c r="C65" s="12">
        <v>6644.9233227824698</v>
      </c>
      <c r="D65" s="13">
        <f t="shared" si="0"/>
        <v>-4.2403463099534022E-2</v>
      </c>
      <c r="G65" s="12">
        <v>24834.849610000001</v>
      </c>
      <c r="H65" s="13">
        <f t="shared" si="1"/>
        <v>-1.2238818626774117E-2</v>
      </c>
    </row>
    <row r="66" spans="2:8" x14ac:dyDescent="0.3">
      <c r="B66" s="9">
        <v>45506</v>
      </c>
      <c r="C66" s="12">
        <v>6690.3890336735103</v>
      </c>
      <c r="D66" s="13">
        <f t="shared" si="0"/>
        <v>-6.7956752084529226E-3</v>
      </c>
      <c r="G66" s="12">
        <v>24717.699219999999</v>
      </c>
      <c r="H66" s="13">
        <f t="shared" si="1"/>
        <v>4.7395345722636151E-3</v>
      </c>
    </row>
    <row r="67" spans="2:8" x14ac:dyDescent="0.3">
      <c r="B67" s="9">
        <v>45513</v>
      </c>
      <c r="C67" s="12">
        <v>6568.4491994196896</v>
      </c>
      <c r="D67" s="13">
        <f t="shared" si="0"/>
        <v>1.8564478547629548E-2</v>
      </c>
      <c r="G67" s="12">
        <v>24367.5</v>
      </c>
      <c r="H67" s="13">
        <f t="shared" si="1"/>
        <v>1.4371569508566662E-2</v>
      </c>
    </row>
    <row r="68" spans="2:8" x14ac:dyDescent="0.3">
      <c r="B68" s="9">
        <v>45520</v>
      </c>
      <c r="C68" s="12">
        <v>6677.4555227435003</v>
      </c>
      <c r="D68" s="13">
        <f t="shared" si="0"/>
        <v>-1.6324530047790442E-2</v>
      </c>
      <c r="G68" s="12">
        <v>24541.150389999999</v>
      </c>
      <c r="H68" s="13">
        <f t="shared" si="1"/>
        <v>-7.0758863068928202E-3</v>
      </c>
    </row>
    <row r="69" spans="2:8" x14ac:dyDescent="0.3">
      <c r="B69" s="9">
        <v>45527</v>
      </c>
      <c r="C69" s="12">
        <v>6851.0100502305004</v>
      </c>
      <c r="D69" s="13">
        <f t="shared" si="0"/>
        <v>-2.5332691999358725E-2</v>
      </c>
      <c r="G69" s="12">
        <v>24823.150389999999</v>
      </c>
      <c r="H69" s="13">
        <f t="shared" si="1"/>
        <v>-1.1360363030858633E-2</v>
      </c>
    </row>
    <row r="70" spans="2:8" x14ac:dyDescent="0.3">
      <c r="B70" s="9">
        <v>45534</v>
      </c>
      <c r="C70" s="12">
        <v>6917.7157029125001</v>
      </c>
      <c r="D70" s="13">
        <f t="shared" si="0"/>
        <v>-9.6427282569468975E-3</v>
      </c>
      <c r="G70" s="12">
        <v>25235.900389999999</v>
      </c>
      <c r="H70" s="13">
        <f t="shared" si="1"/>
        <v>-1.6355667664766815E-2</v>
      </c>
    </row>
    <row r="71" spans="2:8" x14ac:dyDescent="0.3">
      <c r="B71" s="9">
        <v>45541</v>
      </c>
      <c r="C71" s="12">
        <v>6897.0449392820001</v>
      </c>
      <c r="D71" s="13">
        <f t="shared" si="0"/>
        <v>2.9970463890658383E-3</v>
      </c>
      <c r="G71" s="12">
        <v>24852.150389999999</v>
      </c>
      <c r="H71" s="13">
        <f t="shared" si="1"/>
        <v>1.5441319723962899E-2</v>
      </c>
    </row>
    <row r="72" spans="2:8" x14ac:dyDescent="0.3">
      <c r="B72" s="9">
        <v>45548</v>
      </c>
      <c r="C72" s="12">
        <v>7009.2362578272496</v>
      </c>
      <c r="D72" s="13">
        <f t="shared" si="0"/>
        <v>-1.6006211578324936E-2</v>
      </c>
      <c r="G72" s="12">
        <v>25356.5</v>
      </c>
      <c r="H72" s="13">
        <f t="shared" si="1"/>
        <v>-1.9890348036992522E-2</v>
      </c>
    </row>
    <row r="73" spans="2:8" x14ac:dyDescent="0.3">
      <c r="B73" s="9">
        <v>45555</v>
      </c>
      <c r="C73" s="12">
        <v>7072.6465713797497</v>
      </c>
      <c r="D73" s="13">
        <f t="shared" si="0"/>
        <v>-8.9655707962414954E-3</v>
      </c>
      <c r="G73" s="12">
        <v>25790.949219999999</v>
      </c>
      <c r="H73" s="13">
        <f t="shared" si="1"/>
        <v>-1.684502638092511E-2</v>
      </c>
    </row>
    <row r="74" spans="2:8" x14ac:dyDescent="0.3">
      <c r="B74" s="9">
        <v>45562</v>
      </c>
      <c r="C74" s="12">
        <v>7223.7828069099996</v>
      </c>
      <c r="D74" s="13">
        <f t="shared" ref="D74:D109" si="2">C73/C74-1</f>
        <v>-2.0922034835499037E-2</v>
      </c>
      <c r="G74" s="12">
        <v>26178.949219999999</v>
      </c>
      <c r="H74" s="13">
        <f t="shared" ref="H74:H109" si="3">G73/G74-1</f>
        <v>-1.4821068513459656E-2</v>
      </c>
    </row>
    <row r="75" spans="2:8" x14ac:dyDescent="0.3">
      <c r="B75" s="9">
        <v>45569</v>
      </c>
      <c r="C75" s="12">
        <v>6764.0330689640004</v>
      </c>
      <c r="D75" s="13">
        <f t="shared" si="2"/>
        <v>6.796976496988294E-2</v>
      </c>
      <c r="G75" s="12">
        <v>25014.599610000001</v>
      </c>
      <c r="H75" s="13">
        <f t="shared" si="3"/>
        <v>4.6546801793882375E-2</v>
      </c>
    </row>
    <row r="76" spans="2:8" x14ac:dyDescent="0.3">
      <c r="B76" s="9">
        <v>45576</v>
      </c>
      <c r="C76" s="12">
        <v>6973.5367505909999</v>
      </c>
      <c r="D76" s="13">
        <f t="shared" si="2"/>
        <v>-3.0042672623650235E-2</v>
      </c>
      <c r="G76" s="12">
        <v>24964.25</v>
      </c>
      <c r="H76" s="13">
        <f t="shared" si="3"/>
        <v>2.0168685219865701E-3</v>
      </c>
    </row>
    <row r="77" spans="2:8" x14ac:dyDescent="0.3">
      <c r="B77" s="9">
        <v>45583</v>
      </c>
      <c r="C77" s="12">
        <v>6973.0374567834997</v>
      </c>
      <c r="D77" s="13">
        <f t="shared" si="2"/>
        <v>7.1603488521976288E-5</v>
      </c>
      <c r="G77" s="12">
        <v>24854.050780000001</v>
      </c>
      <c r="H77" s="13">
        <f t="shared" si="3"/>
        <v>4.433853498387208E-3</v>
      </c>
    </row>
    <row r="78" spans="2:8" x14ac:dyDescent="0.3">
      <c r="B78" s="9">
        <v>45590</v>
      </c>
      <c r="C78" s="12">
        <v>6935.0411980327499</v>
      </c>
      <c r="D78" s="13">
        <f t="shared" si="2"/>
        <v>5.4788800334060195E-3</v>
      </c>
      <c r="G78" s="12">
        <v>24180.800780000001</v>
      </c>
      <c r="H78" s="13">
        <f t="shared" si="3"/>
        <v>2.7842336824380309E-2</v>
      </c>
    </row>
    <row r="79" spans="2:8" x14ac:dyDescent="0.3">
      <c r="B79" s="9">
        <v>45597</v>
      </c>
      <c r="C79" s="12">
        <v>7022.0181792992498</v>
      </c>
      <c r="D79" s="13">
        <f t="shared" si="2"/>
        <v>-1.238632242834492E-2</v>
      </c>
      <c r="G79" s="12">
        <v>24304.349610000001</v>
      </c>
      <c r="H79" s="13">
        <f t="shared" si="3"/>
        <v>-5.0834040812663961E-3</v>
      </c>
    </row>
    <row r="80" spans="2:8" x14ac:dyDescent="0.3">
      <c r="B80" s="9">
        <v>45604</v>
      </c>
      <c r="C80" s="12">
        <v>7410.9181259609904</v>
      </c>
      <c r="D80" s="13">
        <f t="shared" si="2"/>
        <v>-5.2476621661679879E-2</v>
      </c>
      <c r="G80" s="12">
        <v>24148.199219999999</v>
      </c>
      <c r="H80" s="13">
        <f t="shared" si="3"/>
        <v>6.4663368302293467E-3</v>
      </c>
    </row>
    <row r="81" spans="2:8" x14ac:dyDescent="0.3">
      <c r="B81" s="9">
        <v>45610</v>
      </c>
      <c r="C81" s="12">
        <v>6850.9601208497497</v>
      </c>
      <c r="D81" s="13">
        <f t="shared" si="2"/>
        <v>8.1734238009516735E-2</v>
      </c>
      <c r="G81" s="12">
        <v>23555.5</v>
      </c>
      <c r="H81" s="13">
        <f t="shared" si="3"/>
        <v>2.5161818683534509E-2</v>
      </c>
    </row>
    <row r="82" spans="2:8" x14ac:dyDescent="0.3">
      <c r="B82" s="9">
        <v>45618</v>
      </c>
      <c r="C82" s="12">
        <v>6925.3049687864996</v>
      </c>
      <c r="D82" s="13">
        <f t="shared" si="2"/>
        <v>-1.0735245346137789E-2</v>
      </c>
      <c r="G82" s="12">
        <v>23349.900389999999</v>
      </c>
      <c r="H82" s="13">
        <f t="shared" si="3"/>
        <v>8.8051600463381341E-3</v>
      </c>
    </row>
    <row r="83" spans="2:8" x14ac:dyDescent="0.3">
      <c r="B83" s="9">
        <v>45625</v>
      </c>
      <c r="C83" s="12">
        <v>6819.2549640734997</v>
      </c>
      <c r="D83" s="13">
        <f t="shared" si="2"/>
        <v>1.5551552958748882E-2</v>
      </c>
      <c r="G83" s="12">
        <v>23914.150389999999</v>
      </c>
      <c r="H83" s="13">
        <f t="shared" si="3"/>
        <v>-2.3594816909571215E-2</v>
      </c>
    </row>
    <row r="84" spans="2:8" x14ac:dyDescent="0.3">
      <c r="B84" s="9">
        <v>45632</v>
      </c>
      <c r="C84" s="12">
        <v>7223.0837955794996</v>
      </c>
      <c r="D84" s="13">
        <f t="shared" si="2"/>
        <v>-5.5908091742358224E-2</v>
      </c>
      <c r="G84" s="12">
        <v>24708.400389999999</v>
      </c>
      <c r="H84" s="13">
        <f t="shared" si="3"/>
        <v>-3.2144938056024475E-2</v>
      </c>
    </row>
    <row r="85" spans="2:8" x14ac:dyDescent="0.3">
      <c r="B85" s="9">
        <v>45639</v>
      </c>
      <c r="C85" s="12">
        <v>7249.19686171175</v>
      </c>
      <c r="D85" s="13">
        <f t="shared" si="2"/>
        <v>-3.602201268691263E-3</v>
      </c>
      <c r="G85" s="12">
        <v>24548.699219999999</v>
      </c>
      <c r="H85" s="13">
        <f t="shared" si="3"/>
        <v>6.5054840001417258E-3</v>
      </c>
    </row>
    <row r="86" spans="2:8" x14ac:dyDescent="0.3">
      <c r="B86" s="9">
        <v>45646</v>
      </c>
      <c r="C86" s="12">
        <v>7241.4578076955004</v>
      </c>
      <c r="D86" s="13">
        <f t="shared" si="2"/>
        <v>1.0687149220183212E-3</v>
      </c>
      <c r="G86" s="12">
        <v>23951.699219999999</v>
      </c>
      <c r="H86" s="13">
        <f t="shared" si="3"/>
        <v>2.4925162700001557E-2</v>
      </c>
    </row>
    <row r="87" spans="2:8" x14ac:dyDescent="0.3">
      <c r="B87" s="9">
        <v>45653</v>
      </c>
      <c r="C87" s="12">
        <v>7236.0654345744997</v>
      </c>
      <c r="D87" s="13">
        <f t="shared" si="2"/>
        <v>7.45207899203848E-4</v>
      </c>
      <c r="G87" s="12">
        <v>23750.199219999999</v>
      </c>
      <c r="H87" s="13">
        <f t="shared" si="3"/>
        <v>8.4841393595687098E-3</v>
      </c>
    </row>
    <row r="88" spans="2:8" x14ac:dyDescent="0.3">
      <c r="B88" s="9">
        <v>45660</v>
      </c>
      <c r="C88" s="12">
        <v>7288.04191993525</v>
      </c>
      <c r="D88" s="13">
        <f t="shared" si="2"/>
        <v>-7.1317489569561188E-3</v>
      </c>
      <c r="G88" s="12">
        <v>24188.650389999999</v>
      </c>
      <c r="H88" s="13">
        <f t="shared" si="3"/>
        <v>-1.8126318042996914E-2</v>
      </c>
    </row>
    <row r="89" spans="2:8" x14ac:dyDescent="0.3">
      <c r="B89" s="9">
        <v>45667</v>
      </c>
      <c r="C89" s="12">
        <v>7026.8113998512499</v>
      </c>
      <c r="D89" s="13">
        <f t="shared" si="2"/>
        <v>3.7176253241908652E-2</v>
      </c>
      <c r="G89" s="12">
        <v>23526.5</v>
      </c>
      <c r="H89" s="13">
        <f t="shared" si="3"/>
        <v>2.8144874503219786E-2</v>
      </c>
    </row>
    <row r="90" spans="2:8" x14ac:dyDescent="0.3">
      <c r="B90" s="9">
        <v>45674</v>
      </c>
      <c r="C90" s="12">
        <v>6818.4560939815001</v>
      </c>
      <c r="D90" s="13">
        <f t="shared" si="2"/>
        <v>3.0557548952124369E-2</v>
      </c>
      <c r="G90" s="12">
        <v>23311.800780000001</v>
      </c>
      <c r="H90" s="13">
        <f t="shared" si="3"/>
        <v>9.2098942516785076E-3</v>
      </c>
    </row>
    <row r="91" spans="2:8" x14ac:dyDescent="0.3">
      <c r="B91" s="9">
        <v>45681</v>
      </c>
      <c r="C91" s="12">
        <v>6735.5233925557504</v>
      </c>
      <c r="D91" s="13">
        <f t="shared" si="2"/>
        <v>1.2312733041267343E-2</v>
      </c>
      <c r="G91" s="12">
        <v>23205.349610000001</v>
      </c>
      <c r="H91" s="13">
        <f t="shared" si="3"/>
        <v>4.5873547172987639E-3</v>
      </c>
    </row>
    <row r="92" spans="2:8" x14ac:dyDescent="0.3">
      <c r="B92" s="9">
        <v>45689</v>
      </c>
      <c r="C92" s="12">
        <v>6831.4377329765002</v>
      </c>
      <c r="D92" s="13">
        <f t="shared" si="2"/>
        <v>-1.4040139743608404E-2</v>
      </c>
      <c r="G92" s="12">
        <v>23508.400389999999</v>
      </c>
      <c r="H92" s="13">
        <f t="shared" si="3"/>
        <v>-1.2891169750916309E-2</v>
      </c>
    </row>
    <row r="93" spans="2:8" x14ac:dyDescent="0.3">
      <c r="B93" s="9">
        <v>45695</v>
      </c>
      <c r="C93" s="12">
        <v>6780.9591290382496</v>
      </c>
      <c r="D93" s="13">
        <f t="shared" si="2"/>
        <v>7.4441687344914964E-3</v>
      </c>
      <c r="G93" s="12">
        <v>23603.349610000001</v>
      </c>
      <c r="H93" s="13">
        <f t="shared" si="3"/>
        <v>-4.0227010813658204E-3</v>
      </c>
    </row>
    <row r="94" spans="2:8" x14ac:dyDescent="0.3">
      <c r="B94" s="9">
        <v>45702</v>
      </c>
      <c r="C94" s="12">
        <v>6270.5</v>
      </c>
      <c r="D94" s="13">
        <f t="shared" si="2"/>
        <v>8.1406447498325374E-2</v>
      </c>
      <c r="G94" s="12">
        <v>23031.400389999999</v>
      </c>
      <c r="H94" s="13">
        <f t="shared" si="3"/>
        <v>2.4833453907055381E-2</v>
      </c>
    </row>
    <row r="95" spans="2:8" x14ac:dyDescent="0.3">
      <c r="B95" s="9">
        <v>45709</v>
      </c>
      <c r="C95" s="12">
        <v>6317.55</v>
      </c>
      <c r="D95" s="13">
        <f t="shared" si="2"/>
        <v>-7.4475073406621295E-3</v>
      </c>
      <c r="G95" s="12">
        <v>22913.150389999999</v>
      </c>
      <c r="H95" s="13">
        <f t="shared" si="3"/>
        <v>5.1607918591416446E-3</v>
      </c>
    </row>
    <row r="96" spans="2:8" x14ac:dyDescent="0.3">
      <c r="B96" s="9">
        <v>45716</v>
      </c>
      <c r="C96" s="12">
        <v>6052.6</v>
      </c>
      <c r="D96" s="13">
        <f t="shared" si="2"/>
        <v>4.3774576215180216E-2</v>
      </c>
      <c r="G96" s="12">
        <v>22545.050780000001</v>
      </c>
      <c r="H96" s="13">
        <f t="shared" si="3"/>
        <v>1.6327291235313846E-2</v>
      </c>
    </row>
    <row r="97" spans="2:8" x14ac:dyDescent="0.3">
      <c r="B97" s="9">
        <v>45723</v>
      </c>
      <c r="C97" s="12">
        <v>6216.1</v>
      </c>
      <c r="D97" s="13">
        <f t="shared" si="2"/>
        <v>-2.6302665658531899E-2</v>
      </c>
      <c r="G97" s="12">
        <v>22544.699219999999</v>
      </c>
      <c r="H97" s="13">
        <f t="shared" si="3"/>
        <v>1.5593909529432182E-5</v>
      </c>
    </row>
    <row r="98" spans="2:8" x14ac:dyDescent="0.3">
      <c r="B98" s="9">
        <v>45729</v>
      </c>
      <c r="C98" s="12">
        <v>6105.65</v>
      </c>
      <c r="D98" s="13">
        <f t="shared" si="2"/>
        <v>1.8089802068576022E-2</v>
      </c>
      <c r="G98" s="12">
        <v>22470.5</v>
      </c>
      <c r="H98" s="13">
        <f t="shared" si="3"/>
        <v>3.302072495048991E-3</v>
      </c>
    </row>
    <row r="99" spans="2:8" x14ac:dyDescent="0.3">
      <c r="B99" s="9">
        <v>45737</v>
      </c>
      <c r="C99" s="12">
        <v>6611.55</v>
      </c>
      <c r="D99" s="13">
        <f t="shared" si="2"/>
        <v>-7.6517609335178705E-2</v>
      </c>
      <c r="G99" s="12">
        <v>23190.650389999999</v>
      </c>
      <c r="H99" s="13">
        <f t="shared" si="3"/>
        <v>-3.1053479651891647E-2</v>
      </c>
    </row>
    <row r="100" spans="2:8" x14ac:dyDescent="0.3">
      <c r="B100" s="9">
        <v>45744</v>
      </c>
      <c r="C100" s="12">
        <v>6616.2</v>
      </c>
      <c r="D100" s="13">
        <f t="shared" si="2"/>
        <v>-7.0282035004987087E-4</v>
      </c>
      <c r="G100" s="12">
        <v>23591.949219999999</v>
      </c>
      <c r="H100" s="13">
        <f t="shared" si="3"/>
        <v>-1.700999041061857E-2</v>
      </c>
    </row>
    <row r="101" spans="2:8" x14ac:dyDescent="0.3">
      <c r="B101" s="9">
        <v>45751</v>
      </c>
      <c r="C101" s="12">
        <v>6714.55</v>
      </c>
      <c r="D101" s="13">
        <f t="shared" si="2"/>
        <v>-1.4647295797931448E-2</v>
      </c>
      <c r="G101" s="12">
        <v>23250.099610000001</v>
      </c>
      <c r="H101" s="13">
        <f t="shared" si="3"/>
        <v>1.4703146039553472E-2</v>
      </c>
    </row>
    <row r="102" spans="2:8" x14ac:dyDescent="0.3">
      <c r="B102" s="9">
        <v>45758</v>
      </c>
      <c r="C102" s="12">
        <v>6780.95</v>
      </c>
      <c r="D102" s="13">
        <f t="shared" si="2"/>
        <v>-9.7921382697113701E-3</v>
      </c>
      <c r="G102" s="12">
        <v>22535.849610000001</v>
      </c>
      <c r="H102" s="13">
        <f t="shared" si="3"/>
        <v>3.1693945973222171E-2</v>
      </c>
    </row>
    <row r="103" spans="2:8" x14ac:dyDescent="0.3">
      <c r="B103" s="9">
        <v>45764</v>
      </c>
      <c r="C103" s="12">
        <v>7073.5</v>
      </c>
      <c r="D103" s="13">
        <f t="shared" si="2"/>
        <v>-4.135859192761715E-2</v>
      </c>
      <c r="G103" s="12">
        <v>23437.199219999999</v>
      </c>
      <c r="H103" s="13">
        <f t="shared" si="3"/>
        <v>-3.8458076903269078E-2</v>
      </c>
    </row>
    <row r="104" spans="2:8" x14ac:dyDescent="0.3">
      <c r="B104" s="9">
        <v>45772</v>
      </c>
      <c r="C104" s="12">
        <v>6953</v>
      </c>
      <c r="D104" s="13">
        <f t="shared" si="2"/>
        <v>1.7330648640874413E-2</v>
      </c>
      <c r="G104" s="12">
        <v>24246.699219999999</v>
      </c>
      <c r="H104" s="13">
        <f t="shared" si="3"/>
        <v>-3.3385987620627611E-2</v>
      </c>
    </row>
    <row r="105" spans="2:8" x14ac:dyDescent="0.3">
      <c r="B105" s="9">
        <v>45779</v>
      </c>
      <c r="C105" s="12">
        <v>6954.5</v>
      </c>
      <c r="D105" s="13">
        <f t="shared" si="2"/>
        <v>-2.1568768423319007E-4</v>
      </c>
      <c r="G105" s="12">
        <v>24335.949219999999</v>
      </c>
      <c r="H105" s="13">
        <f t="shared" si="3"/>
        <v>-3.6674139641387216E-3</v>
      </c>
    </row>
    <row r="106" spans="2:8" x14ac:dyDescent="0.3">
      <c r="B106" s="9">
        <v>45786</v>
      </c>
      <c r="C106" s="12">
        <v>6722</v>
      </c>
      <c r="D106" s="13">
        <f t="shared" si="2"/>
        <v>3.4587920261826888E-2</v>
      </c>
      <c r="G106" s="12">
        <v>24273.800780000001</v>
      </c>
      <c r="H106" s="13">
        <f t="shared" si="3"/>
        <v>2.5603093871975346E-3</v>
      </c>
    </row>
    <row r="107" spans="2:8" x14ac:dyDescent="0.3">
      <c r="B107" s="9">
        <v>45793</v>
      </c>
      <c r="C107" s="12">
        <v>7015</v>
      </c>
      <c r="D107" s="13">
        <f t="shared" si="2"/>
        <v>-4.1767640769779013E-2</v>
      </c>
      <c r="G107" s="12">
        <v>25062.099610000001</v>
      </c>
      <c r="H107" s="13">
        <f t="shared" si="3"/>
        <v>-3.1453822395848374E-2</v>
      </c>
    </row>
    <row r="108" spans="2:8" x14ac:dyDescent="0.3">
      <c r="B108" s="9">
        <v>45800</v>
      </c>
      <c r="C108" s="12">
        <v>7064.5</v>
      </c>
      <c r="D108" s="13">
        <f t="shared" si="2"/>
        <v>-7.0068653124778502E-3</v>
      </c>
      <c r="G108" s="12">
        <v>24609.699219999999</v>
      </c>
      <c r="H108" s="13">
        <f t="shared" si="3"/>
        <v>1.8383011753038581E-2</v>
      </c>
    </row>
    <row r="109" spans="2:8" x14ac:dyDescent="0.3">
      <c r="B109" s="9">
        <v>45807</v>
      </c>
      <c r="C109" s="12">
        <v>6880.5</v>
      </c>
      <c r="D109" s="13">
        <f t="shared" si="2"/>
        <v>2.6742242569580688E-2</v>
      </c>
      <c r="G109" s="12">
        <v>24833.599610000001</v>
      </c>
      <c r="H109" s="13">
        <f t="shared" si="3"/>
        <v>-9.0160264124513612E-3</v>
      </c>
    </row>
    <row r="110" spans="2:8" x14ac:dyDescent="0.3">
      <c r="B110" s="9"/>
    </row>
    <row r="111" spans="2:8" x14ac:dyDescent="0.3">
      <c r="B111" s="9"/>
    </row>
    <row r="112" spans="2:8" x14ac:dyDescent="0.3">
      <c r="B112" s="9"/>
    </row>
  </sheetData>
  <mergeCells count="4">
    <mergeCell ref="B5:D5"/>
    <mergeCell ref="G5:H5"/>
    <mergeCell ref="B3:H3"/>
    <mergeCell ref="J5:K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332AF-4154-4F0A-A4A4-9DA909C550B9}">
  <dimension ref="B3:U112"/>
  <sheetViews>
    <sheetView showGridLines="0" workbookViewId="0">
      <selection activeCell="K11" sqref="J11:K11"/>
    </sheetView>
  </sheetViews>
  <sheetFormatPr defaultRowHeight="14.4" x14ac:dyDescent="0.3"/>
  <cols>
    <col min="1" max="1" width="1.88671875" customWidth="1"/>
    <col min="2" max="2" width="10.33203125" bestFit="1" customWidth="1"/>
    <col min="3" max="3" width="18.21875" customWidth="1"/>
    <col min="4" max="4" width="8.44140625" customWidth="1"/>
    <col min="7" max="7" width="13" customWidth="1"/>
    <col min="8" max="8" width="10.21875" customWidth="1"/>
    <col min="10" max="10" width="17.5546875" bestFit="1" customWidth="1"/>
    <col min="13" max="13" width="16.6640625" bestFit="1" customWidth="1"/>
    <col min="14" max="14" width="20.21875" bestFit="1" customWidth="1"/>
  </cols>
  <sheetData>
    <row r="3" spans="2:14" x14ac:dyDescent="0.3">
      <c r="B3" s="18" t="s">
        <v>50</v>
      </c>
      <c r="C3" s="18"/>
      <c r="D3" s="18"/>
      <c r="E3" s="18"/>
      <c r="F3" s="18"/>
      <c r="G3" s="18"/>
      <c r="H3" s="18"/>
    </row>
    <row r="5" spans="2:14" x14ac:dyDescent="0.3">
      <c r="B5" s="17" t="s">
        <v>60</v>
      </c>
      <c r="C5" s="17"/>
      <c r="D5" s="17"/>
      <c r="G5" s="17" t="s">
        <v>55</v>
      </c>
      <c r="H5" s="17"/>
      <c r="J5" s="17" t="s">
        <v>63</v>
      </c>
      <c r="K5" s="17"/>
      <c r="M5" t="s">
        <v>69</v>
      </c>
      <c r="N5" s="19">
        <f>SLOPE(D9:D109,H9:H109)</f>
        <v>0.58250536812740528</v>
      </c>
    </row>
    <row r="6" spans="2:14" x14ac:dyDescent="0.3">
      <c r="J6" t="s">
        <v>64</v>
      </c>
      <c r="K6" s="19">
        <f>N8</f>
        <v>0.58250536812740572</v>
      </c>
      <c r="M6" t="s">
        <v>70</v>
      </c>
      <c r="N6" s="19">
        <f>_xlfn.COVARIANCE.S(H9:H109,D9:D109)/_xlfn.VAR.S(H9:H109)</f>
        <v>0.58250536812740517</v>
      </c>
    </row>
    <row r="7" spans="2:14" x14ac:dyDescent="0.3">
      <c r="B7" s="10" t="s">
        <v>51</v>
      </c>
      <c r="C7" s="11" t="s">
        <v>52</v>
      </c>
      <c r="D7" s="11" t="s">
        <v>53</v>
      </c>
      <c r="G7" s="11" t="s">
        <v>56</v>
      </c>
      <c r="H7" s="11" t="s">
        <v>53</v>
      </c>
      <c r="J7" t="s">
        <v>67</v>
      </c>
      <c r="K7" s="13">
        <v>0.75</v>
      </c>
    </row>
    <row r="8" spans="2:14" x14ac:dyDescent="0.3">
      <c r="B8" s="8">
        <v>45100</v>
      </c>
      <c r="C8" s="12">
        <v>2067.8060590682499</v>
      </c>
      <c r="G8" s="12">
        <v>18665.5</v>
      </c>
      <c r="J8" t="s">
        <v>65</v>
      </c>
      <c r="K8" s="13">
        <v>0.25</v>
      </c>
      <c r="M8" t="s">
        <v>71</v>
      </c>
      <c r="N8" s="19">
        <f>N31</f>
        <v>0.58250536812740572</v>
      </c>
    </row>
    <row r="9" spans="2:14" x14ac:dyDescent="0.3">
      <c r="B9" s="8">
        <v>45107</v>
      </c>
      <c r="C9" s="12">
        <v>2214.375908173</v>
      </c>
      <c r="D9" s="13">
        <f>C9/C8-1</f>
        <v>7.0881816242860829E-2</v>
      </c>
      <c r="G9" s="12">
        <v>19189.05</v>
      </c>
      <c r="H9" s="13">
        <f>G9/G8-1</f>
        <v>2.8049074495727355E-2</v>
      </c>
      <c r="J9" t="s">
        <v>66</v>
      </c>
      <c r="K9">
        <v>1</v>
      </c>
    </row>
    <row r="10" spans="2:14" x14ac:dyDescent="0.3">
      <c r="B10" s="8">
        <v>45114</v>
      </c>
      <c r="C10" s="12">
        <v>2312.579177182</v>
      </c>
      <c r="D10" s="13">
        <f t="shared" ref="D10:D73" si="0">C10/C9-1</f>
        <v>4.4348057006284858E-2</v>
      </c>
      <c r="G10" s="12">
        <v>19331.8</v>
      </c>
      <c r="H10" s="13">
        <f t="shared" ref="H10:H73" si="1">G10/G9-1</f>
        <v>7.4391384669902916E-3</v>
      </c>
    </row>
    <row r="11" spans="2:14" x14ac:dyDescent="0.3">
      <c r="B11" s="8">
        <v>45121</v>
      </c>
      <c r="C11" s="12">
        <v>2309.5899559197501</v>
      </c>
      <c r="D11" s="13">
        <f t="shared" si="0"/>
        <v>-1.2925919647397421E-3</v>
      </c>
      <c r="G11" s="12">
        <v>19564.5</v>
      </c>
      <c r="H11" s="13">
        <f t="shared" si="1"/>
        <v>1.2037161567986399E-2</v>
      </c>
      <c r="J11" s="24" t="s">
        <v>68</v>
      </c>
      <c r="K11" s="25">
        <f>(K6*K7)+(K8*K9)</f>
        <v>0.68687902609555429</v>
      </c>
    </row>
    <row r="12" spans="2:14" x14ac:dyDescent="0.3">
      <c r="B12" s="8">
        <v>45128</v>
      </c>
      <c r="C12" s="12">
        <v>2241.3279031604998</v>
      </c>
      <c r="D12" s="13">
        <f t="shared" si="0"/>
        <v>-2.955591860983231E-2</v>
      </c>
      <c r="G12" s="12">
        <v>19745</v>
      </c>
      <c r="H12" s="13">
        <f t="shared" si="1"/>
        <v>9.225893838329613E-3</v>
      </c>
    </row>
    <row r="13" spans="2:14" x14ac:dyDescent="0.3">
      <c r="B13" s="8">
        <v>45135</v>
      </c>
      <c r="C13" s="12">
        <v>2307.72781808425</v>
      </c>
      <c r="D13" s="13">
        <f t="shared" si="0"/>
        <v>2.9625256897984231E-2</v>
      </c>
      <c r="G13" s="12">
        <v>19646.05</v>
      </c>
      <c r="H13" s="13">
        <f t="shared" si="1"/>
        <v>-5.0113952899468739E-3</v>
      </c>
    </row>
    <row r="14" spans="2:14" x14ac:dyDescent="0.3">
      <c r="B14" s="8">
        <v>45142</v>
      </c>
      <c r="C14" s="12">
        <v>2303.1214771227401</v>
      </c>
      <c r="D14" s="13">
        <f t="shared" si="0"/>
        <v>-1.996050368424207E-3</v>
      </c>
      <c r="G14" s="12">
        <v>19517</v>
      </c>
      <c r="H14" s="13">
        <f t="shared" si="1"/>
        <v>-6.568750461288575E-3</v>
      </c>
      <c r="M14" t="s">
        <v>72</v>
      </c>
    </row>
    <row r="15" spans="2:14" ht="15" thickBot="1" x14ac:dyDescent="0.35">
      <c r="B15" s="8">
        <v>45149</v>
      </c>
      <c r="C15" s="12">
        <v>2263.7146840554001</v>
      </c>
      <c r="D15" s="13">
        <f t="shared" si="0"/>
        <v>-1.7110166988052455E-2</v>
      </c>
      <c r="G15" s="12">
        <v>19428.3</v>
      </c>
      <c r="H15" s="13">
        <f t="shared" si="1"/>
        <v>-4.5447558538710409E-3</v>
      </c>
    </row>
    <row r="16" spans="2:14" x14ac:dyDescent="0.3">
      <c r="B16" s="8">
        <v>45156</v>
      </c>
      <c r="C16" s="12">
        <v>2208.50092946823</v>
      </c>
      <c r="D16" s="13">
        <f t="shared" si="0"/>
        <v>-2.4390774586599329E-2</v>
      </c>
      <c r="G16" s="12">
        <v>19310.150000000001</v>
      </c>
      <c r="H16" s="13">
        <f t="shared" si="1"/>
        <v>-6.0813349598265454E-3</v>
      </c>
      <c r="M16" s="23" t="s">
        <v>73</v>
      </c>
      <c r="N16" s="23"/>
    </row>
    <row r="17" spans="2:21" x14ac:dyDescent="0.3">
      <c r="B17" s="8">
        <v>45163</v>
      </c>
      <c r="C17" s="12">
        <v>2171.6589237312101</v>
      </c>
      <c r="D17" s="13">
        <f t="shared" si="0"/>
        <v>-1.668190637614575E-2</v>
      </c>
      <c r="G17" s="12">
        <v>19265.8</v>
      </c>
      <c r="H17" s="13">
        <f t="shared" si="1"/>
        <v>-2.2967196008317758E-3</v>
      </c>
      <c r="M17" s="20" t="s">
        <v>74</v>
      </c>
      <c r="N17" s="20">
        <v>0.25444408203004387</v>
      </c>
    </row>
    <row r="18" spans="2:21" x14ac:dyDescent="0.3">
      <c r="B18" s="8">
        <v>45170</v>
      </c>
      <c r="C18" s="12">
        <v>2168.4081585191202</v>
      </c>
      <c r="D18" s="13">
        <f t="shared" si="0"/>
        <v>-1.4969041300945118E-3</v>
      </c>
      <c r="G18" s="12">
        <v>19435.3</v>
      </c>
      <c r="H18" s="13">
        <f t="shared" si="1"/>
        <v>8.7979736112697715E-3</v>
      </c>
      <c r="M18" s="20" t="s">
        <v>75</v>
      </c>
      <c r="N18" s="20">
        <v>6.4741790880111699E-2</v>
      </c>
    </row>
    <row r="19" spans="2:21" x14ac:dyDescent="0.3">
      <c r="B19" s="8">
        <v>45177</v>
      </c>
      <c r="C19" s="12">
        <v>2184.31720645102</v>
      </c>
      <c r="D19" s="13">
        <f t="shared" si="0"/>
        <v>7.3367404883610821E-3</v>
      </c>
      <c r="G19" s="12">
        <v>19819.95</v>
      </c>
      <c r="H19" s="13">
        <f t="shared" si="1"/>
        <v>1.9791307569216876E-2</v>
      </c>
      <c r="M19" s="20" t="s">
        <v>76</v>
      </c>
      <c r="N19" s="20">
        <v>5.529473826273909E-2</v>
      </c>
    </row>
    <row r="20" spans="2:21" x14ac:dyDescent="0.3">
      <c r="B20" s="8">
        <v>45184</v>
      </c>
      <c r="C20" s="12">
        <v>2300.9507219393399</v>
      </c>
      <c r="D20" s="13">
        <f t="shared" si="0"/>
        <v>5.3395869035807619E-2</v>
      </c>
      <c r="G20" s="12">
        <v>20192.349999999999</v>
      </c>
      <c r="H20" s="13">
        <f t="shared" si="1"/>
        <v>1.8789149316723597E-2</v>
      </c>
      <c r="M20" s="20" t="s">
        <v>77</v>
      </c>
      <c r="N20" s="20">
        <v>3.7412555246625699E-2</v>
      </c>
    </row>
    <row r="21" spans="2:21" ht="15" thickBot="1" x14ac:dyDescent="0.35">
      <c r="B21" s="8">
        <v>45191</v>
      </c>
      <c r="C21" s="12">
        <v>2304.6940273350801</v>
      </c>
      <c r="D21" s="13">
        <f t="shared" si="0"/>
        <v>1.6268516140081068E-3</v>
      </c>
      <c r="G21" s="12">
        <v>19674.25</v>
      </c>
      <c r="H21" s="13">
        <f t="shared" si="1"/>
        <v>-2.5658231954180599E-2</v>
      </c>
      <c r="M21" s="21" t="s">
        <v>78</v>
      </c>
      <c r="N21" s="21">
        <v>101</v>
      </c>
    </row>
    <row r="22" spans="2:21" x14ac:dyDescent="0.3">
      <c r="B22" s="8">
        <v>45198</v>
      </c>
      <c r="C22" s="12">
        <v>2486.6876251937501</v>
      </c>
      <c r="D22" s="13">
        <f t="shared" si="0"/>
        <v>7.8966489998288036E-2</v>
      </c>
      <c r="G22" s="12">
        <v>19638.3</v>
      </c>
      <c r="H22" s="13">
        <f t="shared" si="1"/>
        <v>-1.8272615220402688E-3</v>
      </c>
    </row>
    <row r="23" spans="2:21" ht="15" thickBot="1" x14ac:dyDescent="0.35">
      <c r="B23" s="8">
        <v>45205</v>
      </c>
      <c r="C23" s="12">
        <v>2442.6545327754402</v>
      </c>
      <c r="D23" s="13">
        <f t="shared" si="0"/>
        <v>-1.7707528670746986E-2</v>
      </c>
      <c r="G23" s="12">
        <v>19653.5</v>
      </c>
      <c r="H23" s="13">
        <f t="shared" si="1"/>
        <v>7.7399774929598486E-4</v>
      </c>
      <c r="M23" t="s">
        <v>79</v>
      </c>
    </row>
    <row r="24" spans="2:21" x14ac:dyDescent="0.3">
      <c r="B24" s="8">
        <v>45212</v>
      </c>
      <c r="C24" s="12">
        <v>2509.39372766002</v>
      </c>
      <c r="D24" s="13">
        <f t="shared" si="0"/>
        <v>2.7322404371586728E-2</v>
      </c>
      <c r="G24" s="12">
        <v>19751.05</v>
      </c>
      <c r="H24" s="13">
        <f t="shared" si="1"/>
        <v>4.9634925076957881E-3</v>
      </c>
      <c r="M24" s="22"/>
      <c r="N24" s="22" t="s">
        <v>84</v>
      </c>
      <c r="O24" s="22" t="s">
        <v>85</v>
      </c>
      <c r="P24" s="22" t="s">
        <v>86</v>
      </c>
      <c r="Q24" s="22" t="s">
        <v>87</v>
      </c>
      <c r="R24" s="22" t="s">
        <v>88</v>
      </c>
    </row>
    <row r="25" spans="2:21" x14ac:dyDescent="0.3">
      <c r="B25" s="8">
        <v>45219</v>
      </c>
      <c r="C25" s="12">
        <v>2474.2263585474002</v>
      </c>
      <c r="D25" s="13">
        <f t="shared" si="0"/>
        <v>-1.4014289079064879E-2</v>
      </c>
      <c r="G25" s="12">
        <v>19542.650000000001</v>
      </c>
      <c r="H25" s="13">
        <f t="shared" si="1"/>
        <v>-1.0551337776978809E-2</v>
      </c>
      <c r="M25" s="20" t="s">
        <v>80</v>
      </c>
      <c r="N25" s="20">
        <v>1</v>
      </c>
      <c r="O25" s="20">
        <v>9.5923080355109491E-3</v>
      </c>
      <c r="P25" s="20">
        <v>9.5923080355109491E-3</v>
      </c>
      <c r="Q25" s="20">
        <v>6.8531205977465524</v>
      </c>
      <c r="R25" s="20">
        <v>1.0237271291357621E-2</v>
      </c>
    </row>
    <row r="26" spans="2:21" x14ac:dyDescent="0.3">
      <c r="B26" s="8">
        <v>45226</v>
      </c>
      <c r="C26" s="12">
        <v>2327.6463998931699</v>
      </c>
      <c r="D26" s="13">
        <f t="shared" si="0"/>
        <v>-5.924274395827156E-2</v>
      </c>
      <c r="G26" s="12">
        <v>19047.25</v>
      </c>
      <c r="H26" s="13">
        <f t="shared" si="1"/>
        <v>-2.5349683896503383E-2</v>
      </c>
      <c r="M26" s="20" t="s">
        <v>81</v>
      </c>
      <c r="N26" s="20">
        <v>99</v>
      </c>
      <c r="O26" s="20">
        <v>0.13857022971810021</v>
      </c>
      <c r="P26" s="20">
        <v>1.3996992900818202E-3</v>
      </c>
      <c r="Q26" s="20"/>
      <c r="R26" s="20"/>
    </row>
    <row r="27" spans="2:21" ht="15" thickBot="1" x14ac:dyDescent="0.35">
      <c r="B27" s="8">
        <v>45233</v>
      </c>
      <c r="C27" s="12">
        <v>2555.9387750149399</v>
      </c>
      <c r="D27" s="13">
        <f t="shared" si="0"/>
        <v>9.8078632189256831E-2</v>
      </c>
      <c r="G27" s="12">
        <v>19230.599999999999</v>
      </c>
      <c r="H27" s="13">
        <f t="shared" si="1"/>
        <v>9.6260615049414966E-3</v>
      </c>
      <c r="M27" s="21" t="s">
        <v>82</v>
      </c>
      <c r="N27" s="21">
        <v>100</v>
      </c>
      <c r="O27" s="21">
        <v>0.14816253775361116</v>
      </c>
      <c r="P27" s="21"/>
      <c r="Q27" s="21"/>
      <c r="R27" s="21"/>
    </row>
    <row r="28" spans="2:21" ht="15" thickBot="1" x14ac:dyDescent="0.35">
      <c r="B28" s="8">
        <v>45240</v>
      </c>
      <c r="C28" s="12">
        <v>2636.9616352253702</v>
      </c>
      <c r="D28" s="13">
        <f t="shared" si="0"/>
        <v>3.1699843909585246E-2</v>
      </c>
      <c r="G28" s="12">
        <v>19425.349999999999</v>
      </c>
      <c r="H28" s="13">
        <f t="shared" si="1"/>
        <v>1.0127089118384225E-2</v>
      </c>
    </row>
    <row r="29" spans="2:21" x14ac:dyDescent="0.3">
      <c r="B29" s="8">
        <v>45247</v>
      </c>
      <c r="C29" s="12">
        <v>2658.4856412508698</v>
      </c>
      <c r="D29" s="13">
        <f t="shared" si="0"/>
        <v>8.1624266875843787E-3</v>
      </c>
      <c r="G29" s="12">
        <v>19731.8</v>
      </c>
      <c r="H29" s="13">
        <f t="shared" si="1"/>
        <v>1.5775777527818002E-2</v>
      </c>
      <c r="M29" s="22"/>
      <c r="N29" s="22" t="s">
        <v>89</v>
      </c>
      <c r="O29" s="22" t="s">
        <v>77</v>
      </c>
      <c r="P29" s="22" t="s">
        <v>90</v>
      </c>
      <c r="Q29" s="22" t="s">
        <v>91</v>
      </c>
      <c r="R29" s="22" t="s">
        <v>92</v>
      </c>
      <c r="S29" s="22" t="s">
        <v>93</v>
      </c>
      <c r="T29" s="22" t="s">
        <v>94</v>
      </c>
      <c r="U29" s="22" t="s">
        <v>95</v>
      </c>
    </row>
    <row r="30" spans="2:21" x14ac:dyDescent="0.3">
      <c r="B30" s="8">
        <v>45254</v>
      </c>
      <c r="C30" s="12">
        <v>2647.40348711875</v>
      </c>
      <c r="D30" s="13">
        <f t="shared" si="0"/>
        <v>-4.1685965724852503E-3</v>
      </c>
      <c r="G30" s="12">
        <v>19794.7</v>
      </c>
      <c r="H30" s="13">
        <f t="shared" si="1"/>
        <v>3.1877476966115648E-3</v>
      </c>
      <c r="M30" s="20" t="s">
        <v>83</v>
      </c>
      <c r="N30" s="20">
        <v>1.9383514163726491E-3</v>
      </c>
      <c r="O30" s="20">
        <v>3.7809221583287094E-3</v>
      </c>
      <c r="P30" s="20">
        <v>0.51266631133962925</v>
      </c>
      <c r="Q30" s="20">
        <v>0.60932673960948258</v>
      </c>
      <c r="R30" s="20">
        <v>-5.5638184228118774E-3</v>
      </c>
      <c r="S30" s="20">
        <v>9.4405212555571747E-3</v>
      </c>
      <c r="T30" s="20">
        <v>-5.5638184228118774E-3</v>
      </c>
      <c r="U30" s="20">
        <v>9.4405212555571747E-3</v>
      </c>
    </row>
    <row r="31" spans="2:21" ht="15" thickBot="1" x14ac:dyDescent="0.35">
      <c r="B31" s="8">
        <v>45261</v>
      </c>
      <c r="C31" s="12">
        <v>2702.1247015222598</v>
      </c>
      <c r="D31" s="13">
        <f t="shared" si="0"/>
        <v>2.0669767441858555E-2</v>
      </c>
      <c r="G31" s="12">
        <v>20267.900000000001</v>
      </c>
      <c r="H31" s="13">
        <f t="shared" si="1"/>
        <v>2.3905388816198414E-2</v>
      </c>
      <c r="M31" s="21" t="s">
        <v>96</v>
      </c>
      <c r="N31" s="21">
        <v>0.58250536812740572</v>
      </c>
      <c r="O31" s="21">
        <v>0.22251318225487468</v>
      </c>
      <c r="P31" s="21">
        <v>2.6178465573342207</v>
      </c>
      <c r="Q31" s="21">
        <v>1.0237271291357226E-2</v>
      </c>
      <c r="R31" s="21">
        <v>0.14099093994584555</v>
      </c>
      <c r="S31" s="21">
        <v>1.0240197963089659</v>
      </c>
      <c r="T31" s="21">
        <v>0.14099093994584555</v>
      </c>
      <c r="U31" s="21">
        <v>1.0240197963089659</v>
      </c>
    </row>
    <row r="32" spans="2:21" x14ac:dyDescent="0.3">
      <c r="B32" s="8">
        <v>45268</v>
      </c>
      <c r="C32" s="12">
        <v>2599.18380313941</v>
      </c>
      <c r="D32" s="13">
        <f t="shared" si="0"/>
        <v>-3.8096279688667689E-2</v>
      </c>
      <c r="G32" s="12">
        <v>20969.400000000001</v>
      </c>
      <c r="H32" s="13">
        <f t="shared" si="1"/>
        <v>3.4611380557433069E-2</v>
      </c>
    </row>
    <row r="33" spans="2:8" x14ac:dyDescent="0.3">
      <c r="B33" s="8">
        <v>45275</v>
      </c>
      <c r="C33" s="12">
        <v>2490.2831685343999</v>
      </c>
      <c r="D33" s="13">
        <f t="shared" si="0"/>
        <v>-4.1898012165771048E-2</v>
      </c>
      <c r="G33" s="12">
        <v>21456.65</v>
      </c>
      <c r="H33" s="13">
        <f t="shared" si="1"/>
        <v>2.3236239472755438E-2</v>
      </c>
    </row>
    <row r="34" spans="2:8" x14ac:dyDescent="0.3">
      <c r="B34" s="8">
        <v>45282</v>
      </c>
      <c r="C34" s="12">
        <v>2557.76117369445</v>
      </c>
      <c r="D34" s="13">
        <f t="shared" si="0"/>
        <v>2.7096518987341778E-2</v>
      </c>
      <c r="G34" s="12">
        <v>21349.4</v>
      </c>
      <c r="H34" s="13">
        <f t="shared" si="1"/>
        <v>-4.9984503638732525E-3</v>
      </c>
    </row>
    <row r="35" spans="2:8" x14ac:dyDescent="0.3">
      <c r="B35" s="8">
        <v>45289</v>
      </c>
      <c r="C35" s="12">
        <v>2539.2416627892098</v>
      </c>
      <c r="D35" s="13">
        <f t="shared" si="0"/>
        <v>-7.2405160793376222E-3</v>
      </c>
      <c r="G35" s="12">
        <v>21731.4</v>
      </c>
      <c r="H35" s="13">
        <f t="shared" si="1"/>
        <v>1.7892774504201459E-2</v>
      </c>
    </row>
    <row r="36" spans="2:8" x14ac:dyDescent="0.3">
      <c r="B36" s="8">
        <v>45296</v>
      </c>
      <c r="C36" s="12">
        <v>2558.8447620984798</v>
      </c>
      <c r="D36" s="13">
        <f t="shared" si="0"/>
        <v>7.7200605190672622E-3</v>
      </c>
      <c r="G36" s="12">
        <v>21710.799999999999</v>
      </c>
      <c r="H36" s="13">
        <f t="shared" si="1"/>
        <v>-9.479370864280412E-4</v>
      </c>
    </row>
    <row r="37" spans="2:8" x14ac:dyDescent="0.3">
      <c r="B37" s="8">
        <v>45303</v>
      </c>
      <c r="C37" s="12">
        <v>2416.84542715218</v>
      </c>
      <c r="D37" s="13">
        <f t="shared" si="0"/>
        <v>-5.5493532491532549E-2</v>
      </c>
      <c r="G37" s="12">
        <v>21894.55</v>
      </c>
      <c r="H37" s="13">
        <f t="shared" si="1"/>
        <v>8.4635296718684749E-3</v>
      </c>
    </row>
    <row r="38" spans="2:8" x14ac:dyDescent="0.3">
      <c r="B38" s="8">
        <v>45311</v>
      </c>
      <c r="C38" s="12">
        <v>2388.5736206106699</v>
      </c>
      <c r="D38" s="13">
        <f t="shared" si="0"/>
        <v>-1.1697813283335856E-2</v>
      </c>
      <c r="G38" s="12">
        <v>21622.400000000001</v>
      </c>
      <c r="H38" s="13">
        <f t="shared" si="1"/>
        <v>-1.2430033958222397E-2</v>
      </c>
    </row>
    <row r="39" spans="2:8" x14ac:dyDescent="0.3">
      <c r="B39" s="8">
        <v>45316</v>
      </c>
      <c r="C39" s="12">
        <v>2364.6854217036498</v>
      </c>
      <c r="D39" s="13">
        <f t="shared" si="0"/>
        <v>-1.0001031034125196E-2</v>
      </c>
      <c r="G39" s="12">
        <v>21352.6</v>
      </c>
      <c r="H39" s="13">
        <f t="shared" si="1"/>
        <v>-1.2477800799171379E-2</v>
      </c>
    </row>
    <row r="40" spans="2:8" x14ac:dyDescent="0.3">
      <c r="B40" s="8">
        <v>45324</v>
      </c>
      <c r="C40" s="12">
        <v>2416.6484110787201</v>
      </c>
      <c r="D40" s="13">
        <f t="shared" si="0"/>
        <v>2.1974588627367231E-2</v>
      </c>
      <c r="G40" s="12">
        <v>21853.8</v>
      </c>
      <c r="H40" s="13">
        <f t="shared" si="1"/>
        <v>2.3472551352060167E-2</v>
      </c>
    </row>
    <row r="41" spans="2:8" x14ac:dyDescent="0.3">
      <c r="B41" s="8">
        <v>45331</v>
      </c>
      <c r="C41" s="12">
        <v>2415.3185525828699</v>
      </c>
      <c r="D41" s="13">
        <f t="shared" si="0"/>
        <v>-5.5029043105880859E-4</v>
      </c>
      <c r="G41" s="12">
        <v>21782.5</v>
      </c>
      <c r="H41" s="13">
        <f t="shared" si="1"/>
        <v>-3.2625904876955047E-3</v>
      </c>
    </row>
    <row r="42" spans="2:8" x14ac:dyDescent="0.3">
      <c r="B42" s="8">
        <v>45338</v>
      </c>
      <c r="C42" s="12">
        <v>2446.6656576201999</v>
      </c>
      <c r="D42" s="13">
        <f t="shared" si="0"/>
        <v>1.2978455783320353E-2</v>
      </c>
      <c r="G42" s="12">
        <v>22040.7</v>
      </c>
      <c r="H42" s="13">
        <f t="shared" si="1"/>
        <v>1.1853552163433978E-2</v>
      </c>
    </row>
    <row r="43" spans="2:8" x14ac:dyDescent="0.3">
      <c r="B43" s="8">
        <v>45345</v>
      </c>
      <c r="C43" s="12">
        <v>2423.3037424559998</v>
      </c>
      <c r="D43" s="13">
        <f t="shared" si="0"/>
        <v>-9.548470626315031E-3</v>
      </c>
      <c r="G43" s="12">
        <v>22212.7</v>
      </c>
      <c r="H43" s="13">
        <f t="shared" si="1"/>
        <v>7.8037448901351336E-3</v>
      </c>
    </row>
    <row r="44" spans="2:8" x14ac:dyDescent="0.3">
      <c r="B44" s="8">
        <v>45353</v>
      </c>
      <c r="C44" s="12">
        <v>2310.40431769002</v>
      </c>
      <c r="D44" s="13">
        <f t="shared" si="0"/>
        <v>-4.6589052287583699E-2</v>
      </c>
      <c r="G44" s="12">
        <v>22338.75</v>
      </c>
      <c r="H44" s="13">
        <f t="shared" si="1"/>
        <v>5.6746816010659895E-3</v>
      </c>
    </row>
    <row r="45" spans="2:8" x14ac:dyDescent="0.3">
      <c r="B45" s="8">
        <v>45358</v>
      </c>
      <c r="C45" s="12">
        <v>2157.0670016334702</v>
      </c>
      <c r="D45" s="13">
        <f t="shared" si="0"/>
        <v>-6.636817412540974E-2</v>
      </c>
      <c r="G45" s="12">
        <v>22493.55</v>
      </c>
      <c r="H45" s="13">
        <f t="shared" si="1"/>
        <v>6.929662581836471E-3</v>
      </c>
    </row>
    <row r="46" spans="2:8" x14ac:dyDescent="0.3">
      <c r="B46" s="8">
        <v>45366</v>
      </c>
      <c r="C46" s="12">
        <v>2001.7498622579201</v>
      </c>
      <c r="D46" s="13">
        <f t="shared" si="0"/>
        <v>-7.2003854890893004E-2</v>
      </c>
      <c r="G46" s="12">
        <v>22023.35</v>
      </c>
      <c r="H46" s="13">
        <f t="shared" si="1"/>
        <v>-2.0903770191899484E-2</v>
      </c>
    </row>
    <row r="47" spans="2:8" x14ac:dyDescent="0.3">
      <c r="B47" s="8">
        <v>45373</v>
      </c>
      <c r="C47" s="12">
        <v>2107.27444516062</v>
      </c>
      <c r="D47" s="13">
        <f t="shared" si="0"/>
        <v>5.271616843458693E-2</v>
      </c>
      <c r="G47" s="12">
        <v>22096.75</v>
      </c>
      <c r="H47" s="13">
        <f t="shared" si="1"/>
        <v>3.3328262957270649E-3</v>
      </c>
    </row>
    <row r="48" spans="2:8" x14ac:dyDescent="0.3">
      <c r="B48" s="8">
        <v>45379</v>
      </c>
      <c r="C48" s="12">
        <v>2240.0215986995699</v>
      </c>
      <c r="D48" s="13">
        <f t="shared" si="0"/>
        <v>6.2994715208455787E-2</v>
      </c>
      <c r="G48" s="12">
        <v>22326.9</v>
      </c>
      <c r="H48" s="13">
        <f t="shared" si="1"/>
        <v>1.0415558849152129E-2</v>
      </c>
    </row>
    <row r="49" spans="2:8" x14ac:dyDescent="0.3">
      <c r="B49" s="8">
        <v>45387</v>
      </c>
      <c r="C49" s="12">
        <v>2261.2552037958499</v>
      </c>
      <c r="D49" s="13">
        <f t="shared" si="0"/>
        <v>9.4791965883753715E-3</v>
      </c>
      <c r="G49" s="12">
        <v>22513.7</v>
      </c>
      <c r="H49" s="13">
        <f t="shared" si="1"/>
        <v>8.3665891816597782E-3</v>
      </c>
    </row>
    <row r="50" spans="2:8" x14ac:dyDescent="0.3">
      <c r="B50" s="8">
        <v>45394</v>
      </c>
      <c r="C50" s="12">
        <v>2334.6076577648</v>
      </c>
      <c r="D50" s="13">
        <f t="shared" si="0"/>
        <v>3.2438821520816008E-2</v>
      </c>
      <c r="G50" s="12">
        <v>22519.400389999999</v>
      </c>
      <c r="H50" s="13">
        <f t="shared" si="1"/>
        <v>2.5319649813226874E-4</v>
      </c>
    </row>
    <row r="51" spans="2:8" x14ac:dyDescent="0.3">
      <c r="B51" s="8">
        <v>45401</v>
      </c>
      <c r="C51" s="12">
        <v>2186.9128381674</v>
      </c>
      <c r="D51" s="13">
        <f t="shared" si="0"/>
        <v>-6.3263229308005431E-2</v>
      </c>
      <c r="G51" s="12">
        <v>22147</v>
      </c>
      <c r="H51" s="13">
        <f t="shared" si="1"/>
        <v>-1.6536869701262891E-2</v>
      </c>
    </row>
    <row r="52" spans="2:8" x14ac:dyDescent="0.3">
      <c r="B52" s="8">
        <v>45408</v>
      </c>
      <c r="C52" s="12">
        <v>2364.25551196682</v>
      </c>
      <c r="D52" s="13">
        <f t="shared" si="0"/>
        <v>8.1092703240990049E-2</v>
      </c>
      <c r="G52" s="12">
        <v>22419.949219999999</v>
      </c>
      <c r="H52" s="13">
        <f t="shared" si="1"/>
        <v>1.2324433106063903E-2</v>
      </c>
    </row>
    <row r="53" spans="2:8" x14ac:dyDescent="0.3">
      <c r="B53" s="8">
        <v>45415</v>
      </c>
      <c r="C53" s="12">
        <v>2295.0111913848</v>
      </c>
      <c r="D53" s="13">
        <f t="shared" si="0"/>
        <v>-2.9288002177233263E-2</v>
      </c>
      <c r="G53" s="12">
        <v>22475.849610000001</v>
      </c>
      <c r="H53" s="13">
        <f t="shared" si="1"/>
        <v>2.4933325874858525E-3</v>
      </c>
    </row>
    <row r="54" spans="2:8" x14ac:dyDescent="0.3">
      <c r="B54" s="8">
        <v>45422</v>
      </c>
      <c r="C54" s="12">
        <v>2324.21358534005</v>
      </c>
      <c r="D54" s="13">
        <f t="shared" si="0"/>
        <v>1.2724292615597044E-2</v>
      </c>
      <c r="G54" s="12">
        <v>22055.199219999999</v>
      </c>
      <c r="H54" s="13">
        <f t="shared" si="1"/>
        <v>-1.871566135648306E-2</v>
      </c>
    </row>
    <row r="55" spans="2:8" x14ac:dyDescent="0.3">
      <c r="B55" s="8">
        <v>45430</v>
      </c>
      <c r="C55" s="12">
        <v>2510.06949941117</v>
      </c>
      <c r="D55" s="13">
        <f t="shared" si="0"/>
        <v>7.9965075173557221E-2</v>
      </c>
      <c r="G55" s="12">
        <v>22464.800780000001</v>
      </c>
      <c r="H55" s="13">
        <f t="shared" si="1"/>
        <v>1.8571655413956556E-2</v>
      </c>
    </row>
    <row r="56" spans="2:8" x14ac:dyDescent="0.3">
      <c r="B56" s="8">
        <v>45436</v>
      </c>
      <c r="C56" s="12">
        <v>2599.7060001789</v>
      </c>
      <c r="D56" s="13">
        <f t="shared" si="0"/>
        <v>3.5710764498257053E-2</v>
      </c>
      <c r="G56" s="12">
        <v>22957.099610000001</v>
      </c>
      <c r="H56" s="13">
        <f t="shared" si="1"/>
        <v>2.1914230836993953E-2</v>
      </c>
    </row>
    <row r="57" spans="2:8" x14ac:dyDescent="0.3">
      <c r="B57" s="8">
        <v>45443</v>
      </c>
      <c r="C57" s="12">
        <v>2621.1375876070701</v>
      </c>
      <c r="D57" s="13">
        <f t="shared" si="0"/>
        <v>8.2438504302775328E-3</v>
      </c>
      <c r="G57" s="12">
        <v>22530.699219999999</v>
      </c>
      <c r="H57" s="13">
        <f t="shared" si="1"/>
        <v>-1.8573791865862055E-2</v>
      </c>
    </row>
    <row r="58" spans="2:8" x14ac:dyDescent="0.3">
      <c r="B58" s="8">
        <v>45450</v>
      </c>
      <c r="C58" s="12">
        <v>2770.0697967788501</v>
      </c>
      <c r="D58" s="13">
        <f t="shared" si="0"/>
        <v>5.6819683894482331E-2</v>
      </c>
      <c r="G58" s="12">
        <v>23290.150389999999</v>
      </c>
      <c r="H58" s="13">
        <f t="shared" si="1"/>
        <v>3.3707394634510557E-2</v>
      </c>
    </row>
    <row r="59" spans="2:8" x14ac:dyDescent="0.3">
      <c r="B59" s="8">
        <v>45457</v>
      </c>
      <c r="C59" s="12">
        <v>2728.3049655746599</v>
      </c>
      <c r="D59" s="13">
        <f t="shared" si="0"/>
        <v>-1.5077176485861821E-2</v>
      </c>
      <c r="G59" s="12">
        <v>23465.599610000001</v>
      </c>
      <c r="H59" s="13">
        <f t="shared" si="1"/>
        <v>7.5331939494618361E-3</v>
      </c>
    </row>
    <row r="60" spans="2:8" x14ac:dyDescent="0.3">
      <c r="B60" s="8">
        <v>45464</v>
      </c>
      <c r="C60" s="12">
        <v>2652.2155935800502</v>
      </c>
      <c r="D60" s="13">
        <f t="shared" si="0"/>
        <v>-2.7888880808668359E-2</v>
      </c>
      <c r="G60" s="12">
        <v>23501.099610000001</v>
      </c>
      <c r="H60" s="13">
        <f t="shared" si="1"/>
        <v>1.5128528820917975E-3</v>
      </c>
    </row>
    <row r="61" spans="2:8" x14ac:dyDescent="0.3">
      <c r="B61" s="8">
        <v>45471</v>
      </c>
      <c r="C61" s="12">
        <v>2758.5621473978099</v>
      </c>
      <c r="D61" s="13">
        <f t="shared" si="0"/>
        <v>4.0097250794838057E-2</v>
      </c>
      <c r="G61" s="12">
        <v>24010.599610000001</v>
      </c>
      <c r="H61" s="13">
        <f t="shared" si="1"/>
        <v>2.1679836622759519E-2</v>
      </c>
    </row>
    <row r="62" spans="2:8" x14ac:dyDescent="0.3">
      <c r="B62" s="8">
        <v>45478</v>
      </c>
      <c r="C62" s="12">
        <v>2862.0317888455002</v>
      </c>
      <c r="D62" s="13">
        <f t="shared" si="0"/>
        <v>3.750854101485257E-2</v>
      </c>
      <c r="G62" s="12">
        <v>24323.849610000001</v>
      </c>
      <c r="H62" s="13">
        <f t="shared" si="1"/>
        <v>1.3046321420042251E-2</v>
      </c>
    </row>
    <row r="63" spans="2:8" x14ac:dyDescent="0.3">
      <c r="B63" s="8">
        <v>45485</v>
      </c>
      <c r="C63" s="12">
        <v>2927.3575404210501</v>
      </c>
      <c r="D63" s="13">
        <f t="shared" si="0"/>
        <v>2.2824956672441887E-2</v>
      </c>
      <c r="G63" s="12">
        <v>24502.150389999999</v>
      </c>
      <c r="H63" s="13">
        <f t="shared" si="1"/>
        <v>7.3302862358881615E-3</v>
      </c>
    </row>
    <row r="64" spans="2:8" x14ac:dyDescent="0.3">
      <c r="B64" s="8">
        <v>45492</v>
      </c>
      <c r="C64" s="12">
        <v>2970.0152065979501</v>
      </c>
      <c r="D64" s="13">
        <f t="shared" si="0"/>
        <v>1.4572072453699736E-2</v>
      </c>
      <c r="G64" s="12">
        <v>24530.900389999999</v>
      </c>
      <c r="H64" s="13">
        <f t="shared" si="1"/>
        <v>1.1733664001889466E-3</v>
      </c>
    </row>
    <row r="65" spans="2:8" x14ac:dyDescent="0.3">
      <c r="B65" s="8">
        <v>45499</v>
      </c>
      <c r="C65" s="12">
        <v>3054.0408885789602</v>
      </c>
      <c r="D65" s="13">
        <f t="shared" si="0"/>
        <v>2.8291330560983541E-2</v>
      </c>
      <c r="G65" s="12">
        <v>24834.849610000001</v>
      </c>
      <c r="H65" s="13">
        <f t="shared" si="1"/>
        <v>1.2390463259306594E-2</v>
      </c>
    </row>
    <row r="66" spans="2:8" x14ac:dyDescent="0.3">
      <c r="B66" s="8">
        <v>45506</v>
      </c>
      <c r="C66" s="12">
        <v>3071.9471879857801</v>
      </c>
      <c r="D66" s="13">
        <f t="shared" si="0"/>
        <v>5.8631498595134168E-3</v>
      </c>
      <c r="G66" s="12">
        <v>24717.699219999999</v>
      </c>
      <c r="H66" s="13">
        <f t="shared" si="1"/>
        <v>-4.7171773471432754E-3</v>
      </c>
    </row>
    <row r="67" spans="2:8" x14ac:dyDescent="0.3">
      <c r="B67" s="8">
        <v>45513</v>
      </c>
      <c r="C67" s="12">
        <v>3186.0812459776898</v>
      </c>
      <c r="D67" s="13">
        <f t="shared" si="0"/>
        <v>3.7153652392945435E-2</v>
      </c>
      <c r="G67" s="12">
        <v>24367.5</v>
      </c>
      <c r="H67" s="13">
        <f t="shared" si="1"/>
        <v>-1.41679537760796E-2</v>
      </c>
    </row>
    <row r="68" spans="2:8" x14ac:dyDescent="0.3">
      <c r="B68" s="8">
        <v>45520</v>
      </c>
      <c r="C68" s="12">
        <v>3274.4718984512201</v>
      </c>
      <c r="D68" s="13">
        <f t="shared" si="0"/>
        <v>2.774274905422458E-2</v>
      </c>
      <c r="G68" s="12">
        <v>24541.150389999999</v>
      </c>
      <c r="H68" s="13">
        <f t="shared" si="1"/>
        <v>7.1263112752641966E-3</v>
      </c>
    </row>
    <row r="69" spans="2:8" x14ac:dyDescent="0.3">
      <c r="B69" s="8">
        <v>45527</v>
      </c>
      <c r="C69" s="12">
        <v>3283.5969441045499</v>
      </c>
      <c r="D69" s="13">
        <f t="shared" si="0"/>
        <v>2.7867228476279315E-3</v>
      </c>
      <c r="G69" s="12">
        <v>24823.150389999999</v>
      </c>
      <c r="H69" s="13">
        <f t="shared" si="1"/>
        <v>1.1490903870378766E-2</v>
      </c>
    </row>
    <row r="70" spans="2:8" x14ac:dyDescent="0.3">
      <c r="B70" s="8">
        <v>45534</v>
      </c>
      <c r="C70" s="12">
        <v>3396.3480672476599</v>
      </c>
      <c r="D70" s="13">
        <f t="shared" si="0"/>
        <v>3.4337686708335591E-2</v>
      </c>
      <c r="G70" s="12">
        <v>25235.900389999999</v>
      </c>
      <c r="H70" s="13">
        <f t="shared" si="1"/>
        <v>1.6627623549599013E-2</v>
      </c>
    </row>
    <row r="71" spans="2:8" x14ac:dyDescent="0.3">
      <c r="B71" s="8">
        <v>45541</v>
      </c>
      <c r="C71" s="12">
        <v>3357.6380077816002</v>
      </c>
      <c r="D71" s="13">
        <f t="shared" si="0"/>
        <v>-1.1397553695793539E-2</v>
      </c>
      <c r="G71" s="12">
        <v>24852.150389999999</v>
      </c>
      <c r="H71" s="13">
        <f t="shared" si="1"/>
        <v>-1.5206511123814104E-2</v>
      </c>
    </row>
    <row r="72" spans="2:8" x14ac:dyDescent="0.3">
      <c r="B72" s="8">
        <v>45548</v>
      </c>
      <c r="C72" s="12">
        <v>3360.96737104762</v>
      </c>
      <c r="D72" s="13">
        <f t="shared" si="0"/>
        <v>9.9157897852708565E-4</v>
      </c>
      <c r="G72" s="12">
        <v>25356.5</v>
      </c>
      <c r="H72" s="13">
        <f t="shared" si="1"/>
        <v>2.0294002816067858E-2</v>
      </c>
    </row>
    <row r="73" spans="2:8" x14ac:dyDescent="0.3">
      <c r="B73" s="8">
        <v>45555</v>
      </c>
      <c r="C73" s="12">
        <v>3271.6211747447101</v>
      </c>
      <c r="D73" s="13">
        <f t="shared" si="0"/>
        <v>-2.6583476255248706E-2</v>
      </c>
      <c r="G73" s="12">
        <v>25790.949219999999</v>
      </c>
      <c r="H73" s="13">
        <f t="shared" si="1"/>
        <v>1.7133643050105452E-2</v>
      </c>
    </row>
    <row r="74" spans="2:8" x14ac:dyDescent="0.3">
      <c r="B74" s="8">
        <v>45562</v>
      </c>
      <c r="C74" s="12">
        <v>3251.6946871376599</v>
      </c>
      <c r="D74" s="13">
        <f t="shared" ref="D74:D109" si="2">C74/C73-1</f>
        <v>-6.0907074941538575E-3</v>
      </c>
      <c r="G74" s="12">
        <v>26178.949219999999</v>
      </c>
      <c r="H74" s="13">
        <f t="shared" ref="H74:H109" si="3">G74/G73-1</f>
        <v>1.5044037219813511E-2</v>
      </c>
    </row>
    <row r="75" spans="2:8" x14ac:dyDescent="0.3">
      <c r="B75" s="8">
        <v>45569</v>
      </c>
      <c r="C75" s="12">
        <v>3473.7681861797701</v>
      </c>
      <c r="D75" s="13">
        <f t="shared" si="2"/>
        <v>6.8294695661477611E-2</v>
      </c>
      <c r="G75" s="12">
        <v>25014.599610000001</v>
      </c>
      <c r="H75" s="13">
        <f t="shared" si="3"/>
        <v>-4.4476560163479228E-2</v>
      </c>
    </row>
    <row r="76" spans="2:8" x14ac:dyDescent="0.3">
      <c r="B76" s="8">
        <v>45576</v>
      </c>
      <c r="C76" s="12">
        <v>3484.3525798463502</v>
      </c>
      <c r="D76" s="13">
        <f t="shared" si="2"/>
        <v>3.0469487597617473E-3</v>
      </c>
      <c r="G76" s="12">
        <v>24964.25</v>
      </c>
      <c r="H76" s="13">
        <f t="shared" si="3"/>
        <v>-2.0128089509724445E-3</v>
      </c>
    </row>
    <row r="77" spans="2:8" x14ac:dyDescent="0.3">
      <c r="B77" s="8">
        <v>45583</v>
      </c>
      <c r="C77" s="12">
        <v>3335.4256886784901</v>
      </c>
      <c r="D77" s="13">
        <f t="shared" si="2"/>
        <v>-4.2741624951866175E-2</v>
      </c>
      <c r="G77" s="12">
        <v>24854.050780000001</v>
      </c>
      <c r="H77" s="13">
        <f t="shared" si="3"/>
        <v>-4.414281222147598E-3</v>
      </c>
    </row>
    <row r="78" spans="2:8" x14ac:dyDescent="0.3">
      <c r="B78" s="8">
        <v>45590</v>
      </c>
      <c r="C78" s="12">
        <v>3118.32138854088</v>
      </c>
      <c r="D78" s="13">
        <f t="shared" si="2"/>
        <v>-6.5090432347071014E-2</v>
      </c>
      <c r="G78" s="12">
        <v>24180.800780000001</v>
      </c>
      <c r="H78" s="13">
        <f t="shared" si="3"/>
        <v>-2.7088139714503301E-2</v>
      </c>
    </row>
    <row r="79" spans="2:8" x14ac:dyDescent="0.3">
      <c r="B79" s="8">
        <v>45597</v>
      </c>
      <c r="C79" s="12">
        <v>3068.7784754630202</v>
      </c>
      <c r="D79" s="13">
        <f t="shared" si="2"/>
        <v>-1.5887686644461607E-2</v>
      </c>
      <c r="G79" s="12">
        <v>24304.349610000001</v>
      </c>
      <c r="H79" s="13">
        <f t="shared" si="3"/>
        <v>5.1093771097185936E-3</v>
      </c>
    </row>
    <row r="80" spans="2:8" x14ac:dyDescent="0.3">
      <c r="B80" s="8">
        <v>45604</v>
      </c>
      <c r="C80" s="12">
        <v>3047.29928531314</v>
      </c>
      <c r="D80" s="13">
        <f t="shared" si="2"/>
        <v>-6.9992638183632438E-3</v>
      </c>
      <c r="G80" s="12">
        <v>24148.199219999999</v>
      </c>
      <c r="H80" s="13">
        <f t="shared" si="3"/>
        <v>-6.424791961343157E-3</v>
      </c>
    </row>
    <row r="81" spans="2:8" x14ac:dyDescent="0.3">
      <c r="B81" s="8">
        <v>45610</v>
      </c>
      <c r="C81" s="12">
        <v>2943.9368691914801</v>
      </c>
      <c r="D81" s="13">
        <f t="shared" si="2"/>
        <v>-3.3919351676360954E-2</v>
      </c>
      <c r="G81" s="12">
        <v>23555.5</v>
      </c>
      <c r="H81" s="13">
        <f t="shared" si="3"/>
        <v>-2.4544240943196849E-2</v>
      </c>
    </row>
    <row r="82" spans="2:8" x14ac:dyDescent="0.3">
      <c r="B82" s="8">
        <v>45618</v>
      </c>
      <c r="C82" s="12">
        <v>3040.7768977832998</v>
      </c>
      <c r="D82" s="13">
        <f t="shared" si="2"/>
        <v>3.2894736842103534E-2</v>
      </c>
      <c r="G82" s="12">
        <v>23349.900389999999</v>
      </c>
      <c r="H82" s="13">
        <f t="shared" si="3"/>
        <v>-8.7283059158158594E-3</v>
      </c>
    </row>
    <row r="83" spans="2:8" x14ac:dyDescent="0.3">
      <c r="B83" s="8">
        <v>45625</v>
      </c>
      <c r="C83" s="12">
        <v>2990.2408417315301</v>
      </c>
      <c r="D83" s="13">
        <f t="shared" si="2"/>
        <v>-1.6619455405824102E-2</v>
      </c>
      <c r="G83" s="12">
        <v>23914.150389999999</v>
      </c>
      <c r="H83" s="13">
        <f t="shared" si="3"/>
        <v>2.4164985313669618E-2</v>
      </c>
    </row>
    <row r="84" spans="2:8" x14ac:dyDescent="0.3">
      <c r="B84" s="8">
        <v>45632</v>
      </c>
      <c r="C84" s="12">
        <v>3055.1161925053798</v>
      </c>
      <c r="D84" s="13">
        <f t="shared" si="2"/>
        <v>2.1695694162308099E-2</v>
      </c>
      <c r="G84" s="12">
        <v>24708.400389999999</v>
      </c>
      <c r="H84" s="13">
        <f t="shared" si="3"/>
        <v>3.3212553531992706E-2</v>
      </c>
    </row>
    <row r="85" spans="2:8" x14ac:dyDescent="0.3">
      <c r="B85" s="8">
        <v>45639</v>
      </c>
      <c r="C85" s="12">
        <v>2989.3446358114002</v>
      </c>
      <c r="D85" s="13">
        <f t="shared" si="2"/>
        <v>-2.1528332328350164E-2</v>
      </c>
      <c r="G85" s="12">
        <v>24548.699219999999</v>
      </c>
      <c r="H85" s="13">
        <f t="shared" si="3"/>
        <v>-6.4634362192315109E-3</v>
      </c>
    </row>
    <row r="86" spans="2:8" x14ac:dyDescent="0.3">
      <c r="B86" s="8">
        <v>45646</v>
      </c>
      <c r="C86" s="12">
        <v>2933.8296579811199</v>
      </c>
      <c r="D86" s="13">
        <f t="shared" si="2"/>
        <v>-1.8570952698202969E-2</v>
      </c>
      <c r="G86" s="12">
        <v>23951.699219999999</v>
      </c>
      <c r="H86" s="13">
        <f t="shared" si="3"/>
        <v>-2.4319007481814703E-2</v>
      </c>
    </row>
    <row r="87" spans="2:8" x14ac:dyDescent="0.3">
      <c r="B87" s="8">
        <v>45653</v>
      </c>
      <c r="C87" s="12">
        <v>2936.2693296525899</v>
      </c>
      <c r="D87" s="13">
        <f t="shared" si="2"/>
        <v>8.3156554942886984E-4</v>
      </c>
      <c r="G87" s="12">
        <v>23750.199219999999</v>
      </c>
      <c r="H87" s="13">
        <f t="shared" si="3"/>
        <v>-8.4127642948916836E-3</v>
      </c>
    </row>
    <row r="88" spans="2:8" x14ac:dyDescent="0.3">
      <c r="B88" s="8">
        <v>45660</v>
      </c>
      <c r="C88" s="12">
        <v>2932.2364030120002</v>
      </c>
      <c r="D88" s="13">
        <f t="shared" si="2"/>
        <v>-1.3734866212244956E-3</v>
      </c>
      <c r="G88" s="12">
        <v>24188.650389999999</v>
      </c>
      <c r="H88" s="13">
        <f t="shared" si="3"/>
        <v>1.8460947040426667E-2</v>
      </c>
    </row>
    <row r="89" spans="2:8" x14ac:dyDescent="0.3">
      <c r="B89" s="8">
        <v>45667</v>
      </c>
      <c r="C89" s="12">
        <v>2915.8059611429499</v>
      </c>
      <c r="D89" s="13">
        <f t="shared" si="2"/>
        <v>-5.6033824053793868E-3</v>
      </c>
      <c r="G89" s="12">
        <v>23526.5</v>
      </c>
      <c r="H89" s="13">
        <f t="shared" si="3"/>
        <v>-2.737442475392271E-2</v>
      </c>
    </row>
    <row r="90" spans="2:8" x14ac:dyDescent="0.3">
      <c r="B90" s="8">
        <v>45674</v>
      </c>
      <c r="C90" s="12">
        <v>2798.20382873478</v>
      </c>
      <c r="D90" s="13">
        <f t="shared" si="2"/>
        <v>-4.0332633232587178E-2</v>
      </c>
      <c r="G90" s="12">
        <v>23311.800780000001</v>
      </c>
      <c r="H90" s="13">
        <f t="shared" si="3"/>
        <v>-9.1258461734639029E-3</v>
      </c>
    </row>
    <row r="91" spans="2:8" x14ac:dyDescent="0.3">
      <c r="B91" s="8">
        <v>45681</v>
      </c>
      <c r="C91" s="12">
        <v>2816.9245746219399</v>
      </c>
      <c r="D91" s="13">
        <f t="shared" si="2"/>
        <v>6.6902724150814663E-3</v>
      </c>
      <c r="G91" s="12">
        <v>23205.349610000001</v>
      </c>
      <c r="H91" s="13">
        <f t="shared" si="3"/>
        <v>-4.5664069886581782E-3</v>
      </c>
    </row>
    <row r="92" spans="2:8" x14ac:dyDescent="0.3">
      <c r="B92" s="8">
        <v>45689</v>
      </c>
      <c r="C92" s="12">
        <v>2849.53651227112</v>
      </c>
      <c r="D92" s="13">
        <f t="shared" si="2"/>
        <v>1.1577142655144312E-2</v>
      </c>
      <c r="G92" s="12">
        <v>23508.400389999999</v>
      </c>
      <c r="H92" s="13">
        <f t="shared" si="3"/>
        <v>1.3059522269356583E-2</v>
      </c>
    </row>
    <row r="93" spans="2:8" x14ac:dyDescent="0.3">
      <c r="B93" s="8">
        <v>45695</v>
      </c>
      <c r="C93" s="12">
        <v>2805.8949247609999</v>
      </c>
      <c r="D93" s="13">
        <f t="shared" si="2"/>
        <v>-1.5315328412948581E-2</v>
      </c>
      <c r="G93" s="12">
        <v>23603.349610000001</v>
      </c>
      <c r="H93" s="13">
        <f t="shared" si="3"/>
        <v>4.0389485641223466E-3</v>
      </c>
    </row>
    <row r="94" spans="2:8" x14ac:dyDescent="0.3">
      <c r="B94" s="8">
        <v>45702</v>
      </c>
      <c r="C94" s="12">
        <v>2614.7970948685002</v>
      </c>
      <c r="D94" s="13">
        <f t="shared" si="2"/>
        <v>-6.8105839675652535E-2</v>
      </c>
      <c r="G94" s="12">
        <v>23031.400389999999</v>
      </c>
      <c r="H94" s="13">
        <f t="shared" si="3"/>
        <v>-2.4231697172238831E-2</v>
      </c>
    </row>
    <row r="95" spans="2:8" x14ac:dyDescent="0.3">
      <c r="B95" s="8">
        <v>45709</v>
      </c>
      <c r="C95" s="12">
        <v>2594.0407770524998</v>
      </c>
      <c r="D95" s="13">
        <f t="shared" si="2"/>
        <v>-7.938022363851549E-3</v>
      </c>
      <c r="G95" s="12">
        <v>22913.150389999999</v>
      </c>
      <c r="H95" s="13">
        <f t="shared" si="3"/>
        <v>-5.1342948321693171E-3</v>
      </c>
    </row>
    <row r="96" spans="2:8" x14ac:dyDescent="0.3">
      <c r="B96" s="8">
        <v>45716</v>
      </c>
      <c r="C96" s="12">
        <v>2305.5978124027401</v>
      </c>
      <c r="D96" s="13">
        <f t="shared" si="2"/>
        <v>-0.11119446047317161</v>
      </c>
      <c r="G96" s="12">
        <v>22545.050780000001</v>
      </c>
      <c r="H96" s="13">
        <f t="shared" si="3"/>
        <v>-1.6064993409227846E-2</v>
      </c>
    </row>
    <row r="97" spans="2:8" x14ac:dyDescent="0.3">
      <c r="B97" s="8">
        <v>45723</v>
      </c>
      <c r="C97" s="12">
        <v>2488.0139132087402</v>
      </c>
      <c r="D97" s="13">
        <f t="shared" si="2"/>
        <v>7.9118786383605366E-2</v>
      </c>
      <c r="G97" s="12">
        <v>22544.699219999999</v>
      </c>
      <c r="H97" s="13">
        <f t="shared" si="3"/>
        <v>-1.559366636316728E-5</v>
      </c>
    </row>
    <row r="98" spans="2:8" x14ac:dyDescent="0.3">
      <c r="B98" s="8">
        <v>45729</v>
      </c>
      <c r="C98" s="12">
        <v>2519.7471298697501</v>
      </c>
      <c r="D98" s="13">
        <f t="shared" si="2"/>
        <v>1.275443697984957E-2</v>
      </c>
      <c r="G98" s="12">
        <v>22470.5</v>
      </c>
      <c r="H98" s="13">
        <f t="shared" si="3"/>
        <v>-3.2912046985383858E-3</v>
      </c>
    </row>
    <row r="99" spans="2:8" x14ac:dyDescent="0.3">
      <c r="B99" s="8">
        <v>45737</v>
      </c>
      <c r="C99" s="12">
        <v>2528.5286489457499</v>
      </c>
      <c r="D99" s="13">
        <f t="shared" si="2"/>
        <v>3.4850795033760651E-3</v>
      </c>
      <c r="G99" s="12">
        <v>23190.650389999999</v>
      </c>
      <c r="H99" s="13">
        <f t="shared" si="3"/>
        <v>3.2048703411138968E-2</v>
      </c>
    </row>
    <row r="100" spans="2:8" x14ac:dyDescent="0.3">
      <c r="B100" s="8">
        <v>45744</v>
      </c>
      <c r="C100" s="12">
        <v>2473.594259726</v>
      </c>
      <c r="D100" s="13">
        <f t="shared" si="2"/>
        <v>-2.1725832231584308E-2</v>
      </c>
      <c r="G100" s="12">
        <v>23591.949219999999</v>
      </c>
      <c r="H100" s="13">
        <f t="shared" si="3"/>
        <v>1.7304337017345794E-2</v>
      </c>
    </row>
    <row r="101" spans="2:8" x14ac:dyDescent="0.3">
      <c r="B101" s="8">
        <v>45751</v>
      </c>
      <c r="C101" s="12">
        <v>2510.4167658514998</v>
      </c>
      <c r="D101" s="13">
        <f t="shared" si="2"/>
        <v>1.4886235275133108E-2</v>
      </c>
      <c r="G101" s="12">
        <v>23250.099610000001</v>
      </c>
      <c r="H101" s="13">
        <f t="shared" si="3"/>
        <v>-1.449009604133078E-2</v>
      </c>
    </row>
    <row r="102" spans="2:8" x14ac:dyDescent="0.3">
      <c r="B102" s="8">
        <v>45758</v>
      </c>
      <c r="C102" s="12">
        <v>2696.1259363109998</v>
      </c>
      <c r="D102" s="13">
        <f t="shared" si="2"/>
        <v>7.3975434272766982E-2</v>
      </c>
      <c r="G102" s="12">
        <v>22535.849610000001</v>
      </c>
      <c r="H102" s="13">
        <f t="shared" si="3"/>
        <v>-3.0720298492519005E-2</v>
      </c>
    </row>
    <row r="103" spans="2:8" x14ac:dyDescent="0.3">
      <c r="B103" s="8">
        <v>45764</v>
      </c>
      <c r="C103" s="12">
        <v>2708.4001050195002</v>
      </c>
      <c r="D103" s="13">
        <f t="shared" si="2"/>
        <v>4.5525205418610604E-3</v>
      </c>
      <c r="G103" s="12">
        <v>23437.199219999999</v>
      </c>
      <c r="H103" s="13">
        <f t="shared" si="3"/>
        <v>3.9996255992054364E-2</v>
      </c>
    </row>
    <row r="104" spans="2:8" x14ac:dyDescent="0.3">
      <c r="B104" s="8">
        <v>45772</v>
      </c>
      <c r="C104" s="12">
        <v>2905.0861743239998</v>
      </c>
      <c r="D104" s="13">
        <f t="shared" si="2"/>
        <v>7.2620758262407215E-2</v>
      </c>
      <c r="G104" s="12">
        <v>24246.699219999999</v>
      </c>
      <c r="H104" s="13">
        <f t="shared" si="3"/>
        <v>3.4539109916735145E-2</v>
      </c>
    </row>
    <row r="105" spans="2:8" x14ac:dyDescent="0.3">
      <c r="B105" s="8">
        <v>45779</v>
      </c>
      <c r="C105" s="12">
        <v>2787.7331466720002</v>
      </c>
      <c r="D105" s="13">
        <f t="shared" si="2"/>
        <v>-4.0395713107996611E-2</v>
      </c>
      <c r="G105" s="12">
        <v>24335.949219999999</v>
      </c>
      <c r="H105" s="13">
        <f t="shared" si="3"/>
        <v>3.6809133973330077E-3</v>
      </c>
    </row>
    <row r="106" spans="2:8" x14ac:dyDescent="0.3">
      <c r="B106" s="8">
        <v>45786</v>
      </c>
      <c r="C106" s="12">
        <v>2768.573468688</v>
      </c>
      <c r="D106" s="13">
        <f t="shared" si="2"/>
        <v>-6.8728522336770626E-3</v>
      </c>
      <c r="G106" s="12">
        <v>24273.800780000001</v>
      </c>
      <c r="H106" s="13">
        <f t="shared" si="3"/>
        <v>-2.5537709434781952E-3</v>
      </c>
    </row>
    <row r="107" spans="2:8" x14ac:dyDescent="0.3">
      <c r="B107" s="8">
        <v>45793</v>
      </c>
      <c r="C107" s="12">
        <v>2793.720546042</v>
      </c>
      <c r="D107" s="13">
        <f t="shared" si="2"/>
        <v>9.0830449826988513E-3</v>
      </c>
      <c r="G107" s="12">
        <v>25062.099610000001</v>
      </c>
      <c r="H107" s="13">
        <f t="shared" si="3"/>
        <v>3.2475294542645639E-2</v>
      </c>
    </row>
    <row r="108" spans="2:8" x14ac:dyDescent="0.3">
      <c r="B108" s="8">
        <v>45800</v>
      </c>
      <c r="C108" s="12">
        <v>2843.8151207709998</v>
      </c>
      <c r="D108" s="13">
        <f t="shared" si="2"/>
        <v>1.7931133019002621E-2</v>
      </c>
      <c r="G108" s="12">
        <v>24609.699219999999</v>
      </c>
      <c r="H108" s="13">
        <f t="shared" si="3"/>
        <v>-1.8051176758530296E-2</v>
      </c>
    </row>
    <row r="109" spans="2:8" x14ac:dyDescent="0.3">
      <c r="B109" s="8">
        <v>45807</v>
      </c>
      <c r="C109" s="12">
        <v>2780.7478474069999</v>
      </c>
      <c r="D109" s="13">
        <f t="shared" si="2"/>
        <v>-2.2176994876833445E-2</v>
      </c>
      <c r="G109" s="12">
        <v>24833.599610000001</v>
      </c>
      <c r="H109" s="13">
        <f t="shared" si="3"/>
        <v>9.0980547140553369E-3</v>
      </c>
    </row>
    <row r="110" spans="2:8" x14ac:dyDescent="0.3">
      <c r="B110" s="8"/>
    </row>
    <row r="111" spans="2:8" x14ac:dyDescent="0.3">
      <c r="B111" s="8"/>
    </row>
    <row r="112" spans="2:8" x14ac:dyDescent="0.3">
      <c r="B112" s="8"/>
    </row>
  </sheetData>
  <mergeCells count="4">
    <mergeCell ref="B3:H3"/>
    <mergeCell ref="B5:D5"/>
    <mergeCell ref="G5:H5"/>
    <mergeCell ref="J5:K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5D29-48D3-435C-9296-69BC739A2568}">
  <dimension ref="B3:U112"/>
  <sheetViews>
    <sheetView showGridLines="0" workbookViewId="0">
      <selection activeCell="O8" sqref="O8"/>
    </sheetView>
  </sheetViews>
  <sheetFormatPr defaultRowHeight="14.4" x14ac:dyDescent="0.3"/>
  <cols>
    <col min="1" max="1" width="1.88671875" customWidth="1"/>
    <col min="2" max="2" width="10.33203125" bestFit="1" customWidth="1"/>
    <col min="3" max="3" width="13.21875" customWidth="1"/>
    <col min="7" max="7" width="12.88671875" customWidth="1"/>
    <col min="10" max="10" width="17.5546875" bestFit="1" customWidth="1"/>
    <col min="13" max="13" width="16.6640625" bestFit="1" customWidth="1"/>
    <col min="14" max="14" width="20.21875" bestFit="1" customWidth="1"/>
  </cols>
  <sheetData>
    <row r="3" spans="2:14" x14ac:dyDescent="0.3">
      <c r="B3" s="18" t="s">
        <v>50</v>
      </c>
      <c r="C3" s="18"/>
      <c r="D3" s="18"/>
      <c r="E3" s="18"/>
      <c r="F3" s="18"/>
      <c r="G3" s="18"/>
      <c r="H3" s="18"/>
    </row>
    <row r="5" spans="2:14" x14ac:dyDescent="0.3">
      <c r="B5" s="17" t="s">
        <v>100</v>
      </c>
      <c r="C5" s="17"/>
      <c r="D5" s="17"/>
      <c r="G5" s="17" t="s">
        <v>55</v>
      </c>
      <c r="H5" s="17"/>
      <c r="J5" s="17" t="s">
        <v>63</v>
      </c>
      <c r="K5" s="17"/>
      <c r="M5" t="s">
        <v>69</v>
      </c>
      <c r="N5" s="19">
        <f>SLOPE(D9:D109,H9:H109)</f>
        <v>0.59069484160128727</v>
      </c>
    </row>
    <row r="6" spans="2:14" x14ac:dyDescent="0.3">
      <c r="J6" t="s">
        <v>64</v>
      </c>
      <c r="K6" s="19">
        <f>N8</f>
        <v>0.59069484160128716</v>
      </c>
      <c r="M6" t="s">
        <v>70</v>
      </c>
      <c r="N6" s="19">
        <f>_xlfn.COVARIANCE.S(D9:D109,H9:H109)/_xlfn.VAR.S(H9:H109)</f>
        <v>0.59069484160128727</v>
      </c>
    </row>
    <row r="7" spans="2:14" x14ac:dyDescent="0.3">
      <c r="B7" s="10" t="s">
        <v>51</v>
      </c>
      <c r="C7" s="11" t="s">
        <v>52</v>
      </c>
      <c r="D7" s="11" t="s">
        <v>53</v>
      </c>
      <c r="G7" s="11" t="s">
        <v>56</v>
      </c>
      <c r="H7" s="11" t="s">
        <v>53</v>
      </c>
      <c r="J7" t="s">
        <v>67</v>
      </c>
      <c r="K7" s="13">
        <v>0.75</v>
      </c>
    </row>
    <row r="8" spans="2:14" x14ac:dyDescent="0.3">
      <c r="B8" s="8">
        <v>45100</v>
      </c>
      <c r="C8" s="12">
        <v>969.99106341200002</v>
      </c>
      <c r="G8" s="12">
        <v>18665.5</v>
      </c>
      <c r="J8" t="s">
        <v>65</v>
      </c>
      <c r="K8" s="13">
        <v>0.25</v>
      </c>
      <c r="M8" t="s">
        <v>71</v>
      </c>
      <c r="N8" s="19">
        <f>N31</f>
        <v>0.59069484160128716</v>
      </c>
    </row>
    <row r="9" spans="2:14" x14ac:dyDescent="0.3">
      <c r="B9" s="8">
        <v>45107</v>
      </c>
      <c r="C9" s="12">
        <v>1051.6484743625001</v>
      </c>
      <c r="D9" s="13">
        <f>C9/C8-1</f>
        <v>8.4183673469387932E-2</v>
      </c>
      <c r="G9" s="12">
        <v>19189.05</v>
      </c>
      <c r="H9" s="13">
        <f>G9/G8-1</f>
        <v>2.8049074495727355E-2</v>
      </c>
      <c r="J9" t="s">
        <v>66</v>
      </c>
      <c r="K9">
        <v>1</v>
      </c>
    </row>
    <row r="10" spans="2:14" x14ac:dyDescent="0.3">
      <c r="B10" s="8">
        <v>45114</v>
      </c>
      <c r="C10" s="12">
        <v>1035.46546019231</v>
      </c>
      <c r="D10" s="13">
        <f t="shared" ref="D10:D73" si="0">C10/C9-1</f>
        <v>-1.5388235294117703E-2</v>
      </c>
      <c r="G10" s="12">
        <v>19331.8</v>
      </c>
      <c r="H10" s="13">
        <f t="shared" ref="H10:H73" si="1">G10/G9-1</f>
        <v>7.4391384669902916E-3</v>
      </c>
    </row>
    <row r="11" spans="2:14" x14ac:dyDescent="0.3">
      <c r="B11" s="8">
        <v>45121</v>
      </c>
      <c r="C11" s="12">
        <v>1125.1401442179499</v>
      </c>
      <c r="D11" s="13">
        <f t="shared" si="0"/>
        <v>8.6603259570807056E-2</v>
      </c>
      <c r="G11" s="12">
        <v>19564.5</v>
      </c>
      <c r="H11" s="13">
        <f t="shared" si="1"/>
        <v>1.2037161567986399E-2</v>
      </c>
      <c r="J11" s="24" t="s">
        <v>68</v>
      </c>
      <c r="K11" s="25">
        <f>(K6*K7)+(K8*K9)</f>
        <v>0.69302113120096531</v>
      </c>
    </row>
    <row r="12" spans="2:14" x14ac:dyDescent="0.3">
      <c r="B12" s="8">
        <v>45128</v>
      </c>
      <c r="C12" s="12">
        <v>1223.03005867861</v>
      </c>
      <c r="D12" s="13">
        <f t="shared" si="0"/>
        <v>8.700241917747964E-2</v>
      </c>
      <c r="G12" s="12">
        <v>19745</v>
      </c>
      <c r="H12" s="13">
        <f t="shared" si="1"/>
        <v>9.225893838329613E-3</v>
      </c>
    </row>
    <row r="13" spans="2:14" x14ac:dyDescent="0.3">
      <c r="B13" s="8">
        <v>45135</v>
      </c>
      <c r="C13" s="12">
        <v>1278.8045448247999</v>
      </c>
      <c r="D13" s="13">
        <f t="shared" si="0"/>
        <v>4.5603528507263347E-2</v>
      </c>
      <c r="G13" s="12">
        <v>19646.05</v>
      </c>
      <c r="H13" s="13">
        <f t="shared" si="1"/>
        <v>-5.0113952899468739E-3</v>
      </c>
    </row>
    <row r="14" spans="2:14" x14ac:dyDescent="0.3">
      <c r="B14" s="8">
        <v>45142</v>
      </c>
      <c r="C14" s="12">
        <v>1321.81078125873</v>
      </c>
      <c r="D14" s="13">
        <f t="shared" si="0"/>
        <v>3.3630030959752366E-2</v>
      </c>
      <c r="G14" s="12">
        <v>19517</v>
      </c>
      <c r="H14" s="13">
        <f t="shared" si="1"/>
        <v>-6.568750461288575E-3</v>
      </c>
      <c r="M14" t="s">
        <v>72</v>
      </c>
    </row>
    <row r="15" spans="2:14" ht="15" thickBot="1" x14ac:dyDescent="0.35">
      <c r="B15" s="8">
        <v>45149</v>
      </c>
      <c r="C15" s="12">
        <v>1631.1686454112</v>
      </c>
      <c r="D15" s="13">
        <f t="shared" si="0"/>
        <v>0.23404095997603802</v>
      </c>
      <c r="G15" s="12">
        <v>19428.3</v>
      </c>
      <c r="H15" s="13">
        <f t="shared" si="1"/>
        <v>-4.5447558538710409E-3</v>
      </c>
    </row>
    <row r="16" spans="2:14" x14ac:dyDescent="0.3">
      <c r="B16" s="8">
        <v>45156</v>
      </c>
      <c r="C16" s="12">
        <v>1552.6785522187799</v>
      </c>
      <c r="D16" s="13">
        <f t="shared" si="0"/>
        <v>-4.8118932038834994E-2</v>
      </c>
      <c r="G16" s="12">
        <v>19310.150000000001</v>
      </c>
      <c r="H16" s="13">
        <f t="shared" si="1"/>
        <v>-6.0813349598265454E-3</v>
      </c>
      <c r="M16" s="23" t="s">
        <v>73</v>
      </c>
      <c r="N16" s="23"/>
    </row>
    <row r="17" spans="2:21" x14ac:dyDescent="0.3">
      <c r="B17" s="8">
        <v>45163</v>
      </c>
      <c r="C17" s="12">
        <v>1530.8042639520399</v>
      </c>
      <c r="D17" s="13">
        <f t="shared" si="0"/>
        <v>-1.4088098425447781E-2</v>
      </c>
      <c r="G17" s="12">
        <v>19265.8</v>
      </c>
      <c r="H17" s="13">
        <f t="shared" si="1"/>
        <v>-2.2967196008317758E-3</v>
      </c>
      <c r="M17" s="20" t="s">
        <v>74</v>
      </c>
      <c r="N17" s="20">
        <v>0.21170528382817427</v>
      </c>
    </row>
    <row r="18" spans="2:21" x14ac:dyDescent="0.3">
      <c r="B18" s="8">
        <v>45170</v>
      </c>
      <c r="C18" s="12">
        <v>1750.0420400191399</v>
      </c>
      <c r="D18" s="13">
        <f t="shared" si="0"/>
        <v>0.14321738005948537</v>
      </c>
      <c r="G18" s="12">
        <v>19435.3</v>
      </c>
      <c r="H18" s="13">
        <f t="shared" si="1"/>
        <v>8.7979736112697715E-3</v>
      </c>
      <c r="M18" s="20" t="s">
        <v>75</v>
      </c>
      <c r="N18" s="20">
        <v>4.4819127200767833E-2</v>
      </c>
    </row>
    <row r="19" spans="2:21" x14ac:dyDescent="0.3">
      <c r="B19" s="8">
        <v>45177</v>
      </c>
      <c r="C19" s="12">
        <v>1675.0656899645901</v>
      </c>
      <c r="D19" s="13">
        <f t="shared" si="0"/>
        <v>-4.2842599400486292E-2</v>
      </c>
      <c r="G19" s="12">
        <v>19819.95</v>
      </c>
      <c r="H19" s="13">
        <f t="shared" si="1"/>
        <v>1.9791307569216876E-2</v>
      </c>
      <c r="M19" s="20" t="s">
        <v>76</v>
      </c>
      <c r="N19" s="20">
        <v>3.5170835556331145E-2</v>
      </c>
    </row>
    <row r="20" spans="2:21" x14ac:dyDescent="0.3">
      <c r="B20" s="8">
        <v>45184</v>
      </c>
      <c r="C20" s="12">
        <v>1678.82687980231</v>
      </c>
      <c r="D20" s="13">
        <f t="shared" si="0"/>
        <v>2.2453984104942037E-3</v>
      </c>
      <c r="G20" s="12">
        <v>20192.349999999999</v>
      </c>
      <c r="H20" s="13">
        <f t="shared" si="1"/>
        <v>1.8789149316723597E-2</v>
      </c>
      <c r="M20" s="20" t="s">
        <v>77</v>
      </c>
      <c r="N20" s="20">
        <v>4.6080620506275469E-2</v>
      </c>
    </row>
    <row r="21" spans="2:21" ht="15" thickBot="1" x14ac:dyDescent="0.35">
      <c r="B21" s="8">
        <v>45191</v>
      </c>
      <c r="C21" s="12">
        <v>1675.90700874408</v>
      </c>
      <c r="D21" s="13">
        <f t="shared" si="0"/>
        <v>-1.7392329687822006E-3</v>
      </c>
      <c r="G21" s="12">
        <v>19674.25</v>
      </c>
      <c r="H21" s="13">
        <f t="shared" si="1"/>
        <v>-2.5658231954180599E-2</v>
      </c>
      <c r="M21" s="21" t="s">
        <v>78</v>
      </c>
      <c r="N21" s="21">
        <v>101</v>
      </c>
    </row>
    <row r="22" spans="2:21" x14ac:dyDescent="0.3">
      <c r="B22" s="8">
        <v>45198</v>
      </c>
      <c r="C22" s="12">
        <v>1657.9918676749401</v>
      </c>
      <c r="D22" s="13">
        <f t="shared" si="0"/>
        <v>-1.0689818095913073E-2</v>
      </c>
      <c r="G22" s="12">
        <v>19638.3</v>
      </c>
      <c r="H22" s="13">
        <f t="shared" si="1"/>
        <v>-1.8272615220402688E-3</v>
      </c>
    </row>
    <row r="23" spans="2:21" ht="15" thickBot="1" x14ac:dyDescent="0.35">
      <c r="B23" s="8">
        <v>45205</v>
      </c>
      <c r="C23" s="12">
        <v>1654.4286351971</v>
      </c>
      <c r="D23" s="13">
        <f t="shared" si="0"/>
        <v>-2.149125425347731E-3</v>
      </c>
      <c r="G23" s="12">
        <v>19653.5</v>
      </c>
      <c r="H23" s="13">
        <f t="shared" si="1"/>
        <v>7.7399774929598486E-4</v>
      </c>
      <c r="M23" t="s">
        <v>79</v>
      </c>
    </row>
    <row r="24" spans="2:21" x14ac:dyDescent="0.3">
      <c r="B24" s="8">
        <v>45212</v>
      </c>
      <c r="C24" s="12">
        <v>1605.5826566467099</v>
      </c>
      <c r="D24" s="13">
        <f t="shared" si="0"/>
        <v>-2.9524379300029935E-2</v>
      </c>
      <c r="G24" s="12">
        <v>19751.05</v>
      </c>
      <c r="H24" s="13">
        <f t="shared" si="1"/>
        <v>4.9634925076957881E-3</v>
      </c>
      <c r="M24" s="22"/>
      <c r="N24" s="22" t="s">
        <v>84</v>
      </c>
      <c r="O24" s="22" t="s">
        <v>85</v>
      </c>
      <c r="P24" s="22" t="s">
        <v>86</v>
      </c>
      <c r="Q24" s="22" t="s">
        <v>87</v>
      </c>
      <c r="R24" s="22" t="s">
        <v>88</v>
      </c>
    </row>
    <row r="25" spans="2:21" x14ac:dyDescent="0.3">
      <c r="B25" s="8">
        <v>45219</v>
      </c>
      <c r="C25" s="12">
        <v>1542.97864158466</v>
      </c>
      <c r="D25" s="13">
        <f t="shared" si="0"/>
        <v>-3.8991461948648332E-2</v>
      </c>
      <c r="G25" s="12">
        <v>19542.650000000001</v>
      </c>
      <c r="H25" s="13">
        <f t="shared" si="1"/>
        <v>-1.0551337776978809E-2</v>
      </c>
      <c r="M25" s="20" t="s">
        <v>80</v>
      </c>
      <c r="N25" s="20">
        <v>1</v>
      </c>
      <c r="O25" s="20">
        <v>9.863921543854709E-3</v>
      </c>
      <c r="P25" s="20">
        <v>9.863921543854709E-3</v>
      </c>
      <c r="Q25" s="20">
        <v>4.6452915036633486</v>
      </c>
      <c r="R25" s="20">
        <v>3.3563158910886702E-2</v>
      </c>
    </row>
    <row r="26" spans="2:21" x14ac:dyDescent="0.3">
      <c r="B26" s="8">
        <v>45226</v>
      </c>
      <c r="C26" s="12">
        <v>1535.1098365294299</v>
      </c>
      <c r="D26" s="13">
        <f t="shared" si="0"/>
        <v>-5.0997498235936245E-3</v>
      </c>
      <c r="G26" s="12">
        <v>19047.25</v>
      </c>
      <c r="H26" s="13">
        <f t="shared" si="1"/>
        <v>-2.5349683896503383E-2</v>
      </c>
      <c r="M26" s="20" t="s">
        <v>81</v>
      </c>
      <c r="N26" s="20">
        <v>99</v>
      </c>
      <c r="O26" s="20">
        <v>0.21021893503809413</v>
      </c>
      <c r="P26" s="20">
        <v>2.1234235862433752E-3</v>
      </c>
      <c r="Q26" s="20"/>
      <c r="R26" s="20"/>
    </row>
    <row r="27" spans="2:21" ht="15" thickBot="1" x14ac:dyDescent="0.35">
      <c r="B27" s="8">
        <v>45233</v>
      </c>
      <c r="C27" s="12">
        <v>1495.0729604937001</v>
      </c>
      <c r="D27" s="13">
        <f t="shared" si="0"/>
        <v>-2.6080789193719922E-2</v>
      </c>
      <c r="G27" s="12">
        <v>19230.599999999999</v>
      </c>
      <c r="H27" s="13">
        <f t="shared" si="1"/>
        <v>9.6260615049414966E-3</v>
      </c>
      <c r="M27" s="21" t="s">
        <v>82</v>
      </c>
      <c r="N27" s="21">
        <v>100</v>
      </c>
      <c r="O27" s="21">
        <v>0.22008285658194884</v>
      </c>
      <c r="P27" s="21"/>
      <c r="Q27" s="21"/>
      <c r="R27" s="21"/>
    </row>
    <row r="28" spans="2:21" ht="15" thickBot="1" x14ac:dyDescent="0.35">
      <c r="B28" s="8">
        <v>45240</v>
      </c>
      <c r="C28" s="12">
        <v>1610.4326119637699</v>
      </c>
      <c r="D28" s="13">
        <f t="shared" si="0"/>
        <v>7.7159880834160699E-2</v>
      </c>
      <c r="G28" s="12">
        <v>19425.349999999999</v>
      </c>
      <c r="H28" s="13">
        <f t="shared" si="1"/>
        <v>1.0127089118384225E-2</v>
      </c>
    </row>
    <row r="29" spans="2:21" x14ac:dyDescent="0.3">
      <c r="B29" s="8">
        <v>45247</v>
      </c>
      <c r="C29" s="12">
        <v>1612.21422820269</v>
      </c>
      <c r="D29" s="13">
        <f t="shared" si="0"/>
        <v>1.1062966718908829E-3</v>
      </c>
      <c r="G29" s="12">
        <v>19731.8</v>
      </c>
      <c r="H29" s="13">
        <f t="shared" si="1"/>
        <v>1.5775777527818002E-2</v>
      </c>
      <c r="M29" s="22"/>
      <c r="N29" s="22" t="s">
        <v>89</v>
      </c>
      <c r="O29" s="22" t="s">
        <v>77</v>
      </c>
      <c r="P29" s="22" t="s">
        <v>90</v>
      </c>
      <c r="Q29" s="22" t="s">
        <v>91</v>
      </c>
      <c r="R29" s="22" t="s">
        <v>92</v>
      </c>
      <c r="S29" s="22" t="s">
        <v>93</v>
      </c>
      <c r="T29" s="22" t="s">
        <v>94</v>
      </c>
      <c r="U29" s="22" t="s">
        <v>95</v>
      </c>
    </row>
    <row r="30" spans="2:21" x14ac:dyDescent="0.3">
      <c r="B30" s="8">
        <v>45254</v>
      </c>
      <c r="C30" s="12">
        <v>1738.5605131461</v>
      </c>
      <c r="D30" s="13">
        <f t="shared" si="0"/>
        <v>7.8368173864996837E-2</v>
      </c>
      <c r="G30" s="12">
        <v>19794.7</v>
      </c>
      <c r="H30" s="13">
        <f t="shared" si="1"/>
        <v>3.1877476966115648E-3</v>
      </c>
      <c r="M30" s="20" t="s">
        <v>83</v>
      </c>
      <c r="N30" s="20">
        <v>4.1825924254090697E-3</v>
      </c>
      <c r="O30" s="20">
        <v>4.6569189939900469E-3</v>
      </c>
      <c r="P30" s="20">
        <v>0.89814584080308979</v>
      </c>
      <c r="Q30" s="20">
        <v>0.37128695389016386</v>
      </c>
      <c r="R30" s="20">
        <v>-5.0577451846307419E-3</v>
      </c>
      <c r="S30" s="20">
        <v>1.3422930035448881E-2</v>
      </c>
      <c r="T30" s="20">
        <v>-5.0577451846307419E-3</v>
      </c>
      <c r="U30" s="20">
        <v>1.3422930035448881E-2</v>
      </c>
    </row>
    <row r="31" spans="2:21" ht="15" thickBot="1" x14ac:dyDescent="0.35">
      <c r="B31" s="8">
        <v>45261</v>
      </c>
      <c r="C31" s="12">
        <v>1790.8707454943899</v>
      </c>
      <c r="D31" s="13">
        <f t="shared" si="0"/>
        <v>3.0088243666381853E-2</v>
      </c>
      <c r="G31" s="12">
        <v>20267.900000000001</v>
      </c>
      <c r="H31" s="13">
        <f t="shared" si="1"/>
        <v>2.3905388816198414E-2</v>
      </c>
      <c r="M31" s="21" t="s">
        <v>96</v>
      </c>
      <c r="N31" s="21">
        <v>0.59069484160128716</v>
      </c>
      <c r="O31" s="21">
        <v>0.2740669660636284</v>
      </c>
      <c r="P31" s="21">
        <v>2.1552938323261812</v>
      </c>
      <c r="Q31" s="21">
        <v>3.3563158910888263E-2</v>
      </c>
      <c r="R31" s="21">
        <v>4.6886521667976577E-2</v>
      </c>
      <c r="S31" s="21">
        <v>1.1345031615345977</v>
      </c>
      <c r="T31" s="21">
        <v>4.6886521667976577E-2</v>
      </c>
      <c r="U31" s="21">
        <v>1.1345031615345977</v>
      </c>
    </row>
    <row r="32" spans="2:21" x14ac:dyDescent="0.3">
      <c r="B32" s="8">
        <v>45268</v>
      </c>
      <c r="C32" s="12">
        <v>1759.59348263335</v>
      </c>
      <c r="D32" s="13">
        <f t="shared" si="0"/>
        <v>-1.7464835438140702E-2</v>
      </c>
      <c r="G32" s="12">
        <v>20969.400000000001</v>
      </c>
      <c r="H32" s="13">
        <f t="shared" si="1"/>
        <v>3.4611380557433069E-2</v>
      </c>
    </row>
    <row r="33" spans="2:8" x14ac:dyDescent="0.3">
      <c r="B33" s="8">
        <v>45275</v>
      </c>
      <c r="C33" s="12">
        <v>1793.3947018328599</v>
      </c>
      <c r="D33" s="13">
        <f t="shared" si="0"/>
        <v>1.920967515117411E-2</v>
      </c>
      <c r="G33" s="12">
        <v>21456.65</v>
      </c>
      <c r="H33" s="13">
        <f t="shared" si="1"/>
        <v>2.3236239472755438E-2</v>
      </c>
    </row>
    <row r="34" spans="2:8" x14ac:dyDescent="0.3">
      <c r="B34" s="8">
        <v>45282</v>
      </c>
      <c r="C34" s="12">
        <v>1848.3278691995599</v>
      </c>
      <c r="D34" s="13">
        <f t="shared" si="0"/>
        <v>3.063082951597762E-2</v>
      </c>
      <c r="G34" s="12">
        <v>21349.4</v>
      </c>
      <c r="H34" s="13">
        <f t="shared" si="1"/>
        <v>-4.9984503638732525E-3</v>
      </c>
    </row>
    <row r="35" spans="2:8" x14ac:dyDescent="0.3">
      <c r="B35" s="8">
        <v>45289</v>
      </c>
      <c r="C35" s="12">
        <v>1904.8446954453</v>
      </c>
      <c r="D35" s="13">
        <f t="shared" si="0"/>
        <v>3.0577273214094536E-2</v>
      </c>
      <c r="G35" s="12">
        <v>21731.4</v>
      </c>
      <c r="H35" s="13">
        <f t="shared" si="1"/>
        <v>1.7892774504201459E-2</v>
      </c>
    </row>
    <row r="36" spans="2:8" x14ac:dyDescent="0.3">
      <c r="B36" s="8">
        <v>45296</v>
      </c>
      <c r="C36" s="12">
        <v>1969.4282841061499</v>
      </c>
      <c r="D36" s="13">
        <f t="shared" si="0"/>
        <v>3.3904910366328922E-2</v>
      </c>
      <c r="G36" s="12">
        <v>21710.799999999999</v>
      </c>
      <c r="H36" s="13">
        <f t="shared" si="1"/>
        <v>-9.479370864280412E-4</v>
      </c>
    </row>
    <row r="37" spans="2:8" x14ac:dyDescent="0.3">
      <c r="B37" s="8">
        <v>45303</v>
      </c>
      <c r="C37" s="12">
        <v>1945.77237960049</v>
      </c>
      <c r="D37" s="13">
        <f t="shared" si="0"/>
        <v>-1.2011559241110636E-2</v>
      </c>
      <c r="G37" s="12">
        <v>21894.55</v>
      </c>
      <c r="H37" s="13">
        <f t="shared" si="1"/>
        <v>8.4635296718684749E-3</v>
      </c>
    </row>
    <row r="38" spans="2:8" x14ac:dyDescent="0.3">
      <c r="B38" s="8">
        <v>45311</v>
      </c>
      <c r="C38" s="12">
        <v>1919.6914974363001</v>
      </c>
      <c r="D38" s="13">
        <f t="shared" si="0"/>
        <v>-1.3403871099015641E-2</v>
      </c>
      <c r="G38" s="12">
        <v>21622.400000000001</v>
      </c>
      <c r="H38" s="13">
        <f t="shared" si="1"/>
        <v>-1.2430033958222397E-2</v>
      </c>
    </row>
    <row r="39" spans="2:8" x14ac:dyDescent="0.3">
      <c r="B39" s="8">
        <v>45316</v>
      </c>
      <c r="C39" s="12">
        <v>1879.65462140057</v>
      </c>
      <c r="D39" s="13">
        <f t="shared" si="0"/>
        <v>-2.0855890693477708E-2</v>
      </c>
      <c r="G39" s="12">
        <v>21352.6</v>
      </c>
      <c r="H39" s="13">
        <f t="shared" si="1"/>
        <v>-1.2477800799171379E-2</v>
      </c>
    </row>
    <row r="40" spans="2:8" x14ac:dyDescent="0.3">
      <c r="B40" s="8">
        <v>45324</v>
      </c>
      <c r="C40" s="12">
        <v>1978.1384079408699</v>
      </c>
      <c r="D40" s="13">
        <f t="shared" si="0"/>
        <v>5.2394618361812473E-2</v>
      </c>
      <c r="G40" s="12">
        <v>21853.8</v>
      </c>
      <c r="H40" s="13">
        <f t="shared" si="1"/>
        <v>2.3472551352060167E-2</v>
      </c>
    </row>
    <row r="41" spans="2:8" x14ac:dyDescent="0.3">
      <c r="B41" s="8">
        <v>45331</v>
      </c>
      <c r="C41" s="12">
        <v>1986.7495530956501</v>
      </c>
      <c r="D41" s="13">
        <f t="shared" si="0"/>
        <v>4.3531560381278034E-3</v>
      </c>
      <c r="G41" s="12">
        <v>21782.5</v>
      </c>
      <c r="H41" s="13">
        <f t="shared" si="1"/>
        <v>-3.2625904876955047E-3</v>
      </c>
    </row>
    <row r="42" spans="2:8" x14ac:dyDescent="0.3">
      <c r="B42" s="8">
        <v>45338</v>
      </c>
      <c r="C42" s="12">
        <v>1980.71185361931</v>
      </c>
      <c r="D42" s="13">
        <f t="shared" si="0"/>
        <v>-3.0389836841450135E-3</v>
      </c>
      <c r="G42" s="12">
        <v>22040.7</v>
      </c>
      <c r="H42" s="13">
        <f t="shared" si="1"/>
        <v>1.1853552163433978E-2</v>
      </c>
    </row>
    <row r="43" spans="2:8" x14ac:dyDescent="0.3">
      <c r="B43" s="8">
        <v>45345</v>
      </c>
      <c r="C43" s="12">
        <v>1842.09221236334</v>
      </c>
      <c r="D43" s="13">
        <f t="shared" si="0"/>
        <v>-6.9984758763710908E-2</v>
      </c>
      <c r="G43" s="12">
        <v>22212.7</v>
      </c>
      <c r="H43" s="13">
        <f t="shared" si="1"/>
        <v>7.8037448901351336E-3</v>
      </c>
    </row>
    <row r="44" spans="2:8" x14ac:dyDescent="0.3">
      <c r="B44" s="8">
        <v>45353</v>
      </c>
      <c r="C44" s="12">
        <v>1776.46934756312</v>
      </c>
      <c r="D44" s="13">
        <f t="shared" si="0"/>
        <v>-3.5624093278168845E-2</v>
      </c>
      <c r="G44" s="12">
        <v>22338.75</v>
      </c>
      <c r="H44" s="13">
        <f t="shared" si="1"/>
        <v>5.6746816010659895E-3</v>
      </c>
    </row>
    <row r="45" spans="2:8" x14ac:dyDescent="0.3">
      <c r="B45" s="8">
        <v>45358</v>
      </c>
      <c r="C45" s="12">
        <v>1747.1716583008799</v>
      </c>
      <c r="D45" s="13">
        <f t="shared" si="0"/>
        <v>-1.6492088254958848E-2</v>
      </c>
      <c r="G45" s="12">
        <v>22493.55</v>
      </c>
      <c r="H45" s="13">
        <f t="shared" si="1"/>
        <v>6.929662581836471E-3</v>
      </c>
    </row>
    <row r="46" spans="2:8" x14ac:dyDescent="0.3">
      <c r="B46" s="8">
        <v>45366</v>
      </c>
      <c r="C46" s="12">
        <v>1771.718370926</v>
      </c>
      <c r="D46" s="13">
        <f t="shared" si="0"/>
        <v>1.4049399501472992E-2</v>
      </c>
      <c r="G46" s="12">
        <v>22023.35</v>
      </c>
      <c r="H46" s="13">
        <f t="shared" si="1"/>
        <v>-2.0903770191899484E-2</v>
      </c>
    </row>
    <row r="47" spans="2:8" x14ac:dyDescent="0.3">
      <c r="B47" s="8">
        <v>45373</v>
      </c>
      <c r="C47" s="12">
        <v>1776.02394350339</v>
      </c>
      <c r="D47" s="13">
        <f t="shared" si="0"/>
        <v>2.4301675977653758E-3</v>
      </c>
      <c r="G47" s="12">
        <v>22096.75</v>
      </c>
      <c r="H47" s="13">
        <f t="shared" si="1"/>
        <v>3.3328262957270649E-3</v>
      </c>
    </row>
    <row r="48" spans="2:8" x14ac:dyDescent="0.3">
      <c r="B48" s="8">
        <v>45379</v>
      </c>
      <c r="C48" s="12">
        <v>1826.4040915928499</v>
      </c>
      <c r="D48" s="13">
        <f t="shared" si="0"/>
        <v>2.836681806782404E-2</v>
      </c>
      <c r="G48" s="12">
        <v>22326.9</v>
      </c>
      <c r="H48" s="13">
        <f t="shared" si="1"/>
        <v>1.0415558849152129E-2</v>
      </c>
    </row>
    <row r="49" spans="2:8" x14ac:dyDescent="0.3">
      <c r="B49" s="8">
        <v>45387</v>
      </c>
      <c r="C49" s="12">
        <v>1736.63042888727</v>
      </c>
      <c r="D49" s="13">
        <f t="shared" si="0"/>
        <v>-4.9153231269475683E-2</v>
      </c>
      <c r="G49" s="12">
        <v>22513.7</v>
      </c>
      <c r="H49" s="13">
        <f t="shared" si="1"/>
        <v>8.3665891816597782E-3</v>
      </c>
    </row>
    <row r="50" spans="2:8" x14ac:dyDescent="0.3">
      <c r="B50" s="8">
        <v>45394</v>
      </c>
      <c r="C50" s="12">
        <v>1731.78047357021</v>
      </c>
      <c r="D50" s="13">
        <f t="shared" si="0"/>
        <v>-2.7927388789148466E-3</v>
      </c>
      <c r="G50" s="12">
        <v>22519.400389999999</v>
      </c>
      <c r="H50" s="13">
        <f t="shared" si="1"/>
        <v>2.5319649813226874E-4</v>
      </c>
    </row>
    <row r="51" spans="2:8" x14ac:dyDescent="0.3">
      <c r="B51" s="8">
        <v>45401</v>
      </c>
      <c r="C51" s="12">
        <v>1745.5879994218401</v>
      </c>
      <c r="D51" s="13">
        <f t="shared" si="0"/>
        <v>7.9730231760637427E-3</v>
      </c>
      <c r="G51" s="12">
        <v>22147</v>
      </c>
      <c r="H51" s="13">
        <f t="shared" si="1"/>
        <v>-1.6536869701262891E-2</v>
      </c>
    </row>
    <row r="52" spans="2:8" x14ac:dyDescent="0.3">
      <c r="B52" s="8">
        <v>45408</v>
      </c>
      <c r="C52" s="12">
        <v>1710.6980147429899</v>
      </c>
      <c r="D52" s="13">
        <f t="shared" si="0"/>
        <v>-1.9987525515990145E-2</v>
      </c>
      <c r="G52" s="12">
        <v>22419.949219999999</v>
      </c>
      <c r="H52" s="13">
        <f t="shared" si="1"/>
        <v>1.2324433106063903E-2</v>
      </c>
    </row>
    <row r="53" spans="2:8" x14ac:dyDescent="0.3">
      <c r="B53" s="8">
        <v>45415</v>
      </c>
      <c r="C53" s="12">
        <v>1669.2259478481301</v>
      </c>
      <c r="D53" s="13">
        <f t="shared" si="0"/>
        <v>-2.4242774900916975E-2</v>
      </c>
      <c r="G53" s="12">
        <v>22475.849610000001</v>
      </c>
      <c r="H53" s="13">
        <f t="shared" si="1"/>
        <v>2.4933325874858525E-3</v>
      </c>
    </row>
    <row r="54" spans="2:8" x14ac:dyDescent="0.3">
      <c r="B54" s="8">
        <v>45422</v>
      </c>
      <c r="C54" s="12">
        <v>1692.5354269740001</v>
      </c>
      <c r="D54" s="13">
        <f t="shared" si="0"/>
        <v>1.3964244418749328E-2</v>
      </c>
      <c r="G54" s="12">
        <v>22055.199219999999</v>
      </c>
      <c r="H54" s="13">
        <f t="shared" si="1"/>
        <v>-1.871566135648306E-2</v>
      </c>
    </row>
    <row r="55" spans="2:8" x14ac:dyDescent="0.3">
      <c r="B55" s="8">
        <v>45430</v>
      </c>
      <c r="C55" s="12">
        <v>1761.02867349248</v>
      </c>
      <c r="D55" s="13">
        <f t="shared" si="0"/>
        <v>4.0467836257309875E-2</v>
      </c>
      <c r="G55" s="12">
        <v>22464.800780000001</v>
      </c>
      <c r="H55" s="13">
        <f t="shared" si="1"/>
        <v>1.8571655413956556E-2</v>
      </c>
    </row>
    <row r="56" spans="2:8" x14ac:dyDescent="0.3">
      <c r="B56" s="8">
        <v>45436</v>
      </c>
      <c r="C56" s="12">
        <v>1866.6389249884601</v>
      </c>
      <c r="D56" s="13">
        <f t="shared" si="0"/>
        <v>5.9970773381295084E-2</v>
      </c>
      <c r="G56" s="12">
        <v>22957.099610000001</v>
      </c>
      <c r="H56" s="13">
        <f t="shared" si="1"/>
        <v>2.1914230836993953E-2</v>
      </c>
    </row>
    <row r="57" spans="2:8" x14ac:dyDescent="0.3">
      <c r="B57" s="8">
        <v>45443</v>
      </c>
      <c r="C57" s="12">
        <v>1821.35617891591</v>
      </c>
      <c r="D57" s="13">
        <f t="shared" si="0"/>
        <v>-2.4258974494936081E-2</v>
      </c>
      <c r="G57" s="12">
        <v>22530.699219999999</v>
      </c>
      <c r="H57" s="13">
        <f t="shared" si="1"/>
        <v>-1.8573791865862055E-2</v>
      </c>
    </row>
    <row r="58" spans="2:8" x14ac:dyDescent="0.3">
      <c r="B58" s="8">
        <v>45450</v>
      </c>
      <c r="C58" s="12">
        <v>1838.82591592532</v>
      </c>
      <c r="D58" s="13">
        <f t="shared" si="0"/>
        <v>9.5916093796701851E-3</v>
      </c>
      <c r="G58" s="12">
        <v>23290.150389999999</v>
      </c>
      <c r="H58" s="13">
        <f t="shared" si="1"/>
        <v>3.3707394634510557E-2</v>
      </c>
    </row>
    <row r="59" spans="2:8" x14ac:dyDescent="0.3">
      <c r="B59" s="8">
        <v>45457</v>
      </c>
      <c r="C59" s="12">
        <v>1827.09694235243</v>
      </c>
      <c r="D59" s="13">
        <f t="shared" si="0"/>
        <v>-6.3785122187534071E-3</v>
      </c>
      <c r="G59" s="12">
        <v>23465.599610000001</v>
      </c>
      <c r="H59" s="13">
        <f t="shared" si="1"/>
        <v>7.5331939494618361E-3</v>
      </c>
    </row>
    <row r="60" spans="2:8" x14ac:dyDescent="0.3">
      <c r="B60" s="8">
        <v>45464</v>
      </c>
      <c r="C60" s="12">
        <v>1797.4528277104</v>
      </c>
      <c r="D60" s="13">
        <f t="shared" si="0"/>
        <v>-1.6224708144857658E-2</v>
      </c>
      <c r="G60" s="12">
        <v>23501.099610000001</v>
      </c>
      <c r="H60" s="13">
        <f t="shared" si="1"/>
        <v>1.5128528820917975E-3</v>
      </c>
    </row>
    <row r="61" spans="2:8" x14ac:dyDescent="0.3">
      <c r="B61" s="8">
        <v>45471</v>
      </c>
      <c r="C61" s="12">
        <v>1806.21244088509</v>
      </c>
      <c r="D61" s="13">
        <f t="shared" si="0"/>
        <v>4.8733480176210708E-3</v>
      </c>
      <c r="G61" s="12">
        <v>24010.599610000001</v>
      </c>
      <c r="H61" s="13">
        <f t="shared" si="1"/>
        <v>2.1679836622759519E-2</v>
      </c>
    </row>
    <row r="62" spans="2:8" x14ac:dyDescent="0.3">
      <c r="B62" s="8">
        <v>45478</v>
      </c>
      <c r="C62" s="12">
        <v>1820.9602641961501</v>
      </c>
      <c r="D62" s="13">
        <f t="shared" si="0"/>
        <v>8.1650546620271047E-3</v>
      </c>
      <c r="G62" s="12">
        <v>24323.849610000001</v>
      </c>
      <c r="H62" s="13">
        <f t="shared" si="1"/>
        <v>1.3046321420042251E-2</v>
      </c>
    </row>
    <row r="63" spans="2:8" x14ac:dyDescent="0.3">
      <c r="B63" s="8">
        <v>45485</v>
      </c>
      <c r="C63" s="12">
        <v>2010.94984034098</v>
      </c>
      <c r="D63" s="13">
        <f t="shared" si="0"/>
        <v>0.10433482810164429</v>
      </c>
      <c r="G63" s="12">
        <v>24502.150389999999</v>
      </c>
      <c r="H63" s="13">
        <f t="shared" si="1"/>
        <v>7.3302862358881615E-3</v>
      </c>
    </row>
    <row r="64" spans="2:8" x14ac:dyDescent="0.3">
      <c r="B64" s="8">
        <v>45492</v>
      </c>
      <c r="C64" s="12">
        <v>1970.2696028856401</v>
      </c>
      <c r="D64" s="13">
        <f t="shared" si="0"/>
        <v>-2.0229364571541009E-2</v>
      </c>
      <c r="G64" s="12">
        <v>24530.900389999999</v>
      </c>
      <c r="H64" s="13">
        <f t="shared" si="1"/>
        <v>1.1733664001889466E-3</v>
      </c>
    </row>
    <row r="65" spans="2:8" x14ac:dyDescent="0.3">
      <c r="B65" s="8">
        <v>45499</v>
      </c>
      <c r="C65" s="12">
        <v>1996.0040596700401</v>
      </c>
      <c r="D65" s="13">
        <f t="shared" si="0"/>
        <v>1.3061388526072637E-2</v>
      </c>
      <c r="G65" s="12">
        <v>24834.849610000001</v>
      </c>
      <c r="H65" s="13">
        <f t="shared" si="1"/>
        <v>1.2390463259306594E-2</v>
      </c>
    </row>
    <row r="66" spans="2:8" x14ac:dyDescent="0.3">
      <c r="B66" s="8">
        <v>45506</v>
      </c>
      <c r="C66" s="12">
        <v>2104.9300969440101</v>
      </c>
      <c r="D66" s="13">
        <f t="shared" si="0"/>
        <v>5.4572051968660107E-2</v>
      </c>
      <c r="G66" s="12">
        <v>24717.699219999999</v>
      </c>
      <c r="H66" s="13">
        <f t="shared" si="1"/>
        <v>-4.7171773471432754E-3</v>
      </c>
    </row>
    <row r="67" spans="2:8" x14ac:dyDescent="0.3">
      <c r="B67" s="8">
        <v>45513</v>
      </c>
      <c r="C67" s="12">
        <v>2005.7534596441301</v>
      </c>
      <c r="D67" s="13">
        <f t="shared" si="0"/>
        <v>-4.7116356711259466E-2</v>
      </c>
      <c r="G67" s="12">
        <v>24367.5</v>
      </c>
      <c r="H67" s="13">
        <f t="shared" si="1"/>
        <v>-1.41679537760796E-2</v>
      </c>
    </row>
    <row r="68" spans="2:8" x14ac:dyDescent="0.3">
      <c r="B68" s="8">
        <v>45520</v>
      </c>
      <c r="C68" s="12">
        <v>1945.05</v>
      </c>
      <c r="D68" s="13">
        <f t="shared" si="0"/>
        <v>-3.0264666553236563E-2</v>
      </c>
      <c r="G68" s="12">
        <v>24541.150389999999</v>
      </c>
      <c r="H68" s="13">
        <f t="shared" si="1"/>
        <v>7.1263112752641966E-3</v>
      </c>
    </row>
    <row r="69" spans="2:8" x14ac:dyDescent="0.3">
      <c r="B69" s="8">
        <v>45527</v>
      </c>
      <c r="C69" s="12">
        <v>1868.7</v>
      </c>
      <c r="D69" s="13">
        <f t="shared" si="0"/>
        <v>-3.9253489627515958E-2</v>
      </c>
      <c r="G69" s="12">
        <v>24823.150389999999</v>
      </c>
      <c r="H69" s="13">
        <f t="shared" si="1"/>
        <v>1.1490903870378766E-2</v>
      </c>
    </row>
    <row r="70" spans="2:8" x14ac:dyDescent="0.3">
      <c r="B70" s="8">
        <v>45534</v>
      </c>
      <c r="C70" s="12">
        <v>1838.55</v>
      </c>
      <c r="D70" s="13">
        <f t="shared" si="0"/>
        <v>-1.6134210948787975E-2</v>
      </c>
      <c r="G70" s="12">
        <v>25235.900389999999</v>
      </c>
      <c r="H70" s="13">
        <f t="shared" si="1"/>
        <v>1.6627623549599013E-2</v>
      </c>
    </row>
    <row r="71" spans="2:8" x14ac:dyDescent="0.3">
      <c r="B71" s="8">
        <v>45541</v>
      </c>
      <c r="C71" s="12">
        <v>1906</v>
      </c>
      <c r="D71" s="13">
        <f t="shared" si="0"/>
        <v>3.6686519267901341E-2</v>
      </c>
      <c r="G71" s="12">
        <v>24852.150389999999</v>
      </c>
      <c r="H71" s="13">
        <f t="shared" si="1"/>
        <v>-1.5206511123814104E-2</v>
      </c>
    </row>
    <row r="72" spans="2:8" x14ac:dyDescent="0.3">
      <c r="B72" s="8">
        <v>45548</v>
      </c>
      <c r="C72" s="12">
        <v>1878.25</v>
      </c>
      <c r="D72" s="13">
        <f t="shared" si="0"/>
        <v>-1.455928646379856E-2</v>
      </c>
      <c r="G72" s="12">
        <v>25356.5</v>
      </c>
      <c r="H72" s="13">
        <f t="shared" si="1"/>
        <v>2.0294002816067858E-2</v>
      </c>
    </row>
    <row r="73" spans="2:8" x14ac:dyDescent="0.3">
      <c r="B73" s="8">
        <v>45555</v>
      </c>
      <c r="C73" s="12">
        <v>1800.45</v>
      </c>
      <c r="D73" s="13">
        <f t="shared" si="0"/>
        <v>-4.1421536004259241E-2</v>
      </c>
      <c r="G73" s="12">
        <v>25790.949219999999</v>
      </c>
      <c r="H73" s="13">
        <f t="shared" si="1"/>
        <v>1.7133643050105452E-2</v>
      </c>
    </row>
    <row r="74" spans="2:8" x14ac:dyDescent="0.3">
      <c r="B74" s="8">
        <v>45562</v>
      </c>
      <c r="C74" s="12">
        <v>1784.05</v>
      </c>
      <c r="D74" s="13">
        <f t="shared" ref="D74:D109" si="2">C74/C73-1</f>
        <v>-9.1088339026355047E-3</v>
      </c>
      <c r="G74" s="12">
        <v>26178.949219999999</v>
      </c>
      <c r="H74" s="13">
        <f t="shared" ref="H74:H109" si="3">G74/G73-1</f>
        <v>1.5044037219813511E-2</v>
      </c>
    </row>
    <row r="75" spans="2:8" x14ac:dyDescent="0.3">
      <c r="B75" s="8">
        <v>45569</v>
      </c>
      <c r="C75" s="12">
        <v>1749.05</v>
      </c>
      <c r="D75" s="13">
        <f t="shared" si="2"/>
        <v>-1.9618284240912498E-2</v>
      </c>
      <c r="G75" s="12">
        <v>25014.599610000001</v>
      </c>
      <c r="H75" s="13">
        <f t="shared" si="3"/>
        <v>-4.4476560163479228E-2</v>
      </c>
    </row>
    <row r="76" spans="2:8" x14ac:dyDescent="0.3">
      <c r="B76" s="8">
        <v>45576</v>
      </c>
      <c r="C76" s="12">
        <v>1698.55</v>
      </c>
      <c r="D76" s="13">
        <f t="shared" si="2"/>
        <v>-2.8872816671907553E-2</v>
      </c>
      <c r="G76" s="12">
        <v>24964.25</v>
      </c>
      <c r="H76" s="13">
        <f t="shared" si="3"/>
        <v>-2.0128089509724445E-3</v>
      </c>
    </row>
    <row r="77" spans="2:8" x14ac:dyDescent="0.3">
      <c r="B77" s="8">
        <v>45583</v>
      </c>
      <c r="C77" s="12">
        <v>1650.1</v>
      </c>
      <c r="D77" s="13">
        <f t="shared" si="2"/>
        <v>-2.8524329575225993E-2</v>
      </c>
      <c r="G77" s="12">
        <v>24854.050780000001</v>
      </c>
      <c r="H77" s="13">
        <f t="shared" si="3"/>
        <v>-4.414281222147598E-3</v>
      </c>
    </row>
    <row r="78" spans="2:8" x14ac:dyDescent="0.3">
      <c r="B78" s="8">
        <v>45590</v>
      </c>
      <c r="C78" s="12">
        <v>1605.85</v>
      </c>
      <c r="D78" s="13">
        <f t="shared" si="2"/>
        <v>-2.6816556572328953E-2</v>
      </c>
      <c r="G78" s="12">
        <v>24180.800780000001</v>
      </c>
      <c r="H78" s="13">
        <f t="shared" si="3"/>
        <v>-2.7088139714503301E-2</v>
      </c>
    </row>
    <row r="79" spans="2:8" x14ac:dyDescent="0.3">
      <c r="B79" s="8">
        <v>45597</v>
      </c>
      <c r="C79" s="12">
        <v>1646.35</v>
      </c>
      <c r="D79" s="13">
        <f t="shared" si="2"/>
        <v>2.5220288320827011E-2</v>
      </c>
      <c r="G79" s="12">
        <v>24304.349610000001</v>
      </c>
      <c r="H79" s="13">
        <f t="shared" si="3"/>
        <v>5.1093771097185936E-3</v>
      </c>
    </row>
    <row r="80" spans="2:8" x14ac:dyDescent="0.3">
      <c r="B80" s="8">
        <v>45604</v>
      </c>
      <c r="C80" s="12">
        <v>1777.6</v>
      </c>
      <c r="D80" s="13">
        <f t="shared" si="2"/>
        <v>7.9721808849880116E-2</v>
      </c>
      <c r="G80" s="12">
        <v>24148.199219999999</v>
      </c>
      <c r="H80" s="13">
        <f t="shared" si="3"/>
        <v>-6.424791961343157E-3</v>
      </c>
    </row>
    <row r="81" spans="2:8" x14ac:dyDescent="0.3">
      <c r="B81" s="8">
        <v>45610</v>
      </c>
      <c r="C81" s="12">
        <v>1774</v>
      </c>
      <c r="D81" s="13">
        <f t="shared" si="2"/>
        <v>-2.0252025202519564E-3</v>
      </c>
      <c r="G81" s="12">
        <v>23555.5</v>
      </c>
      <c r="H81" s="13">
        <f t="shared" si="3"/>
        <v>-2.4544240943196849E-2</v>
      </c>
    </row>
    <row r="82" spans="2:8" x14ac:dyDescent="0.3">
      <c r="B82" s="8">
        <v>45618</v>
      </c>
      <c r="C82" s="12">
        <v>1755.05</v>
      </c>
      <c r="D82" s="13">
        <f t="shared" si="2"/>
        <v>-1.0682074408117304E-2</v>
      </c>
      <c r="G82" s="12">
        <v>23349.900389999999</v>
      </c>
      <c r="H82" s="13">
        <f t="shared" si="3"/>
        <v>-8.7283059158158594E-3</v>
      </c>
    </row>
    <row r="83" spans="2:8" x14ac:dyDescent="0.3">
      <c r="B83" s="8">
        <v>45625</v>
      </c>
      <c r="C83" s="12">
        <v>1738</v>
      </c>
      <c r="D83" s="13">
        <f t="shared" si="2"/>
        <v>-9.7148229395174202E-3</v>
      </c>
      <c r="G83" s="12">
        <v>23914.150389999999</v>
      </c>
      <c r="H83" s="13">
        <f t="shared" si="3"/>
        <v>2.4164985313669618E-2</v>
      </c>
    </row>
    <row r="84" spans="2:8" x14ac:dyDescent="0.3">
      <c r="B84" s="8">
        <v>45632</v>
      </c>
      <c r="C84" s="12">
        <v>1813.25</v>
      </c>
      <c r="D84" s="13">
        <f t="shared" si="2"/>
        <v>4.3296892980437374E-2</v>
      </c>
      <c r="G84" s="12">
        <v>24708.400389999999</v>
      </c>
      <c r="H84" s="13">
        <f t="shared" si="3"/>
        <v>3.3212553531992706E-2</v>
      </c>
    </row>
    <row r="85" spans="2:8" x14ac:dyDescent="0.3">
      <c r="B85" s="8">
        <v>45639</v>
      </c>
      <c r="C85" s="12">
        <v>1748.1</v>
      </c>
      <c r="D85" s="13">
        <f t="shared" si="2"/>
        <v>-3.5929960016544915E-2</v>
      </c>
      <c r="G85" s="12">
        <v>24548.699219999999</v>
      </c>
      <c r="H85" s="13">
        <f t="shared" si="3"/>
        <v>-6.4634362192315109E-3</v>
      </c>
    </row>
    <row r="86" spans="2:8" x14ac:dyDescent="0.3">
      <c r="B86" s="8">
        <v>45646</v>
      </c>
      <c r="C86" s="12">
        <v>1772.3</v>
      </c>
      <c r="D86" s="13">
        <f t="shared" si="2"/>
        <v>1.384360162462106E-2</v>
      </c>
      <c r="G86" s="12">
        <v>23951.699219999999</v>
      </c>
      <c r="H86" s="13">
        <f t="shared" si="3"/>
        <v>-2.4319007481814703E-2</v>
      </c>
    </row>
    <row r="87" spans="2:8" x14ac:dyDescent="0.3">
      <c r="B87" s="8">
        <v>45653</v>
      </c>
      <c r="C87" s="12">
        <v>1810.65</v>
      </c>
      <c r="D87" s="13">
        <f t="shared" si="2"/>
        <v>2.1638548778423639E-2</v>
      </c>
      <c r="G87" s="12">
        <v>23750.199219999999</v>
      </c>
      <c r="H87" s="13">
        <f t="shared" si="3"/>
        <v>-8.4127642948916836E-3</v>
      </c>
    </row>
    <row r="88" spans="2:8" x14ac:dyDescent="0.3">
      <c r="B88" s="8">
        <v>45660</v>
      </c>
      <c r="C88" s="12">
        <v>1901.1</v>
      </c>
      <c r="D88" s="13">
        <f t="shared" si="2"/>
        <v>4.9954436252174439E-2</v>
      </c>
      <c r="G88" s="12">
        <v>24188.650389999999</v>
      </c>
      <c r="H88" s="13">
        <f t="shared" si="3"/>
        <v>1.8460947040426667E-2</v>
      </c>
    </row>
    <row r="89" spans="2:8" x14ac:dyDescent="0.3">
      <c r="B89" s="8">
        <v>45667</v>
      </c>
      <c r="C89" s="12">
        <v>1782.05</v>
      </c>
      <c r="D89" s="13">
        <f t="shared" si="2"/>
        <v>-6.2621640103098231E-2</v>
      </c>
      <c r="G89" s="12">
        <v>23526.5</v>
      </c>
      <c r="H89" s="13">
        <f t="shared" si="3"/>
        <v>-2.737442475392271E-2</v>
      </c>
    </row>
    <row r="90" spans="2:8" x14ac:dyDescent="0.3">
      <c r="B90" s="8">
        <v>45674</v>
      </c>
      <c r="C90" s="12">
        <v>1679.2</v>
      </c>
      <c r="D90" s="13">
        <f t="shared" si="2"/>
        <v>-5.7714430010381235E-2</v>
      </c>
      <c r="G90" s="12">
        <v>23311.800780000001</v>
      </c>
      <c r="H90" s="13">
        <f t="shared" si="3"/>
        <v>-9.1258461734639029E-3</v>
      </c>
    </row>
    <row r="91" spans="2:8" x14ac:dyDescent="0.3">
      <c r="B91" s="8">
        <v>45681</v>
      </c>
      <c r="C91" s="12">
        <v>1558.05</v>
      </c>
      <c r="D91" s="13">
        <f t="shared" si="2"/>
        <v>-7.2147451167222543E-2</v>
      </c>
      <c r="G91" s="12">
        <v>23205.349610000001</v>
      </c>
      <c r="H91" s="13">
        <f t="shared" si="3"/>
        <v>-4.5664069886581782E-3</v>
      </c>
    </row>
    <row r="92" spans="2:8" x14ac:dyDescent="0.3">
      <c r="B92" s="8">
        <v>45689</v>
      </c>
      <c r="C92" s="12">
        <v>1530.45</v>
      </c>
      <c r="D92" s="13">
        <f t="shared" si="2"/>
        <v>-1.7714450755752287E-2</v>
      </c>
      <c r="G92" s="12">
        <v>23508.400389999999</v>
      </c>
      <c r="H92" s="13">
        <f t="shared" si="3"/>
        <v>1.3059522269356583E-2</v>
      </c>
    </row>
    <row r="93" spans="2:8" x14ac:dyDescent="0.3">
      <c r="B93" s="8">
        <v>45695</v>
      </c>
      <c r="C93" s="12">
        <v>1516.6</v>
      </c>
      <c r="D93" s="13">
        <f t="shared" si="2"/>
        <v>-9.0496259270149704E-3</v>
      </c>
      <c r="G93" s="12">
        <v>23603.349610000001</v>
      </c>
      <c r="H93" s="13">
        <f t="shared" si="3"/>
        <v>4.0389485641223466E-3</v>
      </c>
    </row>
    <row r="94" spans="2:8" x14ac:dyDescent="0.3">
      <c r="B94" s="8">
        <v>45702</v>
      </c>
      <c r="C94" s="12">
        <v>1459.4</v>
      </c>
      <c r="D94" s="13">
        <f t="shared" si="2"/>
        <v>-3.7715943557958487E-2</v>
      </c>
      <c r="G94" s="12">
        <v>23031.400389999999</v>
      </c>
      <c r="H94" s="13">
        <f t="shared" si="3"/>
        <v>-2.4231697172238831E-2</v>
      </c>
    </row>
    <row r="95" spans="2:8" x14ac:dyDescent="0.3">
      <c r="B95" s="8">
        <v>45709</v>
      </c>
      <c r="C95" s="12">
        <v>1526.6</v>
      </c>
      <c r="D95" s="13">
        <f t="shared" si="2"/>
        <v>4.6046320405646046E-2</v>
      </c>
      <c r="G95" s="12">
        <v>22913.150389999999</v>
      </c>
      <c r="H95" s="13">
        <f t="shared" si="3"/>
        <v>-5.1342948321693171E-3</v>
      </c>
    </row>
    <row r="96" spans="2:8" x14ac:dyDescent="0.3">
      <c r="B96" s="8">
        <v>45716</v>
      </c>
      <c r="C96" s="12">
        <v>1552.8</v>
      </c>
      <c r="D96" s="13">
        <f t="shared" si="2"/>
        <v>1.7162321498755517E-2</v>
      </c>
      <c r="G96" s="12">
        <v>22545.050780000001</v>
      </c>
      <c r="H96" s="13">
        <f t="shared" si="3"/>
        <v>-1.6064993409227846E-2</v>
      </c>
    </row>
    <row r="97" spans="2:8" x14ac:dyDescent="0.3">
      <c r="B97" s="8">
        <v>45723</v>
      </c>
      <c r="C97" s="12">
        <v>1641.55</v>
      </c>
      <c r="D97" s="13">
        <f t="shared" si="2"/>
        <v>5.7154817104585254E-2</v>
      </c>
      <c r="G97" s="12">
        <v>22544.699219999999</v>
      </c>
      <c r="H97" s="13">
        <f t="shared" si="3"/>
        <v>-1.559366636316728E-5</v>
      </c>
    </row>
    <row r="98" spans="2:8" x14ac:dyDescent="0.3">
      <c r="B98" s="8">
        <v>45729</v>
      </c>
      <c r="C98" s="12">
        <v>1554.85</v>
      </c>
      <c r="D98" s="13">
        <f t="shared" si="2"/>
        <v>-5.281593615789959E-2</v>
      </c>
      <c r="G98" s="12">
        <v>22470.5</v>
      </c>
      <c r="H98" s="13">
        <f t="shared" si="3"/>
        <v>-3.2912046985383858E-3</v>
      </c>
    </row>
    <row r="99" spans="2:8" x14ac:dyDescent="0.3">
      <c r="B99" s="8">
        <v>45737</v>
      </c>
      <c r="C99" s="12">
        <v>1585.4</v>
      </c>
      <c r="D99" s="13">
        <f t="shared" si="2"/>
        <v>1.9648197575328874E-2</v>
      </c>
      <c r="G99" s="12">
        <v>23190.650389999999</v>
      </c>
      <c r="H99" s="13">
        <f t="shared" si="3"/>
        <v>3.2048703411138968E-2</v>
      </c>
    </row>
    <row r="100" spans="2:8" x14ac:dyDescent="0.3">
      <c r="B100" s="8">
        <v>45744</v>
      </c>
      <c r="C100" s="12">
        <v>1592.4</v>
      </c>
      <c r="D100" s="13">
        <f t="shared" si="2"/>
        <v>4.4152895168412254E-3</v>
      </c>
      <c r="G100" s="12">
        <v>23591.949219999999</v>
      </c>
      <c r="H100" s="13">
        <f t="shared" si="3"/>
        <v>1.7304337017345794E-2</v>
      </c>
    </row>
    <row r="101" spans="2:8" x14ac:dyDescent="0.3">
      <c r="B101" s="8">
        <v>45751</v>
      </c>
      <c r="C101" s="12">
        <v>1474.85</v>
      </c>
      <c r="D101" s="13">
        <f t="shared" si="2"/>
        <v>-7.3819392112534632E-2</v>
      </c>
      <c r="G101" s="12">
        <v>23250.099610000001</v>
      </c>
      <c r="H101" s="13">
        <f t="shared" si="3"/>
        <v>-1.449009604133078E-2</v>
      </c>
    </row>
    <row r="102" spans="2:8" x14ac:dyDescent="0.3">
      <c r="B102" s="8">
        <v>45758</v>
      </c>
      <c r="C102" s="12">
        <v>1393.75</v>
      </c>
      <c r="D102" s="13">
        <f t="shared" si="2"/>
        <v>-5.4988642912838559E-2</v>
      </c>
      <c r="G102" s="12">
        <v>22535.849610000001</v>
      </c>
      <c r="H102" s="13">
        <f t="shared" si="3"/>
        <v>-3.0720298492519005E-2</v>
      </c>
    </row>
    <row r="103" spans="2:8" x14ac:dyDescent="0.3">
      <c r="B103" s="8">
        <v>45764</v>
      </c>
      <c r="C103" s="12">
        <v>1449.4</v>
      </c>
      <c r="D103" s="13">
        <f t="shared" si="2"/>
        <v>3.9928251121076341E-2</v>
      </c>
      <c r="G103" s="12">
        <v>23437.199219999999</v>
      </c>
      <c r="H103" s="13">
        <f t="shared" si="3"/>
        <v>3.9996255992054364E-2</v>
      </c>
    </row>
    <row r="104" spans="2:8" x14ac:dyDescent="0.3">
      <c r="B104" s="8">
        <v>45772</v>
      </c>
      <c r="C104" s="12">
        <v>1447.9</v>
      </c>
      <c r="D104" s="13">
        <f t="shared" si="2"/>
        <v>-1.0349109976541815E-3</v>
      </c>
      <c r="G104" s="12">
        <v>24246.699219999999</v>
      </c>
      <c r="H104" s="13">
        <f t="shared" si="3"/>
        <v>3.4539109916735145E-2</v>
      </c>
    </row>
    <row r="105" spans="2:8" x14ac:dyDescent="0.3">
      <c r="B105" s="8">
        <v>45779</v>
      </c>
      <c r="C105" s="12">
        <v>1403.5</v>
      </c>
      <c r="D105" s="13">
        <f t="shared" si="2"/>
        <v>-3.0665101181020837E-2</v>
      </c>
      <c r="G105" s="12">
        <v>24335.949219999999</v>
      </c>
      <c r="H105" s="13">
        <f t="shared" si="3"/>
        <v>3.6809133973330077E-3</v>
      </c>
    </row>
    <row r="106" spans="2:8" x14ac:dyDescent="0.3">
      <c r="B106" s="8">
        <v>45786</v>
      </c>
      <c r="C106" s="12">
        <v>1426</v>
      </c>
      <c r="D106" s="13">
        <f t="shared" si="2"/>
        <v>1.603135019593882E-2</v>
      </c>
      <c r="G106" s="12">
        <v>24273.800780000001</v>
      </c>
      <c r="H106" s="13">
        <f t="shared" si="3"/>
        <v>-2.5537709434781952E-3</v>
      </c>
    </row>
    <row r="107" spans="2:8" x14ac:dyDescent="0.3">
      <c r="B107" s="8">
        <v>45793</v>
      </c>
      <c r="C107" s="12">
        <v>1469.4</v>
      </c>
      <c r="D107" s="13">
        <f t="shared" si="2"/>
        <v>3.0434782608695699E-2</v>
      </c>
      <c r="G107" s="12">
        <v>25062.099610000001</v>
      </c>
      <c r="H107" s="13">
        <f t="shared" si="3"/>
        <v>3.2475294542645639E-2</v>
      </c>
    </row>
    <row r="108" spans="2:8" x14ac:dyDescent="0.3">
      <c r="B108" s="8">
        <v>45800</v>
      </c>
      <c r="C108" s="12">
        <v>1528.7</v>
      </c>
      <c r="D108" s="13">
        <f t="shared" si="2"/>
        <v>4.0356608139376693E-2</v>
      </c>
      <c r="G108" s="12">
        <v>24609.699219999999</v>
      </c>
      <c r="H108" s="13">
        <f t="shared" si="3"/>
        <v>-1.8051176758530296E-2</v>
      </c>
    </row>
    <row r="109" spans="2:8" x14ac:dyDescent="0.3">
      <c r="B109" s="8">
        <v>45807</v>
      </c>
      <c r="C109" s="12">
        <v>1588.6</v>
      </c>
      <c r="D109" s="13">
        <f t="shared" si="2"/>
        <v>3.9183620069339842E-2</v>
      </c>
      <c r="G109" s="12">
        <v>24833.599610000001</v>
      </c>
      <c r="H109" s="13">
        <f t="shared" si="3"/>
        <v>9.0980547140553369E-3</v>
      </c>
    </row>
    <row r="110" spans="2:8" x14ac:dyDescent="0.3">
      <c r="B110" s="8"/>
    </row>
    <row r="111" spans="2:8" x14ac:dyDescent="0.3">
      <c r="B111" s="8"/>
    </row>
    <row r="112" spans="2:8" x14ac:dyDescent="0.3">
      <c r="B112" s="8"/>
    </row>
  </sheetData>
  <mergeCells count="4">
    <mergeCell ref="B3:H3"/>
    <mergeCell ref="B5:D5"/>
    <mergeCell ref="G5:H5"/>
    <mergeCell ref="J5:K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5000-86FC-43BE-B414-FEDEFDE139B2}">
  <dimension ref="B3:U112"/>
  <sheetViews>
    <sheetView showGridLines="0" topLeftCell="A3" workbookViewId="0">
      <selection activeCell="K11" sqref="J11:K11"/>
    </sheetView>
  </sheetViews>
  <sheetFormatPr defaultRowHeight="14.4" x14ac:dyDescent="0.3"/>
  <cols>
    <col min="1" max="1" width="1.88671875" customWidth="1"/>
    <col min="2" max="2" width="10.33203125" bestFit="1" customWidth="1"/>
    <col min="3" max="3" width="14.5546875" customWidth="1"/>
    <col min="7" max="7" width="13.44140625" customWidth="1"/>
    <col min="10" max="10" width="17.5546875" bestFit="1" customWidth="1"/>
    <col min="13" max="13" width="16.6640625" bestFit="1" customWidth="1"/>
    <col min="14" max="14" width="20.21875" bestFit="1" customWidth="1"/>
  </cols>
  <sheetData>
    <row r="3" spans="2:14" x14ac:dyDescent="0.3">
      <c r="B3" s="18" t="s">
        <v>50</v>
      </c>
      <c r="C3" s="18"/>
      <c r="D3" s="18"/>
      <c r="E3" s="18"/>
      <c r="F3" s="18"/>
      <c r="G3" s="18"/>
      <c r="H3" s="18"/>
    </row>
    <row r="5" spans="2:14" x14ac:dyDescent="0.3">
      <c r="B5" s="17" t="s">
        <v>59</v>
      </c>
      <c r="C5" s="17"/>
      <c r="D5" s="17"/>
      <c r="G5" s="17" t="s">
        <v>55</v>
      </c>
      <c r="H5" s="17"/>
      <c r="J5" s="17" t="s">
        <v>63</v>
      </c>
      <c r="K5" s="17"/>
      <c r="M5" t="s">
        <v>69</v>
      </c>
      <c r="N5" s="19">
        <f>SLOPE(D9:D109,H9:H109)</f>
        <v>0.67898558924652685</v>
      </c>
    </row>
    <row r="6" spans="2:14" x14ac:dyDescent="0.3">
      <c r="J6" t="s">
        <v>64</v>
      </c>
      <c r="K6" s="19">
        <f>N8</f>
        <v>0.67898558924652652</v>
      </c>
      <c r="M6" t="s">
        <v>70</v>
      </c>
      <c r="N6" s="19">
        <f>_xlfn.COVARIANCE.S(D9:D109,H9:H109)/_xlfn.VAR.S(H9:H109)</f>
        <v>0.67898558924652674</v>
      </c>
    </row>
    <row r="7" spans="2:14" x14ac:dyDescent="0.3">
      <c r="B7" s="10" t="s">
        <v>51</v>
      </c>
      <c r="C7" s="11" t="s">
        <v>52</v>
      </c>
      <c r="D7" s="11" t="s">
        <v>53</v>
      </c>
      <c r="G7" s="11" t="s">
        <v>56</v>
      </c>
      <c r="H7" s="11" t="s">
        <v>53</v>
      </c>
      <c r="J7" t="s">
        <v>67</v>
      </c>
      <c r="K7" s="13">
        <v>0.75</v>
      </c>
    </row>
    <row r="8" spans="2:14" x14ac:dyDescent="0.3">
      <c r="B8" s="8">
        <v>45100</v>
      </c>
      <c r="C8" s="12">
        <v>973.38427340113003</v>
      </c>
      <c r="G8" s="12">
        <v>18665.5</v>
      </c>
      <c r="J8" t="s">
        <v>65</v>
      </c>
      <c r="K8" s="13">
        <v>0.25</v>
      </c>
      <c r="M8" t="s">
        <v>71</v>
      </c>
      <c r="N8" s="19">
        <f>N31</f>
        <v>0.67898558924652652</v>
      </c>
    </row>
    <row r="9" spans="2:14" x14ac:dyDescent="0.3">
      <c r="B9" s="8">
        <v>45107</v>
      </c>
      <c r="C9" s="12">
        <v>1032.43824893703</v>
      </c>
      <c r="D9" s="13">
        <f>C9/C8-1</f>
        <v>6.066871753491343E-2</v>
      </c>
      <c r="G9" s="12">
        <v>19189.05</v>
      </c>
      <c r="H9" s="13">
        <f>G9/G8-1</f>
        <v>2.8049074495727355E-2</v>
      </c>
      <c r="J9" t="s">
        <v>66</v>
      </c>
      <c r="K9">
        <v>1</v>
      </c>
    </row>
    <row r="10" spans="2:14" x14ac:dyDescent="0.3">
      <c r="B10" s="8">
        <v>45114</v>
      </c>
      <c r="C10" s="12">
        <v>1016.82797111458</v>
      </c>
      <c r="D10" s="13">
        <f t="shared" ref="D10:D73" si="0">C10/C9-1</f>
        <v>-1.5119817421063164E-2</v>
      </c>
      <c r="G10" s="12">
        <v>19331.8</v>
      </c>
      <c r="H10" s="13">
        <f t="shared" ref="H10:H73" si="1">G10/G9-1</f>
        <v>7.4391384669902916E-3</v>
      </c>
    </row>
    <row r="11" spans="2:14" x14ac:dyDescent="0.3">
      <c r="B11" s="8">
        <v>45121</v>
      </c>
      <c r="C11" s="12">
        <v>1053.39921947223</v>
      </c>
      <c r="D11" s="13">
        <f t="shared" si="0"/>
        <v>3.5966013324321811E-2</v>
      </c>
      <c r="G11" s="12">
        <v>19564.5</v>
      </c>
      <c r="H11" s="13">
        <f t="shared" si="1"/>
        <v>1.2037161567986399E-2</v>
      </c>
      <c r="J11" s="24" t="s">
        <v>68</v>
      </c>
      <c r="K11" s="25">
        <f>(K6*K7)+(K8*K9)</f>
        <v>0.75923919193489486</v>
      </c>
    </row>
    <row r="12" spans="2:14" x14ac:dyDescent="0.3">
      <c r="B12" s="8">
        <v>45128</v>
      </c>
      <c r="C12" s="12">
        <v>1077.15825867371</v>
      </c>
      <c r="D12" s="13">
        <f t="shared" si="0"/>
        <v>2.255463907917421E-2</v>
      </c>
      <c r="G12" s="12">
        <v>19745</v>
      </c>
      <c r="H12" s="13">
        <f t="shared" si="1"/>
        <v>9.225893838329613E-3</v>
      </c>
    </row>
    <row r="13" spans="2:14" x14ac:dyDescent="0.3">
      <c r="B13" s="8">
        <v>45135</v>
      </c>
      <c r="C13" s="12">
        <v>1121.75739192881</v>
      </c>
      <c r="D13" s="13">
        <f t="shared" si="0"/>
        <v>4.1404438851923464E-2</v>
      </c>
      <c r="G13" s="12">
        <v>19646.05</v>
      </c>
      <c r="H13" s="13">
        <f t="shared" si="1"/>
        <v>-5.0113952899468739E-3</v>
      </c>
    </row>
    <row r="14" spans="2:14" x14ac:dyDescent="0.3">
      <c r="B14" s="8">
        <v>45142</v>
      </c>
      <c r="C14" s="12">
        <v>1122.15149228169</v>
      </c>
      <c r="D14" s="13">
        <f t="shared" si="0"/>
        <v>3.5132405252302767E-4</v>
      </c>
      <c r="G14" s="12">
        <v>19517</v>
      </c>
      <c r="H14" s="13">
        <f t="shared" si="1"/>
        <v>-6.568750461288575E-3</v>
      </c>
      <c r="M14" t="s">
        <v>72</v>
      </c>
    </row>
    <row r="15" spans="2:14" ht="15" thickBot="1" x14ac:dyDescent="0.35">
      <c r="B15" s="8">
        <v>45149</v>
      </c>
      <c r="C15" s="12">
        <v>1115.6488364591601</v>
      </c>
      <c r="D15" s="13">
        <f t="shared" si="0"/>
        <v>-5.7948110101497807E-3</v>
      </c>
      <c r="G15" s="12">
        <v>19428.3</v>
      </c>
      <c r="H15" s="13">
        <f t="shared" si="1"/>
        <v>-4.5447558538710409E-3</v>
      </c>
    </row>
    <row r="16" spans="2:14" x14ac:dyDescent="0.3">
      <c r="B16" s="8">
        <v>45156</v>
      </c>
      <c r="C16" s="12">
        <v>1118.1612262087799</v>
      </c>
      <c r="D16" s="13">
        <f t="shared" si="0"/>
        <v>2.2519539011878198E-3</v>
      </c>
      <c r="G16" s="12">
        <v>19310.150000000001</v>
      </c>
      <c r="H16" s="13">
        <f t="shared" si="1"/>
        <v>-6.0813349598265454E-3</v>
      </c>
      <c r="M16" s="23" t="s">
        <v>73</v>
      </c>
      <c r="N16" s="23"/>
    </row>
    <row r="17" spans="2:21" x14ac:dyDescent="0.3">
      <c r="B17" s="8">
        <v>45163</v>
      </c>
      <c r="C17" s="12">
        <v>1089.9830509778601</v>
      </c>
      <c r="D17" s="13">
        <f t="shared" si="0"/>
        <v>-2.5200458190148711E-2</v>
      </c>
      <c r="G17" s="12">
        <v>19265.8</v>
      </c>
      <c r="H17" s="13">
        <f t="shared" si="1"/>
        <v>-2.2967196008317758E-3</v>
      </c>
      <c r="M17" s="20" t="s">
        <v>74</v>
      </c>
      <c r="N17" s="20">
        <v>0.42767051439851456</v>
      </c>
    </row>
    <row r="18" spans="2:21" x14ac:dyDescent="0.3">
      <c r="B18" s="8">
        <v>45170</v>
      </c>
      <c r="C18" s="12">
        <v>1092.6432283598001</v>
      </c>
      <c r="D18" s="13">
        <f t="shared" si="0"/>
        <v>2.4405676579588587E-3</v>
      </c>
      <c r="G18" s="12">
        <v>19435.3</v>
      </c>
      <c r="H18" s="13">
        <f t="shared" si="1"/>
        <v>8.7979736112697715E-3</v>
      </c>
      <c r="M18" s="20" t="s">
        <v>75</v>
      </c>
      <c r="N18" s="20">
        <v>0.18290206888589006</v>
      </c>
    </row>
    <row r="19" spans="2:21" x14ac:dyDescent="0.3">
      <c r="B19" s="8">
        <v>45177</v>
      </c>
      <c r="C19" s="12">
        <v>1113.77685978299</v>
      </c>
      <c r="D19" s="13">
        <f t="shared" si="0"/>
        <v>1.9341749323714907E-2</v>
      </c>
      <c r="G19" s="12">
        <v>19819.95</v>
      </c>
      <c r="H19" s="13">
        <f t="shared" si="1"/>
        <v>1.9791307569216876E-2</v>
      </c>
      <c r="M19" s="20" t="s">
        <v>76</v>
      </c>
      <c r="N19" s="20">
        <v>0.17464855443019198</v>
      </c>
    </row>
    <row r="20" spans="2:21" x14ac:dyDescent="0.3">
      <c r="B20" s="8">
        <v>45184</v>
      </c>
      <c r="C20" s="12">
        <v>1132.84146435356</v>
      </c>
      <c r="D20" s="13">
        <f t="shared" si="0"/>
        <v>1.711707727011369E-2</v>
      </c>
      <c r="G20" s="12">
        <v>20192.349999999999</v>
      </c>
      <c r="H20" s="13">
        <f t="shared" si="1"/>
        <v>1.8789149316723597E-2</v>
      </c>
      <c r="M20" s="20" t="s">
        <v>77</v>
      </c>
      <c r="N20" s="20">
        <v>2.4251149697033944E-2</v>
      </c>
    </row>
    <row r="21" spans="2:21" ht="15" thickBot="1" x14ac:dyDescent="0.35">
      <c r="B21" s="8">
        <v>45191</v>
      </c>
      <c r="C21" s="12">
        <v>1115.6488364591601</v>
      </c>
      <c r="D21" s="13">
        <f t="shared" si="0"/>
        <v>-1.5176552443912028E-2</v>
      </c>
      <c r="G21" s="12">
        <v>19674.25</v>
      </c>
      <c r="H21" s="13">
        <f t="shared" si="1"/>
        <v>-2.5658231954180599E-2</v>
      </c>
      <c r="M21" s="21" t="s">
        <v>78</v>
      </c>
      <c r="N21" s="21">
        <v>101</v>
      </c>
    </row>
    <row r="22" spans="2:21" x14ac:dyDescent="0.3">
      <c r="B22" s="8">
        <v>45198</v>
      </c>
      <c r="C22" s="12">
        <v>1141.5609346610299</v>
      </c>
      <c r="D22" s="13">
        <f t="shared" si="0"/>
        <v>2.3226034353345026E-2</v>
      </c>
      <c r="G22" s="12">
        <v>19638.3</v>
      </c>
      <c r="H22" s="13">
        <f t="shared" si="1"/>
        <v>-1.8272615220402688E-3</v>
      </c>
    </row>
    <row r="23" spans="2:21" ht="15" thickBot="1" x14ac:dyDescent="0.35">
      <c r="B23" s="8">
        <v>45205</v>
      </c>
      <c r="C23" s="12">
        <v>1110.6733195040599</v>
      </c>
      <c r="D23" s="13">
        <f t="shared" si="0"/>
        <v>-2.7057351227721904E-2</v>
      </c>
      <c r="G23" s="12">
        <v>19653.5</v>
      </c>
      <c r="H23" s="13">
        <f t="shared" si="1"/>
        <v>7.7399774929598486E-4</v>
      </c>
      <c r="M23" t="s">
        <v>79</v>
      </c>
    </row>
    <row r="24" spans="2:21" x14ac:dyDescent="0.3">
      <c r="B24" s="8">
        <v>45212</v>
      </c>
      <c r="C24" s="12">
        <v>1128.4078353836601</v>
      </c>
      <c r="D24" s="13">
        <f t="shared" si="0"/>
        <v>1.5967355628492941E-2</v>
      </c>
      <c r="G24" s="12">
        <v>19751.05</v>
      </c>
      <c r="H24" s="13">
        <f t="shared" si="1"/>
        <v>4.9634925076957881E-3</v>
      </c>
      <c r="M24" s="22"/>
      <c r="N24" s="22" t="s">
        <v>84</v>
      </c>
      <c r="O24" s="22" t="s">
        <v>85</v>
      </c>
      <c r="P24" s="22" t="s">
        <v>86</v>
      </c>
      <c r="Q24" s="22" t="s">
        <v>87</v>
      </c>
      <c r="R24" s="22" t="s">
        <v>88</v>
      </c>
    </row>
    <row r="25" spans="2:21" x14ac:dyDescent="0.3">
      <c r="B25" s="8">
        <v>45219</v>
      </c>
      <c r="C25" s="12">
        <v>1125.35355764884</v>
      </c>
      <c r="D25" s="13">
        <f t="shared" si="0"/>
        <v>-2.7067143979744301E-3</v>
      </c>
      <c r="G25" s="12">
        <v>19542.650000000001</v>
      </c>
      <c r="H25" s="13">
        <f t="shared" si="1"/>
        <v>-1.0551337776978809E-2</v>
      </c>
      <c r="M25" s="20" t="s">
        <v>80</v>
      </c>
      <c r="N25" s="20">
        <v>1</v>
      </c>
      <c r="O25" s="20">
        <v>1.3032999139786089E-2</v>
      </c>
      <c r="P25" s="20">
        <v>1.3032999139786089E-2</v>
      </c>
      <c r="Q25" s="20">
        <v>22.160507486555343</v>
      </c>
      <c r="R25" s="20">
        <v>8.1660378756763513E-6</v>
      </c>
    </row>
    <row r="26" spans="2:21" x14ac:dyDescent="0.3">
      <c r="B26" s="8">
        <v>45226</v>
      </c>
      <c r="C26" s="12">
        <v>1094.90930538886</v>
      </c>
      <c r="D26" s="13">
        <f t="shared" si="0"/>
        <v>-2.7053055506916501E-2</v>
      </c>
      <c r="G26" s="12">
        <v>19047.25</v>
      </c>
      <c r="H26" s="13">
        <f t="shared" si="1"/>
        <v>-2.5349683896503383E-2</v>
      </c>
      <c r="M26" s="20" t="s">
        <v>81</v>
      </c>
      <c r="N26" s="20">
        <v>99</v>
      </c>
      <c r="O26" s="20">
        <v>5.8223707901167002E-2</v>
      </c>
      <c r="P26" s="20">
        <v>5.8811826162794955E-4</v>
      </c>
      <c r="Q26" s="20"/>
      <c r="R26" s="20"/>
    </row>
    <row r="27" spans="2:21" ht="15" thickBot="1" x14ac:dyDescent="0.35">
      <c r="B27" s="8">
        <v>45233</v>
      </c>
      <c r="C27" s="12">
        <v>1124.26978167842</v>
      </c>
      <c r="D27" s="13">
        <f t="shared" si="0"/>
        <v>2.6815441374966165E-2</v>
      </c>
      <c r="G27" s="12">
        <v>19230.599999999999</v>
      </c>
      <c r="H27" s="13">
        <f t="shared" si="1"/>
        <v>9.6260615049414966E-3</v>
      </c>
      <c r="M27" s="21" t="s">
        <v>82</v>
      </c>
      <c r="N27" s="21">
        <v>100</v>
      </c>
      <c r="O27" s="21">
        <v>7.1256707040953091E-2</v>
      </c>
      <c r="P27" s="21"/>
      <c r="Q27" s="21"/>
      <c r="R27" s="21"/>
    </row>
    <row r="28" spans="2:21" ht="15" thickBot="1" x14ac:dyDescent="0.35">
      <c r="B28" s="8">
        <v>45240</v>
      </c>
      <c r="C28" s="12">
        <v>1161.9556279225701</v>
      </c>
      <c r="D28" s="13">
        <f t="shared" si="0"/>
        <v>3.352028744194202E-2</v>
      </c>
      <c r="G28" s="12">
        <v>19425.349999999999</v>
      </c>
      <c r="H28" s="13">
        <f t="shared" si="1"/>
        <v>1.0127089118384225E-2</v>
      </c>
    </row>
    <row r="29" spans="2:21" x14ac:dyDescent="0.3">
      <c r="B29" s="8">
        <v>45247</v>
      </c>
      <c r="C29" s="12">
        <v>1176.9807038761101</v>
      </c>
      <c r="D29" s="13">
        <f t="shared" si="0"/>
        <v>1.2930851740356797E-2</v>
      </c>
      <c r="G29" s="12">
        <v>19731.8</v>
      </c>
      <c r="H29" s="13">
        <f t="shared" si="1"/>
        <v>1.5775777527818002E-2</v>
      </c>
      <c r="M29" s="22"/>
      <c r="N29" s="22" t="s">
        <v>89</v>
      </c>
      <c r="O29" s="22" t="s">
        <v>77</v>
      </c>
      <c r="P29" s="22" t="s">
        <v>90</v>
      </c>
      <c r="Q29" s="22" t="s">
        <v>91</v>
      </c>
      <c r="R29" s="22" t="s">
        <v>92</v>
      </c>
      <c r="S29" s="22" t="s">
        <v>93</v>
      </c>
      <c r="T29" s="22" t="s">
        <v>94</v>
      </c>
      <c r="U29" s="22" t="s">
        <v>95</v>
      </c>
    </row>
    <row r="30" spans="2:21" x14ac:dyDescent="0.3">
      <c r="B30" s="8">
        <v>45254</v>
      </c>
      <c r="C30" s="12">
        <v>1177.8181671259899</v>
      </c>
      <c r="D30" s="13">
        <f t="shared" si="0"/>
        <v>7.1153524193046103E-4</v>
      </c>
      <c r="G30" s="12">
        <v>19794.7</v>
      </c>
      <c r="H30" s="13">
        <f t="shared" si="1"/>
        <v>3.1877476966115648E-3</v>
      </c>
      <c r="M30" s="20" t="s">
        <v>83</v>
      </c>
      <c r="N30" s="20">
        <v>3.7348659857556706E-3</v>
      </c>
      <c r="O30" s="20">
        <v>2.4508272329977253E-3</v>
      </c>
      <c r="P30" s="20">
        <v>1.5239205503634687</v>
      </c>
      <c r="Q30" s="20">
        <v>0.13071670747024922</v>
      </c>
      <c r="R30" s="20">
        <v>-1.1281069553680484E-3</v>
      </c>
      <c r="S30" s="20">
        <v>8.5978389268793892E-3</v>
      </c>
      <c r="T30" s="20">
        <v>-1.1281069553680484E-3</v>
      </c>
      <c r="U30" s="20">
        <v>8.5978389268793892E-3</v>
      </c>
    </row>
    <row r="31" spans="2:21" ht="15" thickBot="1" x14ac:dyDescent="0.35">
      <c r="B31" s="8">
        <v>45261</v>
      </c>
      <c r="C31" s="12">
        <v>1213.0901487087499</v>
      </c>
      <c r="D31" s="13">
        <f t="shared" si="0"/>
        <v>2.9946881927307656E-2</v>
      </c>
      <c r="G31" s="12">
        <v>20267.900000000001</v>
      </c>
      <c r="H31" s="13">
        <f t="shared" si="1"/>
        <v>2.3905388816198414E-2</v>
      </c>
      <c r="M31" s="21" t="s">
        <v>96</v>
      </c>
      <c r="N31" s="21">
        <v>0.67898558924652652</v>
      </c>
      <c r="O31" s="21">
        <v>0.14423501567466593</v>
      </c>
      <c r="P31" s="21">
        <v>4.7074948206615446</v>
      </c>
      <c r="Q31" s="21">
        <v>8.1660378756765952E-6</v>
      </c>
      <c r="R31" s="21">
        <v>0.3927920261325219</v>
      </c>
      <c r="S31" s="21">
        <v>0.96517915236053109</v>
      </c>
      <c r="T31" s="21">
        <v>0.3927920261325219</v>
      </c>
      <c r="U31" s="21">
        <v>0.96517915236053109</v>
      </c>
    </row>
    <row r="32" spans="2:21" x14ac:dyDescent="0.3">
      <c r="B32" s="8">
        <v>45268</v>
      </c>
      <c r="C32" s="12">
        <v>1217.57304022276</v>
      </c>
      <c r="D32" s="13">
        <f t="shared" si="0"/>
        <v>3.6954314720814008E-3</v>
      </c>
      <c r="G32" s="12">
        <v>20969.400000000001</v>
      </c>
      <c r="H32" s="13">
        <f t="shared" si="1"/>
        <v>3.4611380557433069E-2</v>
      </c>
    </row>
    <row r="33" spans="2:8" x14ac:dyDescent="0.3">
      <c r="B33" s="8">
        <v>45275</v>
      </c>
      <c r="C33" s="12">
        <v>1217.52377767865</v>
      </c>
      <c r="D33" s="13">
        <f t="shared" si="0"/>
        <v>-4.0459621297950221E-5</v>
      </c>
      <c r="G33" s="12">
        <v>21456.65</v>
      </c>
      <c r="H33" s="13">
        <f t="shared" si="1"/>
        <v>2.3236239472755438E-2</v>
      </c>
    </row>
    <row r="34" spans="2:8" x14ac:dyDescent="0.3">
      <c r="B34" s="8">
        <v>45282</v>
      </c>
      <c r="C34" s="12">
        <v>1225.3072596480299</v>
      </c>
      <c r="D34" s="13">
        <f t="shared" si="0"/>
        <v>6.3928788185312335E-3</v>
      </c>
      <c r="G34" s="12">
        <v>21349.4</v>
      </c>
      <c r="H34" s="13">
        <f t="shared" si="1"/>
        <v>-4.9984503638732525E-3</v>
      </c>
    </row>
    <row r="35" spans="2:8" x14ac:dyDescent="0.3">
      <c r="B35" s="8">
        <v>45289</v>
      </c>
      <c r="C35" s="12">
        <v>1240.8742235867901</v>
      </c>
      <c r="D35" s="13">
        <f t="shared" si="0"/>
        <v>1.2704539058416842E-2</v>
      </c>
      <c r="G35" s="12">
        <v>21731.4</v>
      </c>
      <c r="H35" s="13">
        <f t="shared" si="1"/>
        <v>1.7892774504201459E-2</v>
      </c>
    </row>
    <row r="36" spans="2:8" x14ac:dyDescent="0.3">
      <c r="B36" s="8">
        <v>45296</v>
      </c>
      <c r="C36" s="12">
        <v>1281.02319703644</v>
      </c>
      <c r="D36" s="13">
        <f t="shared" si="0"/>
        <v>3.2355393227202267E-2</v>
      </c>
      <c r="G36" s="12">
        <v>21710.799999999999</v>
      </c>
      <c r="H36" s="13">
        <f t="shared" si="1"/>
        <v>-9.479370864280412E-4</v>
      </c>
    </row>
    <row r="37" spans="2:8" x14ac:dyDescent="0.3">
      <c r="B37" s="8">
        <v>45303</v>
      </c>
      <c r="C37" s="12">
        <v>1306.3934072530899</v>
      </c>
      <c r="D37" s="13">
        <f t="shared" si="0"/>
        <v>1.980464543916316E-2</v>
      </c>
      <c r="G37" s="12">
        <v>21894.55</v>
      </c>
      <c r="H37" s="13">
        <f t="shared" si="1"/>
        <v>8.4635296718684749E-3</v>
      </c>
    </row>
    <row r="38" spans="2:8" x14ac:dyDescent="0.3">
      <c r="B38" s="8">
        <v>45311</v>
      </c>
      <c r="C38" s="12">
        <v>1306.59045742953</v>
      </c>
      <c r="D38" s="13">
        <f t="shared" si="0"/>
        <v>1.5083525019798927E-4</v>
      </c>
      <c r="G38" s="12">
        <v>21622.400000000001</v>
      </c>
      <c r="H38" s="13">
        <f t="shared" si="1"/>
        <v>-1.2430033958222397E-2</v>
      </c>
    </row>
    <row r="39" spans="2:8" x14ac:dyDescent="0.3">
      <c r="B39" s="8">
        <v>45316</v>
      </c>
      <c r="C39" s="12">
        <v>1348.1187821142601</v>
      </c>
      <c r="D39" s="13">
        <f t="shared" si="0"/>
        <v>3.1783734871620783E-2</v>
      </c>
      <c r="G39" s="12">
        <v>21352.6</v>
      </c>
      <c r="H39" s="13">
        <f t="shared" si="1"/>
        <v>-1.2477800799171379E-2</v>
      </c>
    </row>
    <row r="40" spans="2:8" x14ac:dyDescent="0.3">
      <c r="B40" s="8">
        <v>45324</v>
      </c>
      <c r="C40" s="12">
        <v>1395.75566226863</v>
      </c>
      <c r="D40" s="13">
        <f t="shared" si="0"/>
        <v>3.5335818168530153E-2</v>
      </c>
      <c r="G40" s="12">
        <v>21853.8</v>
      </c>
      <c r="H40" s="13">
        <f t="shared" si="1"/>
        <v>2.3472551352060167E-2</v>
      </c>
    </row>
    <row r="41" spans="2:8" x14ac:dyDescent="0.3">
      <c r="B41" s="8">
        <v>45331</v>
      </c>
      <c r="C41" s="12">
        <v>1520.78312375208</v>
      </c>
      <c r="D41" s="13">
        <f t="shared" si="0"/>
        <v>8.9576897205799755E-2</v>
      </c>
      <c r="G41" s="12">
        <v>21782.5</v>
      </c>
      <c r="H41" s="13">
        <f t="shared" si="1"/>
        <v>-3.2625904876955047E-3</v>
      </c>
    </row>
    <row r="42" spans="2:8" x14ac:dyDescent="0.3">
      <c r="B42" s="8">
        <v>45338</v>
      </c>
      <c r="C42" s="12">
        <v>1496.1600714812701</v>
      </c>
      <c r="D42" s="13">
        <f t="shared" si="0"/>
        <v>-1.6191034662496717E-2</v>
      </c>
      <c r="G42" s="12">
        <v>22040.7</v>
      </c>
      <c r="H42" s="13">
        <f t="shared" si="1"/>
        <v>1.1853552163433978E-2</v>
      </c>
    </row>
    <row r="43" spans="2:8" x14ac:dyDescent="0.3">
      <c r="B43" s="8">
        <v>45345</v>
      </c>
      <c r="C43" s="12">
        <v>1546.9915636942501</v>
      </c>
      <c r="D43" s="13">
        <f t="shared" si="0"/>
        <v>3.3974634921686064E-2</v>
      </c>
      <c r="G43" s="12">
        <v>22212.7</v>
      </c>
      <c r="H43" s="13">
        <f t="shared" si="1"/>
        <v>7.8037448901351336E-3</v>
      </c>
    </row>
    <row r="44" spans="2:8" x14ac:dyDescent="0.3">
      <c r="B44" s="8">
        <v>45353</v>
      </c>
      <c r="C44" s="12">
        <v>1536.38928364203</v>
      </c>
      <c r="D44" s="13">
        <f t="shared" si="0"/>
        <v>-6.8534827862289927E-3</v>
      </c>
      <c r="G44" s="12">
        <v>22338.75</v>
      </c>
      <c r="H44" s="13">
        <f t="shared" si="1"/>
        <v>5.6746816010659895E-3</v>
      </c>
    </row>
    <row r="45" spans="2:8" x14ac:dyDescent="0.3">
      <c r="B45" s="8">
        <v>45358</v>
      </c>
      <c r="C45" s="12">
        <v>1591.0356149392201</v>
      </c>
      <c r="D45" s="13">
        <f t="shared" si="0"/>
        <v>3.5568024249459818E-2</v>
      </c>
      <c r="G45" s="12">
        <v>22493.55</v>
      </c>
      <c r="H45" s="13">
        <f t="shared" si="1"/>
        <v>6.929662581836471E-3</v>
      </c>
    </row>
    <row r="46" spans="2:8" x14ac:dyDescent="0.3">
      <c r="B46" s="8">
        <v>45366</v>
      </c>
      <c r="C46" s="12">
        <v>1534.06074549972</v>
      </c>
      <c r="D46" s="13">
        <f t="shared" si="0"/>
        <v>-3.5809927134583086E-2</v>
      </c>
      <c r="G46" s="12">
        <v>22023.35</v>
      </c>
      <c r="H46" s="13">
        <f t="shared" si="1"/>
        <v>-2.0903770191899484E-2</v>
      </c>
    </row>
    <row r="47" spans="2:8" x14ac:dyDescent="0.3">
      <c r="B47" s="8">
        <v>45373</v>
      </c>
      <c r="C47" s="12">
        <v>1594.20639028194</v>
      </c>
      <c r="D47" s="13">
        <f t="shared" si="0"/>
        <v>3.920682082418292E-2</v>
      </c>
      <c r="G47" s="12">
        <v>22096.75</v>
      </c>
      <c r="H47" s="13">
        <f t="shared" si="1"/>
        <v>3.3328262957270649E-3</v>
      </c>
    </row>
    <row r="48" spans="2:8" x14ac:dyDescent="0.3">
      <c r="B48" s="8">
        <v>45379</v>
      </c>
      <c r="C48" s="12">
        <v>1605.74999426403</v>
      </c>
      <c r="D48" s="13">
        <f t="shared" si="0"/>
        <v>7.2409720927342214E-3</v>
      </c>
      <c r="G48" s="12">
        <v>22326.9</v>
      </c>
      <c r="H48" s="13">
        <f t="shared" si="1"/>
        <v>1.0415558849152129E-2</v>
      </c>
    </row>
    <row r="49" spans="2:8" x14ac:dyDescent="0.3">
      <c r="B49" s="8">
        <v>45387</v>
      </c>
      <c r="C49" s="12">
        <v>1594.3054770113999</v>
      </c>
      <c r="D49" s="13">
        <f t="shared" si="0"/>
        <v>-7.1272098978741871E-3</v>
      </c>
      <c r="G49" s="12">
        <v>22513.7</v>
      </c>
      <c r="H49" s="13">
        <f t="shared" si="1"/>
        <v>8.3665891816597782E-3</v>
      </c>
    </row>
    <row r="50" spans="2:8" x14ac:dyDescent="0.3">
      <c r="B50" s="8">
        <v>45394</v>
      </c>
      <c r="C50" s="12">
        <v>1525.9356336840001</v>
      </c>
      <c r="D50" s="13">
        <f t="shared" si="0"/>
        <v>-4.2883778744561729E-2</v>
      </c>
      <c r="G50" s="12">
        <v>22519.400389999999</v>
      </c>
      <c r="H50" s="13">
        <f t="shared" si="1"/>
        <v>2.5319649813226874E-4</v>
      </c>
    </row>
    <row r="51" spans="2:8" x14ac:dyDescent="0.3">
      <c r="B51" s="8">
        <v>45401</v>
      </c>
      <c r="C51" s="12">
        <v>1508.89271621688</v>
      </c>
      <c r="D51" s="13">
        <f t="shared" si="0"/>
        <v>-1.1168831168831272E-2</v>
      </c>
      <c r="G51" s="12">
        <v>22147</v>
      </c>
      <c r="H51" s="13">
        <f t="shared" si="1"/>
        <v>-1.6536869701262891E-2</v>
      </c>
    </row>
    <row r="52" spans="2:8" x14ac:dyDescent="0.3">
      <c r="B52" s="8">
        <v>45408</v>
      </c>
      <c r="C52" s="12">
        <v>1492.79112267963</v>
      </c>
      <c r="D52" s="13">
        <f t="shared" si="0"/>
        <v>-1.067113212503279E-2</v>
      </c>
      <c r="G52" s="12">
        <v>22419.949219999999</v>
      </c>
      <c r="H52" s="13">
        <f t="shared" si="1"/>
        <v>1.2324433106063903E-2</v>
      </c>
    </row>
    <row r="53" spans="2:8" x14ac:dyDescent="0.3">
      <c r="B53" s="8">
        <v>45415</v>
      </c>
      <c r="C53" s="12">
        <v>1497.34911223479</v>
      </c>
      <c r="D53" s="13">
        <f t="shared" si="0"/>
        <v>3.0533337758453793E-3</v>
      </c>
      <c r="G53" s="12">
        <v>22475.849610000001</v>
      </c>
      <c r="H53" s="13">
        <f t="shared" si="1"/>
        <v>2.4933325874858525E-3</v>
      </c>
    </row>
    <row r="54" spans="2:8" x14ac:dyDescent="0.3">
      <c r="B54" s="8">
        <v>45422</v>
      </c>
      <c r="C54" s="12">
        <v>1492.79112267963</v>
      </c>
      <c r="D54" s="13">
        <f t="shared" si="0"/>
        <v>-3.044039307811941E-3</v>
      </c>
      <c r="G54" s="12">
        <v>22055.199219999999</v>
      </c>
      <c r="H54" s="13">
        <f t="shared" si="1"/>
        <v>-1.871566135648306E-2</v>
      </c>
    </row>
    <row r="55" spans="2:8" x14ac:dyDescent="0.3">
      <c r="B55" s="8">
        <v>45430</v>
      </c>
      <c r="C55" s="12">
        <v>1517.9096085977401</v>
      </c>
      <c r="D55" s="13">
        <f t="shared" si="0"/>
        <v>1.6826524177757207E-2</v>
      </c>
      <c r="G55" s="12">
        <v>22464.800780000001</v>
      </c>
      <c r="H55" s="13">
        <f t="shared" si="1"/>
        <v>1.8571655413956556E-2</v>
      </c>
    </row>
    <row r="56" spans="2:8" x14ac:dyDescent="0.3">
      <c r="B56" s="8">
        <v>45436</v>
      </c>
      <c r="C56" s="12">
        <v>1473.1224068818201</v>
      </c>
      <c r="D56" s="13">
        <f t="shared" si="0"/>
        <v>-2.9505842417912431E-2</v>
      </c>
      <c r="G56" s="12">
        <v>22957.099610000001</v>
      </c>
      <c r="H56" s="13">
        <f t="shared" si="1"/>
        <v>2.1914230836993953E-2</v>
      </c>
    </row>
    <row r="57" spans="2:8" x14ac:dyDescent="0.3">
      <c r="B57" s="8">
        <v>45443</v>
      </c>
      <c r="C57" s="12">
        <v>1446.46807665708</v>
      </c>
      <c r="D57" s="13">
        <f t="shared" si="0"/>
        <v>-1.8093764713795757E-2</v>
      </c>
      <c r="G57" s="12">
        <v>22530.699219999999</v>
      </c>
      <c r="H57" s="13">
        <f t="shared" si="1"/>
        <v>-1.8573791865862055E-2</v>
      </c>
    </row>
    <row r="58" spans="2:8" x14ac:dyDescent="0.3">
      <c r="B58" s="8">
        <v>45450</v>
      </c>
      <c r="C58" s="12">
        <v>1493.0883828680001</v>
      </c>
      <c r="D58" s="13">
        <f t="shared" si="0"/>
        <v>3.2230442526366643E-2</v>
      </c>
      <c r="G58" s="12">
        <v>23290.150389999999</v>
      </c>
      <c r="H58" s="13">
        <f t="shared" si="1"/>
        <v>3.3707394634510557E-2</v>
      </c>
    </row>
    <row r="59" spans="2:8" x14ac:dyDescent="0.3">
      <c r="B59" s="8">
        <v>45457</v>
      </c>
      <c r="C59" s="12">
        <v>1502.1548186135999</v>
      </c>
      <c r="D59" s="13">
        <f t="shared" si="0"/>
        <v>6.0722699671567071E-3</v>
      </c>
      <c r="G59" s="12">
        <v>23465.599610000001</v>
      </c>
      <c r="H59" s="13">
        <f t="shared" si="1"/>
        <v>7.5331939494618361E-3</v>
      </c>
    </row>
    <row r="60" spans="2:8" x14ac:dyDescent="0.3">
      <c r="B60" s="8">
        <v>45464</v>
      </c>
      <c r="C60" s="12">
        <v>1453.85003800185</v>
      </c>
      <c r="D60" s="13">
        <f t="shared" si="0"/>
        <v>-3.2156992084432678E-2</v>
      </c>
      <c r="G60" s="12">
        <v>23501.099610000001</v>
      </c>
      <c r="H60" s="13">
        <f t="shared" si="1"/>
        <v>1.5128528820917975E-3</v>
      </c>
    </row>
    <row r="61" spans="2:8" x14ac:dyDescent="0.3">
      <c r="B61" s="8">
        <v>45471</v>
      </c>
      <c r="C61" s="12">
        <v>1506.96052499241</v>
      </c>
      <c r="D61" s="13">
        <f t="shared" si="0"/>
        <v>3.65309252002044E-2</v>
      </c>
      <c r="G61" s="12">
        <v>24010.599610000001</v>
      </c>
      <c r="H61" s="13">
        <f t="shared" si="1"/>
        <v>2.1679836622759519E-2</v>
      </c>
    </row>
    <row r="62" spans="2:8" x14ac:dyDescent="0.3">
      <c r="B62" s="8">
        <v>45478</v>
      </c>
      <c r="C62" s="12">
        <v>1554.07626485064</v>
      </c>
      <c r="D62" s="13">
        <f t="shared" si="0"/>
        <v>3.1265410790018766E-2</v>
      </c>
      <c r="G62" s="12">
        <v>24323.849610000001</v>
      </c>
      <c r="H62" s="13">
        <f t="shared" si="1"/>
        <v>1.3046321420042251E-2</v>
      </c>
    </row>
    <row r="63" spans="2:8" x14ac:dyDescent="0.3">
      <c r="B63" s="8">
        <v>45485</v>
      </c>
      <c r="C63" s="12">
        <v>1567.8510483867401</v>
      </c>
      <c r="D63" s="13">
        <f t="shared" si="0"/>
        <v>8.863647072960168E-3</v>
      </c>
      <c r="G63" s="12">
        <v>24502.150389999999</v>
      </c>
      <c r="H63" s="13">
        <f t="shared" si="1"/>
        <v>7.3302862358881615E-3</v>
      </c>
    </row>
    <row r="64" spans="2:8" x14ac:dyDescent="0.3">
      <c r="B64" s="8">
        <v>45492</v>
      </c>
      <c r="C64" s="12">
        <v>1559.2528669573701</v>
      </c>
      <c r="D64" s="13">
        <f t="shared" si="0"/>
        <v>-5.4840550307487801E-3</v>
      </c>
      <c r="G64" s="12">
        <v>24530.900389999999</v>
      </c>
      <c r="H64" s="13">
        <f t="shared" si="1"/>
        <v>1.1733664001889466E-3</v>
      </c>
    </row>
    <row r="65" spans="2:8" x14ac:dyDescent="0.3">
      <c r="B65" s="8">
        <v>45499</v>
      </c>
      <c r="C65" s="12">
        <v>1703.9806376066499</v>
      </c>
      <c r="D65" s="13">
        <f t="shared" si="0"/>
        <v>9.2818665731680072E-2</v>
      </c>
      <c r="G65" s="12">
        <v>24834.849610000001</v>
      </c>
      <c r="H65" s="13">
        <f t="shared" si="1"/>
        <v>1.2390463259306594E-2</v>
      </c>
    </row>
    <row r="66" spans="2:8" x14ac:dyDescent="0.3">
      <c r="B66" s="8">
        <v>45506</v>
      </c>
      <c r="C66" s="12">
        <v>1721.27640140677</v>
      </c>
      <c r="D66" s="13">
        <f t="shared" si="0"/>
        <v>1.0150211462738756E-2</v>
      </c>
      <c r="G66" s="12">
        <v>24717.699219999999</v>
      </c>
      <c r="H66" s="13">
        <f t="shared" si="1"/>
        <v>-4.7171773471432754E-3</v>
      </c>
    </row>
    <row r="67" spans="2:8" x14ac:dyDescent="0.3">
      <c r="B67" s="8">
        <v>45513</v>
      </c>
      <c r="C67" s="12">
        <v>1724.90453576713</v>
      </c>
      <c r="D67" s="13">
        <f t="shared" si="0"/>
        <v>2.1078162446164228E-3</v>
      </c>
      <c r="G67" s="12">
        <v>24367.5</v>
      </c>
      <c r="H67" s="13">
        <f t="shared" si="1"/>
        <v>-1.41679537760796E-2</v>
      </c>
    </row>
    <row r="68" spans="2:8" x14ac:dyDescent="0.3">
      <c r="B68" s="8">
        <v>45520</v>
      </c>
      <c r="C68" s="12">
        <v>1732.3099058999501</v>
      </c>
      <c r="D68" s="13">
        <f t="shared" si="0"/>
        <v>4.293205785748988E-3</v>
      </c>
      <c r="G68" s="12">
        <v>24541.150389999999</v>
      </c>
      <c r="H68" s="13">
        <f t="shared" si="1"/>
        <v>7.1263112752641966E-3</v>
      </c>
    </row>
    <row r="69" spans="2:8" x14ac:dyDescent="0.3">
      <c r="B69" s="8">
        <v>45527</v>
      </c>
      <c r="C69" s="12">
        <v>1765.11221655535</v>
      </c>
      <c r="D69" s="13">
        <f t="shared" si="0"/>
        <v>1.8935590302682437E-2</v>
      </c>
      <c r="G69" s="12">
        <v>24823.150389999999</v>
      </c>
      <c r="H69" s="13">
        <f t="shared" si="1"/>
        <v>1.1490903870378766E-2</v>
      </c>
    </row>
    <row r="70" spans="2:8" x14ac:dyDescent="0.3">
      <c r="B70" s="8">
        <v>45534</v>
      </c>
      <c r="C70" s="12">
        <v>1810.73724864877</v>
      </c>
      <c r="D70" s="13">
        <f t="shared" si="0"/>
        <v>2.5848233140926435E-2</v>
      </c>
      <c r="G70" s="12">
        <v>25235.900389999999</v>
      </c>
      <c r="H70" s="13">
        <f t="shared" si="1"/>
        <v>1.6627623549599013E-2</v>
      </c>
    </row>
    <row r="71" spans="2:8" x14ac:dyDescent="0.3">
      <c r="B71" s="8">
        <v>45541</v>
      </c>
      <c r="C71" s="12">
        <v>1813.61987594879</v>
      </c>
      <c r="D71" s="13">
        <f t="shared" si="0"/>
        <v>1.5919633299481539E-3</v>
      </c>
      <c r="G71" s="12">
        <v>24852.150389999999</v>
      </c>
      <c r="H71" s="13">
        <f t="shared" si="1"/>
        <v>-1.5206511123814104E-2</v>
      </c>
    </row>
    <row r="72" spans="2:8" x14ac:dyDescent="0.3">
      <c r="B72" s="8">
        <v>45548</v>
      </c>
      <c r="C72" s="12">
        <v>1842.6449508317401</v>
      </c>
      <c r="D72" s="13">
        <f t="shared" si="0"/>
        <v>1.6003946178504203E-2</v>
      </c>
      <c r="G72" s="12">
        <v>25356.5</v>
      </c>
      <c r="H72" s="13">
        <f t="shared" si="1"/>
        <v>2.0294002816067858E-2</v>
      </c>
    </row>
    <row r="73" spans="2:8" x14ac:dyDescent="0.3">
      <c r="B73" s="8">
        <v>45555</v>
      </c>
      <c r="C73" s="12">
        <v>1854.57306379735</v>
      </c>
      <c r="D73" s="13">
        <f t="shared" si="0"/>
        <v>6.4733648010844025E-3</v>
      </c>
      <c r="G73" s="12">
        <v>25790.949219999999</v>
      </c>
      <c r="H73" s="13">
        <f t="shared" si="1"/>
        <v>1.7133643050105452E-2</v>
      </c>
    </row>
    <row r="74" spans="2:8" x14ac:dyDescent="0.3">
      <c r="B74" s="8">
        <v>45562</v>
      </c>
      <c r="C74" s="12">
        <v>1937.0261446720599</v>
      </c>
      <c r="D74" s="13">
        <f t="shared" ref="D74:D109" si="2">C74/C73-1</f>
        <v>4.4459332708026267E-2</v>
      </c>
      <c r="G74" s="12">
        <v>26178.949219999999</v>
      </c>
      <c r="H74" s="13">
        <f t="shared" ref="H74:H109" si="3">G74/G73-1</f>
        <v>1.5044037219813511E-2</v>
      </c>
    </row>
    <row r="75" spans="2:8" x14ac:dyDescent="0.3">
      <c r="B75" s="8">
        <v>45569</v>
      </c>
      <c r="C75" s="12">
        <v>1898.60768082868</v>
      </c>
      <c r="D75" s="13">
        <f t="shared" si="2"/>
        <v>-1.9833735310725076E-2</v>
      </c>
      <c r="G75" s="12">
        <v>25014.599610000001</v>
      </c>
      <c r="H75" s="13">
        <f t="shared" si="3"/>
        <v>-4.4476560163479228E-2</v>
      </c>
    </row>
    <row r="76" spans="2:8" x14ac:dyDescent="0.3">
      <c r="B76" s="8">
        <v>45576</v>
      </c>
      <c r="C76" s="12">
        <v>1890.55620457691</v>
      </c>
      <c r="D76" s="13">
        <f t="shared" si="2"/>
        <v>-4.2407266825423839E-3</v>
      </c>
      <c r="G76" s="12">
        <v>24964.25</v>
      </c>
      <c r="H76" s="13">
        <f t="shared" si="3"/>
        <v>-2.0128089509724445E-3</v>
      </c>
    </row>
    <row r="77" spans="2:8" x14ac:dyDescent="0.3">
      <c r="B77" s="8">
        <v>45583</v>
      </c>
      <c r="C77" s="12">
        <v>1898.90588365282</v>
      </c>
      <c r="D77" s="13">
        <f t="shared" si="2"/>
        <v>4.4165198874785982E-3</v>
      </c>
      <c r="G77" s="12">
        <v>24854.050780000001</v>
      </c>
      <c r="H77" s="13">
        <f t="shared" si="3"/>
        <v>-4.414281222147598E-3</v>
      </c>
    </row>
    <row r="78" spans="2:8" x14ac:dyDescent="0.3">
      <c r="B78" s="8">
        <v>45590</v>
      </c>
      <c r="C78" s="12">
        <v>1849.2551134335199</v>
      </c>
      <c r="D78" s="13">
        <f t="shared" si="2"/>
        <v>-2.6147041118114611E-2</v>
      </c>
      <c r="G78" s="12">
        <v>24180.800780000001</v>
      </c>
      <c r="H78" s="13">
        <f t="shared" si="3"/>
        <v>-2.7088139714503301E-2</v>
      </c>
    </row>
    <row r="79" spans="2:8" x14ac:dyDescent="0.3">
      <c r="B79" s="8">
        <v>45597</v>
      </c>
      <c r="C79" s="12">
        <v>1847.26709460592</v>
      </c>
      <c r="D79" s="13">
        <f t="shared" si="2"/>
        <v>-1.0750376263168882E-3</v>
      </c>
      <c r="G79" s="12">
        <v>24304.349610000001</v>
      </c>
      <c r="H79" s="13">
        <f t="shared" si="3"/>
        <v>5.1093771097185936E-3</v>
      </c>
    </row>
    <row r="80" spans="2:8" x14ac:dyDescent="0.3">
      <c r="B80" s="8">
        <v>45604</v>
      </c>
      <c r="C80" s="12">
        <v>1798.75943521248</v>
      </c>
      <c r="D80" s="13">
        <f t="shared" si="2"/>
        <v>-2.6259147653895809E-2</v>
      </c>
      <c r="G80" s="12">
        <v>24148.199219999999</v>
      </c>
      <c r="H80" s="13">
        <f t="shared" si="3"/>
        <v>-6.424791961343157E-3</v>
      </c>
    </row>
    <row r="81" spans="2:8" x14ac:dyDescent="0.3">
      <c r="B81" s="8">
        <v>45610</v>
      </c>
      <c r="C81" s="12">
        <v>1757.6074454811601</v>
      </c>
      <c r="D81" s="13">
        <f t="shared" si="2"/>
        <v>-2.287798408488062E-2</v>
      </c>
      <c r="G81" s="12">
        <v>23555.5</v>
      </c>
      <c r="H81" s="13">
        <f t="shared" si="3"/>
        <v>-2.4544240943196849E-2</v>
      </c>
    </row>
    <row r="82" spans="2:8" x14ac:dyDescent="0.3">
      <c r="B82" s="8">
        <v>45618</v>
      </c>
      <c r="C82" s="12">
        <v>1784.54510059514</v>
      </c>
      <c r="D82" s="13">
        <f t="shared" si="2"/>
        <v>1.5326320551973582E-2</v>
      </c>
      <c r="G82" s="12">
        <v>23349.900389999999</v>
      </c>
      <c r="H82" s="13">
        <f t="shared" si="3"/>
        <v>-8.7283059158158594E-3</v>
      </c>
    </row>
    <row r="83" spans="2:8" x14ac:dyDescent="0.3">
      <c r="B83" s="8">
        <v>45625</v>
      </c>
      <c r="C83" s="12">
        <v>1770.2313650364199</v>
      </c>
      <c r="D83" s="13">
        <f t="shared" si="2"/>
        <v>-8.0209435748900271E-3</v>
      </c>
      <c r="G83" s="12">
        <v>23914.150389999999</v>
      </c>
      <c r="H83" s="13">
        <f t="shared" si="3"/>
        <v>2.4164985313669618E-2</v>
      </c>
    </row>
    <row r="84" spans="2:8" x14ac:dyDescent="0.3">
      <c r="B84" s="8">
        <v>45632</v>
      </c>
      <c r="C84" s="12">
        <v>1794.03789049692</v>
      </c>
      <c r="D84" s="13">
        <f t="shared" si="2"/>
        <v>1.3448256499517086E-2</v>
      </c>
      <c r="G84" s="12">
        <v>24708.400389999999</v>
      </c>
      <c r="H84" s="13">
        <f t="shared" si="3"/>
        <v>3.3212553531992706E-2</v>
      </c>
    </row>
    <row r="85" spans="2:8" x14ac:dyDescent="0.3">
      <c r="B85" s="8">
        <v>45639</v>
      </c>
      <c r="C85" s="12">
        <v>1802.5863714556001</v>
      </c>
      <c r="D85" s="13">
        <f t="shared" si="2"/>
        <v>4.764938914591399E-3</v>
      </c>
      <c r="G85" s="12">
        <v>24548.699219999999</v>
      </c>
      <c r="H85" s="13">
        <f t="shared" si="3"/>
        <v>-6.4634362192315109E-3</v>
      </c>
    </row>
    <row r="86" spans="2:8" x14ac:dyDescent="0.3">
      <c r="B86" s="8">
        <v>45646</v>
      </c>
      <c r="C86" s="12">
        <v>1798.0139281521299</v>
      </c>
      <c r="D86" s="13">
        <f t="shared" si="2"/>
        <v>-2.5366015054124613E-3</v>
      </c>
      <c r="G86" s="12">
        <v>23951.699219999999</v>
      </c>
      <c r="H86" s="13">
        <f t="shared" si="3"/>
        <v>-2.4319007481814703E-2</v>
      </c>
    </row>
    <row r="87" spans="2:8" x14ac:dyDescent="0.3">
      <c r="B87" s="8">
        <v>45653</v>
      </c>
      <c r="C87" s="12">
        <v>1850.10002143525</v>
      </c>
      <c r="D87" s="13">
        <f t="shared" si="2"/>
        <v>2.8968681759128811E-2</v>
      </c>
      <c r="G87" s="12">
        <v>23750.199219999999</v>
      </c>
      <c r="H87" s="13">
        <f t="shared" si="3"/>
        <v>-8.4127642948916836E-3</v>
      </c>
    </row>
    <row r="88" spans="2:8" x14ac:dyDescent="0.3">
      <c r="B88" s="8">
        <v>45660</v>
      </c>
      <c r="C88" s="12">
        <v>1838.5695122351699</v>
      </c>
      <c r="D88" s="13">
        <f t="shared" si="2"/>
        <v>-6.2323707186031641E-3</v>
      </c>
      <c r="G88" s="12">
        <v>24188.650389999999</v>
      </c>
      <c r="H88" s="13">
        <f t="shared" si="3"/>
        <v>1.8460947040426667E-2</v>
      </c>
    </row>
    <row r="89" spans="2:8" x14ac:dyDescent="0.3">
      <c r="B89" s="8">
        <v>45667</v>
      </c>
      <c r="C89" s="12">
        <v>1774.10800175024</v>
      </c>
      <c r="D89" s="13">
        <f t="shared" si="2"/>
        <v>-3.5060687157029702E-2</v>
      </c>
      <c r="G89" s="12">
        <v>23526.5</v>
      </c>
      <c r="H89" s="13">
        <f t="shared" si="3"/>
        <v>-2.737442475392271E-2</v>
      </c>
    </row>
    <row r="90" spans="2:8" x14ac:dyDescent="0.3">
      <c r="B90" s="8">
        <v>45674</v>
      </c>
      <c r="C90" s="12">
        <v>1775.8475182243899</v>
      </c>
      <c r="D90" s="13">
        <f t="shared" si="2"/>
        <v>9.8050201703259177E-4</v>
      </c>
      <c r="G90" s="12">
        <v>23311.800780000001</v>
      </c>
      <c r="H90" s="13">
        <f t="shared" si="3"/>
        <v>-9.1258461734639029E-3</v>
      </c>
    </row>
    <row r="91" spans="2:8" x14ac:dyDescent="0.3">
      <c r="B91" s="8">
        <v>45681</v>
      </c>
      <c r="C91" s="12">
        <v>1811.2839538263599</v>
      </c>
      <c r="D91" s="13">
        <f t="shared" si="2"/>
        <v>1.9954661218549719E-2</v>
      </c>
      <c r="G91" s="12">
        <v>23205.349610000001</v>
      </c>
      <c r="H91" s="13">
        <f t="shared" si="3"/>
        <v>-4.5664069886581782E-3</v>
      </c>
    </row>
    <row r="92" spans="2:8" x14ac:dyDescent="0.3">
      <c r="B92" s="8">
        <v>45689</v>
      </c>
      <c r="C92" s="12">
        <v>1731.7632007223599</v>
      </c>
      <c r="D92" s="13">
        <f t="shared" si="2"/>
        <v>-4.3902974426517472E-2</v>
      </c>
      <c r="G92" s="12">
        <v>23508.400389999999</v>
      </c>
      <c r="H92" s="13">
        <f t="shared" si="3"/>
        <v>1.3059522269356583E-2</v>
      </c>
    </row>
    <row r="93" spans="2:8" x14ac:dyDescent="0.3">
      <c r="B93" s="8">
        <v>45695</v>
      </c>
      <c r="C93" s="12">
        <v>1749.8</v>
      </c>
      <c r="D93" s="13">
        <f t="shared" si="2"/>
        <v>1.041528037442796E-2</v>
      </c>
      <c r="G93" s="12">
        <v>23603.349610000001</v>
      </c>
      <c r="H93" s="13">
        <f t="shared" si="3"/>
        <v>4.0389485641223466E-3</v>
      </c>
    </row>
    <row r="94" spans="2:8" x14ac:dyDescent="0.3">
      <c r="B94" s="8">
        <v>45702</v>
      </c>
      <c r="C94" s="12">
        <v>1700.5</v>
      </c>
      <c r="D94" s="13">
        <f t="shared" si="2"/>
        <v>-2.8174648531260726E-2</v>
      </c>
      <c r="G94" s="12">
        <v>23031.400389999999</v>
      </c>
      <c r="H94" s="13">
        <f t="shared" si="3"/>
        <v>-2.4231697172238831E-2</v>
      </c>
    </row>
    <row r="95" spans="2:8" x14ac:dyDescent="0.3">
      <c r="B95" s="8">
        <v>45709</v>
      </c>
      <c r="C95" s="12">
        <v>1643.75</v>
      </c>
      <c r="D95" s="13">
        <f t="shared" si="2"/>
        <v>-3.3372537488973841E-2</v>
      </c>
      <c r="G95" s="12">
        <v>22913.150389999999</v>
      </c>
      <c r="H95" s="13">
        <f t="shared" si="3"/>
        <v>-5.1342948321693171E-3</v>
      </c>
    </row>
    <row r="96" spans="2:8" x14ac:dyDescent="0.3">
      <c r="B96" s="8">
        <v>45716</v>
      </c>
      <c r="C96" s="12">
        <v>1593.25</v>
      </c>
      <c r="D96" s="13">
        <f t="shared" si="2"/>
        <v>-3.0722433460076082E-2</v>
      </c>
      <c r="G96" s="12">
        <v>22545.050780000001</v>
      </c>
      <c r="H96" s="13">
        <f t="shared" si="3"/>
        <v>-1.6064993409227846E-2</v>
      </c>
    </row>
    <row r="97" spans="2:8" x14ac:dyDescent="0.3">
      <c r="B97" s="8">
        <v>45723</v>
      </c>
      <c r="C97" s="12">
        <v>1609.3</v>
      </c>
      <c r="D97" s="13">
        <f t="shared" si="2"/>
        <v>1.0073748627020152E-2</v>
      </c>
      <c r="G97" s="12">
        <v>22544.699219999999</v>
      </c>
      <c r="H97" s="13">
        <f t="shared" si="3"/>
        <v>-1.559366636316728E-5</v>
      </c>
    </row>
    <row r="98" spans="2:8" x14ac:dyDescent="0.3">
      <c r="B98" s="8">
        <v>45729</v>
      </c>
      <c r="C98" s="12">
        <v>1683.45</v>
      </c>
      <c r="D98" s="13">
        <f t="shared" si="2"/>
        <v>4.6075933635742361E-2</v>
      </c>
      <c r="G98" s="12">
        <v>22470.5</v>
      </c>
      <c r="H98" s="13">
        <f t="shared" si="3"/>
        <v>-3.2912046985383858E-3</v>
      </c>
    </row>
    <row r="99" spans="2:8" x14ac:dyDescent="0.3">
      <c r="B99" s="8">
        <v>45737</v>
      </c>
      <c r="C99" s="12">
        <v>1784.5</v>
      </c>
      <c r="D99" s="13">
        <f t="shared" si="2"/>
        <v>6.0025542784163388E-2</v>
      </c>
      <c r="G99" s="12">
        <v>23190.650389999999</v>
      </c>
      <c r="H99" s="13">
        <f t="shared" si="3"/>
        <v>3.2048703411138968E-2</v>
      </c>
    </row>
    <row r="100" spans="2:8" x14ac:dyDescent="0.3">
      <c r="B100" s="8">
        <v>45744</v>
      </c>
      <c r="C100" s="12">
        <v>1734.7</v>
      </c>
      <c r="D100" s="13">
        <f t="shared" si="2"/>
        <v>-2.7906976744186074E-2</v>
      </c>
      <c r="G100" s="12">
        <v>23591.949219999999</v>
      </c>
      <c r="H100" s="13">
        <f t="shared" si="3"/>
        <v>1.7304337017345794E-2</v>
      </c>
    </row>
    <row r="101" spans="2:8" x14ac:dyDescent="0.3">
      <c r="B101" s="8">
        <v>45751</v>
      </c>
      <c r="C101" s="12">
        <v>1709.35</v>
      </c>
      <c r="D101" s="13">
        <f t="shared" si="2"/>
        <v>-1.4613477834784172E-2</v>
      </c>
      <c r="G101" s="12">
        <v>23250.099610000001</v>
      </c>
      <c r="H101" s="13">
        <f t="shared" si="3"/>
        <v>-1.449009604133078E-2</v>
      </c>
    </row>
    <row r="102" spans="2:8" x14ac:dyDescent="0.3">
      <c r="B102" s="8">
        <v>45758</v>
      </c>
      <c r="C102" s="12">
        <v>1687.55</v>
      </c>
      <c r="D102" s="13">
        <f t="shared" si="2"/>
        <v>-1.2753385789920135E-2</v>
      </c>
      <c r="G102" s="12">
        <v>22535.849610000001</v>
      </c>
      <c r="H102" s="13">
        <f t="shared" si="3"/>
        <v>-3.0720298492519005E-2</v>
      </c>
    </row>
    <row r="103" spans="2:8" x14ac:dyDescent="0.3">
      <c r="B103" s="8">
        <v>45764</v>
      </c>
      <c r="C103" s="12">
        <v>1751.5</v>
      </c>
      <c r="D103" s="13">
        <f t="shared" si="2"/>
        <v>3.7895173476341526E-2</v>
      </c>
      <c r="G103" s="12">
        <v>23437.199219999999</v>
      </c>
      <c r="H103" s="13">
        <f t="shared" si="3"/>
        <v>3.9996255992054364E-2</v>
      </c>
    </row>
    <row r="104" spans="2:8" x14ac:dyDescent="0.3">
      <c r="B104" s="8">
        <v>45772</v>
      </c>
      <c r="C104" s="12">
        <v>1787.4</v>
      </c>
      <c r="D104" s="13">
        <f t="shared" si="2"/>
        <v>2.0496717099628858E-2</v>
      </c>
      <c r="G104" s="12">
        <v>24246.699219999999</v>
      </c>
      <c r="H104" s="13">
        <f t="shared" si="3"/>
        <v>3.4539109916735145E-2</v>
      </c>
    </row>
    <row r="105" spans="2:8" x14ac:dyDescent="0.3">
      <c r="B105" s="8">
        <v>45779</v>
      </c>
      <c r="C105" s="12">
        <v>1829.4</v>
      </c>
      <c r="D105" s="13">
        <f t="shared" si="2"/>
        <v>2.3497818059751596E-2</v>
      </c>
      <c r="G105" s="12">
        <v>24335.949219999999</v>
      </c>
      <c r="H105" s="13">
        <f t="shared" si="3"/>
        <v>3.6809133973330077E-3</v>
      </c>
    </row>
    <row r="106" spans="2:8" x14ac:dyDescent="0.3">
      <c r="B106" s="8">
        <v>45786</v>
      </c>
      <c r="C106" s="12">
        <v>1744.8</v>
      </c>
      <c r="D106" s="13">
        <f t="shared" si="2"/>
        <v>-4.6244670383732478E-2</v>
      </c>
      <c r="G106" s="12">
        <v>24273.800780000001</v>
      </c>
      <c r="H106" s="13">
        <f t="shared" si="3"/>
        <v>-2.5537709434781952E-3</v>
      </c>
    </row>
    <row r="107" spans="2:8" x14ac:dyDescent="0.3">
      <c r="B107" s="8">
        <v>45793</v>
      </c>
      <c r="C107" s="12">
        <v>1734.9</v>
      </c>
      <c r="D107" s="13">
        <f t="shared" si="2"/>
        <v>-5.6740027510315816E-3</v>
      </c>
      <c r="G107" s="12">
        <v>25062.099610000001</v>
      </c>
      <c r="H107" s="13">
        <f t="shared" si="3"/>
        <v>3.2475294542645639E-2</v>
      </c>
    </row>
    <row r="108" spans="2:8" x14ac:dyDescent="0.3">
      <c r="B108" s="8">
        <v>45800</v>
      </c>
      <c r="C108" s="12">
        <v>1683.6</v>
      </c>
      <c r="D108" s="13">
        <f t="shared" si="2"/>
        <v>-2.9569427632716638E-2</v>
      </c>
      <c r="G108" s="12">
        <v>24609.699219999999</v>
      </c>
      <c r="H108" s="13">
        <f t="shared" si="3"/>
        <v>-1.8051176758530296E-2</v>
      </c>
    </row>
    <row r="109" spans="2:8" x14ac:dyDescent="0.3">
      <c r="B109" s="8">
        <v>45807</v>
      </c>
      <c r="C109" s="12">
        <v>1677.6</v>
      </c>
      <c r="D109" s="13">
        <f t="shared" si="2"/>
        <v>-3.5637918745545782E-3</v>
      </c>
      <c r="G109" s="12">
        <v>24833.599610000001</v>
      </c>
      <c r="H109" s="13">
        <f t="shared" si="3"/>
        <v>9.0980547140553369E-3</v>
      </c>
    </row>
    <row r="110" spans="2:8" x14ac:dyDescent="0.3">
      <c r="B110" s="8"/>
    </row>
    <row r="111" spans="2:8" x14ac:dyDescent="0.3">
      <c r="B111" s="8"/>
    </row>
    <row r="112" spans="2:8" x14ac:dyDescent="0.3">
      <c r="B112" s="8"/>
    </row>
  </sheetData>
  <mergeCells count="4">
    <mergeCell ref="B3:H3"/>
    <mergeCell ref="B5:D5"/>
    <mergeCell ref="G5:H5"/>
    <mergeCell ref="J5:K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EBC8-DD39-4DEF-AB34-C784E6765968}">
  <dimension ref="B3:U112"/>
  <sheetViews>
    <sheetView showGridLines="0" workbookViewId="0">
      <selection activeCell="K11" sqref="J11:K11"/>
    </sheetView>
  </sheetViews>
  <sheetFormatPr defaultRowHeight="14.4" x14ac:dyDescent="0.3"/>
  <cols>
    <col min="1" max="1" width="1.88671875" customWidth="1"/>
    <col min="2" max="2" width="10.33203125" bestFit="1" customWidth="1"/>
    <col min="3" max="3" width="15" customWidth="1"/>
    <col min="7" max="7" width="13.6640625" customWidth="1"/>
    <col min="10" max="10" width="17.5546875" bestFit="1" customWidth="1"/>
    <col min="13" max="13" width="16.6640625" bestFit="1" customWidth="1"/>
    <col min="14" max="14" width="20.21875" bestFit="1" customWidth="1"/>
  </cols>
  <sheetData>
    <row r="3" spans="2:14" x14ac:dyDescent="0.3">
      <c r="B3" s="18" t="s">
        <v>50</v>
      </c>
      <c r="C3" s="18"/>
      <c r="D3" s="18"/>
      <c r="E3" s="18"/>
      <c r="F3" s="18"/>
      <c r="G3" s="18"/>
      <c r="H3" s="18"/>
    </row>
    <row r="5" spans="2:14" x14ac:dyDescent="0.3">
      <c r="B5" s="17" t="s">
        <v>54</v>
      </c>
      <c r="C5" s="17"/>
      <c r="D5" s="17"/>
      <c r="G5" s="17" t="s">
        <v>55</v>
      </c>
      <c r="H5" s="17"/>
      <c r="J5" s="17" t="s">
        <v>63</v>
      </c>
      <c r="K5" s="17"/>
      <c r="M5" t="s">
        <v>69</v>
      </c>
      <c r="N5" s="19">
        <f>SLOPE(D9:D109,H9:H109)</f>
        <v>1.0808850592341395</v>
      </c>
    </row>
    <row r="6" spans="2:14" x14ac:dyDescent="0.3">
      <c r="J6" t="s">
        <v>64</v>
      </c>
      <c r="K6" s="19">
        <f>N8</f>
        <v>1.0808850592341395</v>
      </c>
      <c r="M6" t="s">
        <v>70</v>
      </c>
      <c r="N6" s="19">
        <f>_xlfn.COVARIANCE.S(D9:D109,H9:H109)/_xlfn.VAR.S(H9:H109)</f>
        <v>1.0808850592341392</v>
      </c>
    </row>
    <row r="7" spans="2:14" x14ac:dyDescent="0.3">
      <c r="B7" s="10" t="s">
        <v>51</v>
      </c>
      <c r="C7" s="11" t="s">
        <v>52</v>
      </c>
      <c r="D7" s="11" t="s">
        <v>53</v>
      </c>
      <c r="G7" s="11" t="s">
        <v>56</v>
      </c>
      <c r="H7" s="11" t="s">
        <v>53</v>
      </c>
      <c r="J7" t="s">
        <v>67</v>
      </c>
      <c r="K7" s="13">
        <v>0.75</v>
      </c>
    </row>
    <row r="8" spans="2:14" x14ac:dyDescent="0.3">
      <c r="B8" s="8">
        <v>45100</v>
      </c>
      <c r="C8">
        <v>696.06290226610497</v>
      </c>
      <c r="G8" s="12">
        <v>18665.5</v>
      </c>
      <c r="J8" t="s">
        <v>65</v>
      </c>
      <c r="K8" s="13">
        <v>0.25</v>
      </c>
      <c r="M8" t="s">
        <v>71</v>
      </c>
      <c r="N8" s="19">
        <f>N31</f>
        <v>1.0808850592341395</v>
      </c>
    </row>
    <row r="9" spans="2:14" x14ac:dyDescent="0.3">
      <c r="B9" s="8">
        <v>45107</v>
      </c>
      <c r="C9">
        <v>724.13838512944506</v>
      </c>
      <c r="D9" s="13">
        <f>C9/C8-1</f>
        <v>4.0334692126153371E-2</v>
      </c>
      <c r="G9" s="12">
        <v>19189.05</v>
      </c>
      <c r="H9" s="13">
        <f>G9/G8-1</f>
        <v>2.8049074495727355E-2</v>
      </c>
      <c r="J9" t="s">
        <v>66</v>
      </c>
      <c r="K9">
        <v>1</v>
      </c>
    </row>
    <row r="10" spans="2:14" x14ac:dyDescent="0.3">
      <c r="B10" s="8">
        <v>45114</v>
      </c>
      <c r="C10">
        <v>742.30780223071997</v>
      </c>
      <c r="D10" s="13">
        <f t="shared" ref="D10:D73" si="0">C10/C9-1</f>
        <v>2.5091084072317305E-2</v>
      </c>
      <c r="G10" s="12">
        <v>19331.8</v>
      </c>
      <c r="H10" s="13">
        <f t="shared" ref="H10:H73" si="1">G10/G9-1</f>
        <v>7.4391384669902916E-3</v>
      </c>
    </row>
    <row r="11" spans="2:14" x14ac:dyDescent="0.3">
      <c r="B11" s="8">
        <v>45121</v>
      </c>
      <c r="C11">
        <v>735.68716531436496</v>
      </c>
      <c r="D11" s="13">
        <f t="shared" si="0"/>
        <v>-8.91899141630903E-3</v>
      </c>
      <c r="G11" s="12">
        <v>19564.5</v>
      </c>
      <c r="H11" s="13">
        <f t="shared" si="1"/>
        <v>1.2037161567986399E-2</v>
      </c>
      <c r="J11" s="24" t="s">
        <v>68</v>
      </c>
      <c r="K11" s="25">
        <f>(K6*K7)+(K8*K9)</f>
        <v>1.0606637944256045</v>
      </c>
    </row>
    <row r="12" spans="2:14" x14ac:dyDescent="0.3">
      <c r="B12" s="8">
        <v>45128</v>
      </c>
      <c r="C12">
        <v>776.10789596158497</v>
      </c>
      <c r="D12" s="13">
        <f t="shared" si="0"/>
        <v>5.494282427769126E-2</v>
      </c>
      <c r="G12" s="12">
        <v>19745</v>
      </c>
      <c r="H12" s="13">
        <f t="shared" si="1"/>
        <v>9.225893838329613E-3</v>
      </c>
    </row>
    <row r="13" spans="2:14" x14ac:dyDescent="0.3">
      <c r="B13" s="8">
        <v>45135</v>
      </c>
      <c r="C13">
        <v>833.30422541190001</v>
      </c>
      <c r="D13" s="13">
        <f t="shared" si="0"/>
        <v>7.3696363286511524E-2</v>
      </c>
      <c r="G13" s="12">
        <v>19646.05</v>
      </c>
      <c r="H13" s="13">
        <f t="shared" si="1"/>
        <v>-5.0113952899468739E-3</v>
      </c>
    </row>
    <row r="14" spans="2:14" x14ac:dyDescent="0.3">
      <c r="B14" s="8">
        <v>45142</v>
      </c>
      <c r="C14">
        <v>837.83413488098495</v>
      </c>
      <c r="D14" s="13">
        <f t="shared" si="0"/>
        <v>5.4360812425326976E-3</v>
      </c>
      <c r="G14" s="12">
        <v>19517</v>
      </c>
      <c r="H14" s="13">
        <f t="shared" si="1"/>
        <v>-6.568750461288575E-3</v>
      </c>
      <c r="M14" t="s">
        <v>72</v>
      </c>
    </row>
    <row r="15" spans="2:14" ht="15" thickBot="1" x14ac:dyDescent="0.35">
      <c r="B15" s="8">
        <v>45149</v>
      </c>
      <c r="C15">
        <v>859.33876005290495</v>
      </c>
      <c r="D15" s="13">
        <f t="shared" si="0"/>
        <v>2.5666924128096902E-2</v>
      </c>
      <c r="G15" s="12">
        <v>19428.3</v>
      </c>
      <c r="H15" s="13">
        <f t="shared" si="1"/>
        <v>-4.5447558538710409E-3</v>
      </c>
    </row>
    <row r="16" spans="2:14" x14ac:dyDescent="0.3">
      <c r="B16" s="8">
        <v>45156</v>
      </c>
      <c r="C16">
        <v>854.01238298485998</v>
      </c>
      <c r="D16" s="13">
        <f t="shared" si="0"/>
        <v>-6.1982274228117307E-3</v>
      </c>
      <c r="G16" s="12">
        <v>19310.150000000001</v>
      </c>
      <c r="H16" s="13">
        <f t="shared" si="1"/>
        <v>-6.0813349598265454E-3</v>
      </c>
      <c r="M16" s="23" t="s">
        <v>73</v>
      </c>
      <c r="N16" s="23"/>
    </row>
    <row r="17" spans="2:21" x14ac:dyDescent="0.3">
      <c r="B17" s="8">
        <v>45163</v>
      </c>
      <c r="C17">
        <v>824.84175717295</v>
      </c>
      <c r="D17" s="13">
        <f t="shared" si="0"/>
        <v>-3.4157146187922538E-2</v>
      </c>
      <c r="G17" s="12">
        <v>19265.8</v>
      </c>
      <c r="H17" s="13">
        <f t="shared" si="1"/>
        <v>-2.2967196008317758E-3</v>
      </c>
      <c r="M17" s="20" t="s">
        <v>74</v>
      </c>
      <c r="N17" s="20">
        <v>0.44914451687176588</v>
      </c>
    </row>
    <row r="18" spans="2:21" x14ac:dyDescent="0.3">
      <c r="B18" s="8">
        <v>45170</v>
      </c>
      <c r="C18">
        <v>821.90478290178498</v>
      </c>
      <c r="D18" s="13">
        <f t="shared" si="0"/>
        <v>-3.5606517803259408E-3</v>
      </c>
      <c r="G18" s="12">
        <v>19435.3</v>
      </c>
      <c r="H18" s="13">
        <f t="shared" si="1"/>
        <v>8.7979736112697715E-3</v>
      </c>
      <c r="M18" s="20" t="s">
        <v>75</v>
      </c>
      <c r="N18" s="20">
        <v>0.20173079703597196</v>
      </c>
    </row>
    <row r="19" spans="2:21" x14ac:dyDescent="0.3">
      <c r="B19" s="8">
        <v>45177</v>
      </c>
      <c r="C19">
        <v>854.70929213395004</v>
      </c>
      <c r="D19" s="13">
        <f t="shared" si="0"/>
        <v>3.9912785415783469E-2</v>
      </c>
      <c r="G19" s="12">
        <v>19819.95</v>
      </c>
      <c r="H19" s="13">
        <f t="shared" si="1"/>
        <v>1.9791307569216876E-2</v>
      </c>
      <c r="M19" s="20" t="s">
        <v>76</v>
      </c>
      <c r="N19" s="20">
        <v>0.19366747175350704</v>
      </c>
    </row>
    <row r="20" spans="2:21" x14ac:dyDescent="0.3">
      <c r="B20" s="8">
        <v>45184</v>
      </c>
      <c r="C20">
        <v>894.88112665649498</v>
      </c>
      <c r="D20" s="13">
        <f t="shared" si="0"/>
        <v>4.7000582411182323E-2</v>
      </c>
      <c r="G20" s="12">
        <v>20192.349999999999</v>
      </c>
      <c r="H20" s="13">
        <f t="shared" si="1"/>
        <v>1.8789149316723597E-2</v>
      </c>
      <c r="M20" s="20" t="s">
        <v>77</v>
      </c>
      <c r="N20" s="20">
        <v>3.6333909315570921E-2</v>
      </c>
    </row>
    <row r="21" spans="2:21" ht="15" thickBot="1" x14ac:dyDescent="0.35">
      <c r="B21" s="8">
        <v>45191</v>
      </c>
      <c r="C21">
        <v>862.57440967367995</v>
      </c>
      <c r="D21" s="13">
        <f t="shared" si="0"/>
        <v>-3.6101685487011204E-2</v>
      </c>
      <c r="G21" s="12">
        <v>19674.25</v>
      </c>
      <c r="H21" s="13">
        <f t="shared" si="1"/>
        <v>-2.5658231954180599E-2</v>
      </c>
      <c r="M21" s="21" t="s">
        <v>78</v>
      </c>
      <c r="N21" s="21">
        <v>101</v>
      </c>
    </row>
    <row r="22" spans="2:21" x14ac:dyDescent="0.3">
      <c r="B22" s="8">
        <v>45198</v>
      </c>
      <c r="C22">
        <v>910.31268638634504</v>
      </c>
      <c r="D22" s="13">
        <f t="shared" si="0"/>
        <v>5.5343951985226347E-2</v>
      </c>
      <c r="G22" s="12">
        <v>19638.3</v>
      </c>
      <c r="H22" s="13">
        <f t="shared" si="1"/>
        <v>-1.8272615220402688E-3</v>
      </c>
    </row>
    <row r="23" spans="2:21" ht="15" thickBot="1" x14ac:dyDescent="0.35">
      <c r="B23" s="8">
        <v>45205</v>
      </c>
      <c r="C23">
        <v>896.87229565389498</v>
      </c>
      <c r="D23" s="13">
        <f t="shared" si="0"/>
        <v>-1.4764586864986162E-2</v>
      </c>
      <c r="G23" s="12">
        <v>19653.5</v>
      </c>
      <c r="H23" s="13">
        <f t="shared" si="1"/>
        <v>7.7399774929598486E-4</v>
      </c>
      <c r="M23" t="s">
        <v>79</v>
      </c>
    </row>
    <row r="24" spans="2:21" x14ac:dyDescent="0.3">
      <c r="B24" s="8">
        <v>45212</v>
      </c>
      <c r="C24">
        <v>915.93773880399999</v>
      </c>
      <c r="D24" s="13">
        <f t="shared" si="0"/>
        <v>2.1257701060109824E-2</v>
      </c>
      <c r="G24" s="12">
        <v>19751.05</v>
      </c>
      <c r="H24" s="13">
        <f t="shared" si="1"/>
        <v>4.9634925076957881E-3</v>
      </c>
      <c r="M24" s="22"/>
      <c r="N24" s="22" t="s">
        <v>84</v>
      </c>
      <c r="O24" s="22" t="s">
        <v>85</v>
      </c>
      <c r="P24" s="22" t="s">
        <v>86</v>
      </c>
      <c r="Q24" s="22" t="s">
        <v>87</v>
      </c>
      <c r="R24" s="22" t="s">
        <v>88</v>
      </c>
    </row>
    <row r="25" spans="2:21" x14ac:dyDescent="0.3">
      <c r="B25" s="8">
        <v>45219</v>
      </c>
      <c r="C25">
        <v>862.37529277394003</v>
      </c>
      <c r="D25" s="13">
        <f t="shared" si="0"/>
        <v>-5.8478260869565202E-2</v>
      </c>
      <c r="G25" s="12">
        <v>19542.650000000001</v>
      </c>
      <c r="H25" s="13">
        <f t="shared" si="1"/>
        <v>-1.0551337776978809E-2</v>
      </c>
      <c r="M25" s="20" t="s">
        <v>80</v>
      </c>
      <c r="N25" s="20">
        <v>1</v>
      </c>
      <c r="O25" s="20">
        <v>3.3028000327658902E-2</v>
      </c>
      <c r="P25" s="20">
        <v>3.3028000327658902E-2</v>
      </c>
      <c r="Q25" s="20">
        <v>25.018313161031699</v>
      </c>
      <c r="R25" s="20">
        <v>2.4626633152770422E-6</v>
      </c>
    </row>
    <row r="26" spans="2:21" x14ac:dyDescent="0.3">
      <c r="B26" s="8">
        <v>45226</v>
      </c>
      <c r="C26">
        <v>850.67717491421502</v>
      </c>
      <c r="D26" s="13">
        <f t="shared" si="0"/>
        <v>-1.3564996536596596E-2</v>
      </c>
      <c r="G26" s="12">
        <v>19047.25</v>
      </c>
      <c r="H26" s="13">
        <f t="shared" si="1"/>
        <v>-2.5349683896503383E-2</v>
      </c>
      <c r="M26" s="20" t="s">
        <v>81</v>
      </c>
      <c r="N26" s="20">
        <v>99</v>
      </c>
      <c r="O26" s="20">
        <v>0.13069514364906101</v>
      </c>
      <c r="P26" s="20">
        <v>1.3201529661521314E-3</v>
      </c>
      <c r="Q26" s="20"/>
      <c r="R26" s="20"/>
    </row>
    <row r="27" spans="2:21" ht="15" thickBot="1" x14ac:dyDescent="0.35">
      <c r="B27" s="8">
        <v>45233</v>
      </c>
      <c r="C27">
        <v>850.527837239409</v>
      </c>
      <c r="D27" s="13">
        <f t="shared" si="0"/>
        <v>-1.7555152437365162E-4</v>
      </c>
      <c r="G27" s="12">
        <v>19230.599999999999</v>
      </c>
      <c r="H27" s="13">
        <f t="shared" si="1"/>
        <v>9.6260615049414966E-3</v>
      </c>
      <c r="M27" s="21" t="s">
        <v>82</v>
      </c>
      <c r="N27" s="21">
        <v>100</v>
      </c>
      <c r="O27" s="21">
        <v>0.16372314397671991</v>
      </c>
      <c r="P27" s="21"/>
      <c r="Q27" s="21"/>
      <c r="R27" s="21"/>
    </row>
    <row r="28" spans="2:21" ht="15" thickBot="1" x14ac:dyDescent="0.35">
      <c r="B28" s="8">
        <v>45240</v>
      </c>
      <c r="C28">
        <v>975.37413337638998</v>
      </c>
      <c r="D28" s="13">
        <f t="shared" si="0"/>
        <v>0.14678684302938216</v>
      </c>
      <c r="G28" s="12">
        <v>19425.349999999999</v>
      </c>
      <c r="H28" s="13">
        <f t="shared" si="1"/>
        <v>1.0127089118384225E-2</v>
      </c>
    </row>
    <row r="29" spans="2:21" x14ac:dyDescent="0.3">
      <c r="B29" s="8">
        <v>45247</v>
      </c>
      <c r="C29">
        <v>1002.90204476544</v>
      </c>
      <c r="D29" s="13">
        <f t="shared" si="0"/>
        <v>2.822292538531701E-2</v>
      </c>
      <c r="G29" s="12">
        <v>19731.8</v>
      </c>
      <c r="H29" s="13">
        <f t="shared" si="1"/>
        <v>1.5775777527818002E-2</v>
      </c>
      <c r="M29" s="22"/>
      <c r="N29" s="22" t="s">
        <v>89</v>
      </c>
      <c r="O29" s="22" t="s">
        <v>77</v>
      </c>
      <c r="P29" s="22" t="s">
        <v>90</v>
      </c>
      <c r="Q29" s="22" t="s">
        <v>91</v>
      </c>
      <c r="R29" s="22" t="s">
        <v>92</v>
      </c>
      <c r="S29" s="22" t="s">
        <v>93</v>
      </c>
      <c r="T29" s="22" t="s">
        <v>94</v>
      </c>
      <c r="U29" s="22" t="s">
        <v>95</v>
      </c>
    </row>
    <row r="30" spans="2:21" x14ac:dyDescent="0.3">
      <c r="B30" s="8">
        <v>45254</v>
      </c>
      <c r="C30">
        <v>1031.31102886808</v>
      </c>
      <c r="D30" s="13">
        <f t="shared" si="0"/>
        <v>2.8326778523304785E-2</v>
      </c>
      <c r="G30" s="12">
        <v>19794.7</v>
      </c>
      <c r="H30" s="13">
        <f t="shared" si="1"/>
        <v>3.1877476966115648E-3</v>
      </c>
      <c r="M30" s="20" t="s">
        <v>83</v>
      </c>
      <c r="N30" s="20">
        <v>2.5545493236983526E-3</v>
      </c>
      <c r="O30" s="20">
        <v>3.6719139316830846E-3</v>
      </c>
      <c r="P30" s="20">
        <v>0.69569967358342499</v>
      </c>
      <c r="Q30" s="20">
        <v>0.48824685777120647</v>
      </c>
      <c r="R30" s="20">
        <v>-4.7313245443135511E-3</v>
      </c>
      <c r="S30" s="20">
        <v>9.8404231917102562E-3</v>
      </c>
      <c r="T30" s="20">
        <v>-4.7313245443135511E-3</v>
      </c>
      <c r="U30" s="20">
        <v>9.8404231917102562E-3</v>
      </c>
    </row>
    <row r="31" spans="2:21" ht="15" thickBot="1" x14ac:dyDescent="0.35">
      <c r="B31" s="8">
        <v>45261</v>
      </c>
      <c r="C31">
        <v>1032.2596592683699</v>
      </c>
      <c r="D31" s="13">
        <f t="shared" si="0"/>
        <v>9.1982958946057458E-4</v>
      </c>
      <c r="G31" s="12">
        <v>20267.900000000001</v>
      </c>
      <c r="H31" s="13">
        <f t="shared" si="1"/>
        <v>2.3905388816198414E-2</v>
      </c>
      <c r="M31" s="21" t="s">
        <v>96</v>
      </c>
      <c r="N31" s="21">
        <v>1.0808850592341395</v>
      </c>
      <c r="O31" s="21">
        <v>0.21609787763151783</v>
      </c>
      <c r="P31" s="21">
        <v>5.0018309808540788</v>
      </c>
      <c r="Q31" s="21">
        <v>2.4626633152770553E-6</v>
      </c>
      <c r="R31" s="21">
        <v>0.65209998723583462</v>
      </c>
      <c r="S31" s="21">
        <v>1.5096701312324443</v>
      </c>
      <c r="T31" s="21">
        <v>0.65209998723583462</v>
      </c>
      <c r="U31" s="21">
        <v>1.5096701312324443</v>
      </c>
    </row>
    <row r="32" spans="2:21" x14ac:dyDescent="0.3">
      <c r="B32" s="8">
        <v>45268</v>
      </c>
      <c r="C32">
        <v>1015.93323080014</v>
      </c>
      <c r="D32" s="13">
        <f t="shared" si="0"/>
        <v>-1.5816203143888763E-2</v>
      </c>
      <c r="G32" s="12">
        <v>20969.400000000001</v>
      </c>
      <c r="H32" s="13">
        <f t="shared" si="1"/>
        <v>3.4611380557433069E-2</v>
      </c>
    </row>
    <row r="33" spans="2:8" x14ac:dyDescent="0.3">
      <c r="B33" s="8">
        <v>45275</v>
      </c>
      <c r="C33">
        <v>1024.92025564504</v>
      </c>
      <c r="D33" s="13">
        <f t="shared" si="0"/>
        <v>8.8460782386474701E-3</v>
      </c>
      <c r="G33" s="12">
        <v>21456.65</v>
      </c>
      <c r="H33" s="13">
        <f t="shared" si="1"/>
        <v>2.3236239472755438E-2</v>
      </c>
    </row>
    <row r="34" spans="2:8" x14ac:dyDescent="0.3">
      <c r="B34" s="8">
        <v>45282</v>
      </c>
      <c r="C34">
        <v>1064.8625882890401</v>
      </c>
      <c r="D34" s="13">
        <f t="shared" si="0"/>
        <v>3.8971161340608074E-2</v>
      </c>
      <c r="G34" s="12">
        <v>21349.4</v>
      </c>
      <c r="H34" s="13">
        <f t="shared" si="1"/>
        <v>-4.9984503638732525E-3</v>
      </c>
    </row>
    <row r="35" spans="2:8" x14ac:dyDescent="0.3">
      <c r="B35" s="8">
        <v>45289</v>
      </c>
      <c r="C35">
        <v>1082.4372146523999</v>
      </c>
      <c r="D35" s="13">
        <f t="shared" si="0"/>
        <v>1.6504126031507749E-2</v>
      </c>
      <c r="G35" s="12">
        <v>21731.4</v>
      </c>
      <c r="H35" s="13">
        <f t="shared" si="1"/>
        <v>1.7892774504201459E-2</v>
      </c>
    </row>
    <row r="36" spans="2:8" x14ac:dyDescent="0.3">
      <c r="B36" s="8">
        <v>45296</v>
      </c>
      <c r="C36">
        <v>1122.32961938059</v>
      </c>
      <c r="D36" s="13">
        <f t="shared" si="0"/>
        <v>3.6854243542430831E-2</v>
      </c>
      <c r="G36" s="12">
        <v>21710.799999999999</v>
      </c>
      <c r="H36" s="13">
        <f t="shared" si="1"/>
        <v>-9.479370864280412E-4</v>
      </c>
    </row>
    <row r="37" spans="2:8" x14ac:dyDescent="0.3">
      <c r="B37" s="8">
        <v>45303</v>
      </c>
      <c r="C37">
        <v>1093.27157238208</v>
      </c>
      <c r="D37" s="13">
        <f t="shared" si="0"/>
        <v>-2.5890831442680007E-2</v>
      </c>
      <c r="G37" s="12">
        <v>21894.55</v>
      </c>
      <c r="H37" s="13">
        <f t="shared" si="1"/>
        <v>8.4635296718684749E-3</v>
      </c>
    </row>
    <row r="38" spans="2:8" x14ac:dyDescent="0.3">
      <c r="B38" s="8">
        <v>45311</v>
      </c>
      <c r="C38">
        <v>1142.4006415342001</v>
      </c>
      <c r="D38" s="13">
        <f t="shared" si="0"/>
        <v>4.4937662693520064E-2</v>
      </c>
      <c r="G38" s="12">
        <v>21622.400000000001</v>
      </c>
      <c r="H38" s="13">
        <f t="shared" si="1"/>
        <v>-1.2430033958222397E-2</v>
      </c>
    </row>
    <row r="39" spans="2:8" x14ac:dyDescent="0.3">
      <c r="B39" s="8">
        <v>45316</v>
      </c>
      <c r="C39">
        <v>1149.1908380836801</v>
      </c>
      <c r="D39" s="13">
        <f t="shared" si="0"/>
        <v>5.9437961627550884E-3</v>
      </c>
      <c r="G39" s="12">
        <v>21352.6</v>
      </c>
      <c r="H39" s="13">
        <f t="shared" si="1"/>
        <v>-1.2477800799171379E-2</v>
      </c>
    </row>
    <row r="40" spans="2:8" x14ac:dyDescent="0.3">
      <c r="B40" s="8">
        <v>45324</v>
      </c>
      <c r="C40">
        <v>1065.2120836996701</v>
      </c>
      <c r="D40" s="13">
        <f t="shared" si="0"/>
        <v>-7.307642177521001E-2</v>
      </c>
      <c r="G40" s="12">
        <v>21853.8</v>
      </c>
      <c r="H40" s="13">
        <f t="shared" si="1"/>
        <v>2.3472551352060167E-2</v>
      </c>
    </row>
    <row r="41" spans="2:8" x14ac:dyDescent="0.3">
      <c r="B41" s="8">
        <v>45331</v>
      </c>
      <c r="C41">
        <v>1001.70377479571</v>
      </c>
      <c r="D41" s="13">
        <f t="shared" si="0"/>
        <v>-5.9620342160768947E-2</v>
      </c>
      <c r="G41" s="12">
        <v>21782.5</v>
      </c>
      <c r="H41" s="13">
        <f t="shared" si="1"/>
        <v>-3.2625904876955047E-3</v>
      </c>
    </row>
    <row r="42" spans="2:8" x14ac:dyDescent="0.3">
      <c r="B42" s="8">
        <v>45338</v>
      </c>
      <c r="C42">
        <v>1032.7090105106199</v>
      </c>
      <c r="D42" s="13">
        <f t="shared" si="0"/>
        <v>3.0952499626182517E-2</v>
      </c>
      <c r="G42" s="12">
        <v>22040.7</v>
      </c>
      <c r="H42" s="13">
        <f t="shared" si="1"/>
        <v>1.1853552163433978E-2</v>
      </c>
    </row>
    <row r="43" spans="2:8" x14ac:dyDescent="0.3">
      <c r="B43" s="8">
        <v>45345</v>
      </c>
      <c r="C43">
        <v>1043.8</v>
      </c>
      <c r="D43" s="13">
        <f t="shared" si="0"/>
        <v>1.0739704385745785E-2</v>
      </c>
      <c r="G43" s="12">
        <v>22212.7</v>
      </c>
      <c r="H43" s="13">
        <f t="shared" si="1"/>
        <v>7.8037448901351336E-3</v>
      </c>
    </row>
    <row r="44" spans="2:8" x14ac:dyDescent="0.3">
      <c r="B44" s="8">
        <v>45353</v>
      </c>
      <c r="C44">
        <v>1076.95</v>
      </c>
      <c r="D44" s="13">
        <f t="shared" si="0"/>
        <v>3.1758957654723252E-2</v>
      </c>
      <c r="G44" s="12">
        <v>22338.75</v>
      </c>
      <c r="H44" s="13">
        <f t="shared" si="1"/>
        <v>5.6746816010659895E-3</v>
      </c>
    </row>
    <row r="45" spans="2:8" x14ac:dyDescent="0.3">
      <c r="B45" s="8">
        <v>45358</v>
      </c>
      <c r="C45">
        <v>1058.8499999999999</v>
      </c>
      <c r="D45" s="13">
        <f t="shared" si="0"/>
        <v>-1.6806722689075793E-2</v>
      </c>
      <c r="G45" s="12">
        <v>22493.55</v>
      </c>
      <c r="H45" s="13">
        <f t="shared" si="1"/>
        <v>6.929662581836471E-3</v>
      </c>
    </row>
    <row r="46" spans="2:8" x14ac:dyDescent="0.3">
      <c r="B46" s="8">
        <v>45366</v>
      </c>
      <c r="C46">
        <v>1001.35</v>
      </c>
      <c r="D46" s="13">
        <f t="shared" si="0"/>
        <v>-5.4304197950606703E-2</v>
      </c>
      <c r="G46" s="12">
        <v>22023.35</v>
      </c>
      <c r="H46" s="13">
        <f t="shared" si="1"/>
        <v>-2.0903770191899484E-2</v>
      </c>
    </row>
    <row r="47" spans="2:8" x14ac:dyDescent="0.3">
      <c r="B47" s="8">
        <v>45373</v>
      </c>
      <c r="C47">
        <v>1019.85</v>
      </c>
      <c r="D47" s="13">
        <f t="shared" si="0"/>
        <v>1.8475058670794464E-2</v>
      </c>
      <c r="G47" s="12">
        <v>22096.75</v>
      </c>
      <c r="H47" s="13">
        <f t="shared" si="1"/>
        <v>3.3328262957270649E-3</v>
      </c>
    </row>
    <row r="48" spans="2:8" x14ac:dyDescent="0.3">
      <c r="B48" s="8">
        <v>45379</v>
      </c>
      <c r="C48">
        <v>1088.75</v>
      </c>
      <c r="D48" s="13">
        <f t="shared" si="0"/>
        <v>6.7558954748247357E-2</v>
      </c>
      <c r="G48" s="12">
        <v>22326.9</v>
      </c>
      <c r="H48" s="13">
        <f t="shared" si="1"/>
        <v>1.0415558849152129E-2</v>
      </c>
    </row>
    <row r="49" spans="2:8" x14ac:dyDescent="0.3">
      <c r="B49" s="8">
        <v>45387</v>
      </c>
      <c r="C49">
        <v>1123.7</v>
      </c>
      <c r="D49" s="13">
        <f t="shared" si="0"/>
        <v>3.2101033295063086E-2</v>
      </c>
      <c r="G49" s="12">
        <v>22513.7</v>
      </c>
      <c r="H49" s="13">
        <f t="shared" si="1"/>
        <v>8.3665891816597782E-3</v>
      </c>
    </row>
    <row r="50" spans="2:8" x14ac:dyDescent="0.3">
      <c r="B50" s="8">
        <v>45394</v>
      </c>
      <c r="C50">
        <v>1088.45</v>
      </c>
      <c r="D50" s="13">
        <f t="shared" si="0"/>
        <v>-3.1369582628815507E-2</v>
      </c>
      <c r="G50" s="12">
        <v>22519.400389999999</v>
      </c>
      <c r="H50" s="13">
        <f t="shared" si="1"/>
        <v>2.5319649813226874E-4</v>
      </c>
    </row>
    <row r="51" spans="2:8" x14ac:dyDescent="0.3">
      <c r="B51" s="8">
        <v>45401</v>
      </c>
      <c r="C51">
        <v>1087.05</v>
      </c>
      <c r="D51" s="13">
        <f t="shared" si="0"/>
        <v>-1.2862327162479481E-3</v>
      </c>
      <c r="G51" s="12">
        <v>22147</v>
      </c>
      <c r="H51" s="13">
        <f t="shared" si="1"/>
        <v>-1.6536869701262891E-2</v>
      </c>
    </row>
    <row r="52" spans="2:8" x14ac:dyDescent="0.3">
      <c r="B52" s="8">
        <v>45408</v>
      </c>
      <c r="C52">
        <v>1131.3</v>
      </c>
      <c r="D52" s="13">
        <f t="shared" si="0"/>
        <v>4.0706499241065286E-2</v>
      </c>
      <c r="G52" s="12">
        <v>22419.949219999999</v>
      </c>
      <c r="H52" s="13">
        <f t="shared" si="1"/>
        <v>1.2324433106063903E-2</v>
      </c>
    </row>
    <row r="53" spans="2:8" x14ac:dyDescent="0.3">
      <c r="B53" s="8">
        <v>45415</v>
      </c>
      <c r="C53">
        <v>1151.6500000000001</v>
      </c>
      <c r="D53" s="13">
        <f t="shared" si="0"/>
        <v>1.7988155219659019E-2</v>
      </c>
      <c r="G53" s="12">
        <v>22475.849610000001</v>
      </c>
      <c r="H53" s="13">
        <f t="shared" si="1"/>
        <v>2.4933325874858525E-3</v>
      </c>
    </row>
    <row r="54" spans="2:8" x14ac:dyDescent="0.3">
      <c r="B54" s="8">
        <v>45422</v>
      </c>
      <c r="C54">
        <v>1127.55</v>
      </c>
      <c r="D54" s="13">
        <f t="shared" si="0"/>
        <v>-2.0926496765510505E-2</v>
      </c>
      <c r="G54" s="12">
        <v>22055.199219999999</v>
      </c>
      <c r="H54" s="13">
        <f t="shared" si="1"/>
        <v>-1.871566135648306E-2</v>
      </c>
    </row>
    <row r="55" spans="2:8" x14ac:dyDescent="0.3">
      <c r="B55" s="8">
        <v>45430</v>
      </c>
      <c r="C55">
        <v>1202.4000000000001</v>
      </c>
      <c r="D55" s="13">
        <f t="shared" si="0"/>
        <v>6.6382865504855726E-2</v>
      </c>
      <c r="G55" s="12">
        <v>22464.800780000001</v>
      </c>
      <c r="H55" s="13">
        <f t="shared" si="1"/>
        <v>1.8571655413956556E-2</v>
      </c>
    </row>
    <row r="56" spans="2:8" x14ac:dyDescent="0.3">
      <c r="B56" s="8">
        <v>45436</v>
      </c>
      <c r="C56">
        <v>1235.05</v>
      </c>
      <c r="D56" s="13">
        <f t="shared" si="0"/>
        <v>2.715402528276778E-2</v>
      </c>
      <c r="G56" s="12">
        <v>22957.099610000001</v>
      </c>
      <c r="H56" s="13">
        <f t="shared" si="1"/>
        <v>2.1914230836993953E-2</v>
      </c>
    </row>
    <row r="57" spans="2:8" x14ac:dyDescent="0.3">
      <c r="B57" s="8">
        <v>45443</v>
      </c>
      <c r="C57">
        <v>1185.7</v>
      </c>
      <c r="D57" s="13">
        <f t="shared" si="0"/>
        <v>-3.9957896441439544E-2</v>
      </c>
      <c r="G57" s="12">
        <v>22530.699219999999</v>
      </c>
      <c r="H57" s="13">
        <f t="shared" si="1"/>
        <v>-1.8573791865862055E-2</v>
      </c>
    </row>
    <row r="58" spans="2:8" x14ac:dyDescent="0.3">
      <c r="B58" s="8">
        <v>45450</v>
      </c>
      <c r="C58">
        <v>1265.1500000000001</v>
      </c>
      <c r="D58" s="13">
        <f t="shared" si="0"/>
        <v>6.7006831407607326E-2</v>
      </c>
      <c r="G58" s="12">
        <v>23290.150389999999</v>
      </c>
      <c r="H58" s="13">
        <f t="shared" si="1"/>
        <v>3.3707394634510557E-2</v>
      </c>
    </row>
    <row r="59" spans="2:8" x14ac:dyDescent="0.3">
      <c r="B59" s="8">
        <v>45457</v>
      </c>
      <c r="C59">
        <v>1259</v>
      </c>
      <c r="D59" s="13">
        <f t="shared" si="0"/>
        <v>-4.8610836659684908E-3</v>
      </c>
      <c r="G59" s="12">
        <v>23465.599610000001</v>
      </c>
      <c r="H59" s="13">
        <f t="shared" si="1"/>
        <v>7.5331939494618361E-3</v>
      </c>
    </row>
    <row r="60" spans="2:8" x14ac:dyDescent="0.3">
      <c r="B60" s="8">
        <v>45464</v>
      </c>
      <c r="C60">
        <v>1241.0999999999999</v>
      </c>
      <c r="D60" s="13">
        <f t="shared" si="0"/>
        <v>-1.4217633042097E-2</v>
      </c>
      <c r="G60" s="12">
        <v>23501.099610000001</v>
      </c>
      <c r="H60" s="13">
        <f t="shared" si="1"/>
        <v>1.5128528820917975E-3</v>
      </c>
    </row>
    <row r="61" spans="2:8" x14ac:dyDescent="0.3">
      <c r="B61" s="8">
        <v>45471</v>
      </c>
      <c r="C61">
        <v>1207.5999999999999</v>
      </c>
      <c r="D61" s="13">
        <f t="shared" si="0"/>
        <v>-2.6992184352590431E-2</v>
      </c>
      <c r="G61" s="12">
        <v>24010.599610000001</v>
      </c>
      <c r="H61" s="13">
        <f t="shared" si="1"/>
        <v>2.1679836622759519E-2</v>
      </c>
    </row>
    <row r="62" spans="2:8" x14ac:dyDescent="0.3">
      <c r="B62" s="8">
        <v>45478</v>
      </c>
      <c r="C62">
        <v>1303.55</v>
      </c>
      <c r="D62" s="13">
        <f t="shared" si="0"/>
        <v>7.9455117588605573E-2</v>
      </c>
      <c r="G62" s="12">
        <v>24323.849610000001</v>
      </c>
      <c r="H62" s="13">
        <f t="shared" si="1"/>
        <v>1.3046321420042251E-2</v>
      </c>
    </row>
    <row r="63" spans="2:8" x14ac:dyDescent="0.3">
      <c r="B63" s="8">
        <v>45485</v>
      </c>
      <c r="C63">
        <v>1326.85</v>
      </c>
      <c r="D63" s="13">
        <f t="shared" si="0"/>
        <v>1.7874266426297414E-2</v>
      </c>
      <c r="G63" s="12">
        <v>24502.150389999999</v>
      </c>
      <c r="H63" s="13">
        <f t="shared" si="1"/>
        <v>7.3302862358881615E-3</v>
      </c>
    </row>
    <row r="64" spans="2:8" x14ac:dyDescent="0.3">
      <c r="B64" s="8">
        <v>45492</v>
      </c>
      <c r="C64">
        <v>1330.8</v>
      </c>
      <c r="D64" s="13">
        <f t="shared" si="0"/>
        <v>2.9769755435806733E-3</v>
      </c>
      <c r="G64" s="12">
        <v>24530.900389999999</v>
      </c>
      <c r="H64" s="13">
        <f t="shared" si="1"/>
        <v>1.1733664001889466E-3</v>
      </c>
    </row>
    <row r="65" spans="2:8" x14ac:dyDescent="0.3">
      <c r="B65" s="8">
        <v>45499</v>
      </c>
      <c r="C65">
        <v>1386.2</v>
      </c>
      <c r="D65" s="13">
        <f t="shared" si="0"/>
        <v>4.162909528103409E-2</v>
      </c>
      <c r="G65" s="12">
        <v>24834.849610000001</v>
      </c>
      <c r="H65" s="13">
        <f t="shared" si="1"/>
        <v>1.2390463259306594E-2</v>
      </c>
    </row>
    <row r="66" spans="2:8" x14ac:dyDescent="0.3">
      <c r="B66" s="8">
        <v>45506</v>
      </c>
      <c r="C66">
        <v>1443.3</v>
      </c>
      <c r="D66" s="13">
        <f t="shared" si="0"/>
        <v>4.1191747222622865E-2</v>
      </c>
      <c r="G66" s="12">
        <v>24717.699219999999</v>
      </c>
      <c r="H66" s="13">
        <f t="shared" si="1"/>
        <v>-4.7171773471432754E-3</v>
      </c>
    </row>
    <row r="67" spans="2:8" x14ac:dyDescent="0.3">
      <c r="B67" s="8">
        <v>45513</v>
      </c>
      <c r="C67">
        <v>1449.7</v>
      </c>
      <c r="D67" s="13">
        <f t="shared" si="0"/>
        <v>4.4342825469410041E-3</v>
      </c>
      <c r="G67" s="12">
        <v>24367.5</v>
      </c>
      <c r="H67" s="13">
        <f t="shared" si="1"/>
        <v>-1.41679537760796E-2</v>
      </c>
    </row>
    <row r="68" spans="2:8" x14ac:dyDescent="0.3">
      <c r="B68" s="8">
        <v>45520</v>
      </c>
      <c r="C68">
        <v>1502.75</v>
      </c>
      <c r="D68" s="13">
        <f t="shared" si="0"/>
        <v>3.6593778023039203E-2</v>
      </c>
      <c r="G68" s="12">
        <v>24541.150389999999</v>
      </c>
      <c r="H68" s="13">
        <f t="shared" si="1"/>
        <v>7.1263112752641966E-3</v>
      </c>
    </row>
    <row r="69" spans="2:8" x14ac:dyDescent="0.3">
      <c r="B69" s="8">
        <v>45527</v>
      </c>
      <c r="C69">
        <v>1538.2</v>
      </c>
      <c r="D69" s="13">
        <f t="shared" si="0"/>
        <v>2.3590084844451908E-2</v>
      </c>
      <c r="G69" s="12">
        <v>24823.150389999999</v>
      </c>
      <c r="H69" s="13">
        <f t="shared" si="1"/>
        <v>1.1490903870378766E-2</v>
      </c>
    </row>
    <row r="70" spans="2:8" x14ac:dyDescent="0.3">
      <c r="B70" s="8">
        <v>45534</v>
      </c>
      <c r="C70">
        <v>1569.4</v>
      </c>
      <c r="D70" s="13">
        <f t="shared" si="0"/>
        <v>2.0283448186191766E-2</v>
      </c>
      <c r="G70" s="12">
        <v>25235.900389999999</v>
      </c>
      <c r="H70" s="13">
        <f t="shared" si="1"/>
        <v>1.6627623549599013E-2</v>
      </c>
    </row>
    <row r="71" spans="2:8" x14ac:dyDescent="0.3">
      <c r="B71" s="8">
        <v>45541</v>
      </c>
      <c r="C71">
        <v>1537.4</v>
      </c>
      <c r="D71" s="13">
        <f t="shared" si="0"/>
        <v>-2.0389957945711745E-2</v>
      </c>
      <c r="G71" s="12">
        <v>24852.150389999999</v>
      </c>
      <c r="H71" s="13">
        <f t="shared" si="1"/>
        <v>-1.5206511123814104E-2</v>
      </c>
    </row>
    <row r="72" spans="2:8" x14ac:dyDescent="0.3">
      <c r="B72" s="8">
        <v>45548</v>
      </c>
      <c r="C72">
        <v>1567.25</v>
      </c>
      <c r="D72" s="13">
        <f t="shared" si="0"/>
        <v>1.9415896968908442E-2</v>
      </c>
      <c r="G72" s="12">
        <v>25356.5</v>
      </c>
      <c r="H72" s="13">
        <f t="shared" si="1"/>
        <v>2.0294002816067858E-2</v>
      </c>
    </row>
    <row r="73" spans="2:8" x14ac:dyDescent="0.3">
      <c r="B73" s="8">
        <v>45555</v>
      </c>
      <c r="C73">
        <v>1496.35</v>
      </c>
      <c r="D73" s="13">
        <f t="shared" si="0"/>
        <v>-4.5238475035890957E-2</v>
      </c>
      <c r="G73" s="12">
        <v>25790.949219999999</v>
      </c>
      <c r="H73" s="13">
        <f t="shared" si="1"/>
        <v>1.7133643050105452E-2</v>
      </c>
    </row>
    <row r="74" spans="2:8" x14ac:dyDescent="0.3">
      <c r="B74" s="8">
        <v>45562</v>
      </c>
      <c r="C74">
        <v>1511.35</v>
      </c>
      <c r="D74" s="13">
        <f t="shared" ref="D74:D109" si="2">C74/C73-1</f>
        <v>1.0024392688876338E-2</v>
      </c>
      <c r="G74" s="12">
        <v>26178.949219999999</v>
      </c>
      <c r="H74" s="13">
        <f t="shared" ref="H74:H109" si="3">G74/G73-1</f>
        <v>1.5044037219813511E-2</v>
      </c>
    </row>
    <row r="75" spans="2:8" x14ac:dyDescent="0.3">
      <c r="B75" s="8">
        <v>45569</v>
      </c>
      <c r="C75">
        <v>1466.05</v>
      </c>
      <c r="D75" s="13">
        <f t="shared" si="2"/>
        <v>-2.9973202765739226E-2</v>
      </c>
      <c r="G75" s="12">
        <v>25014.599610000001</v>
      </c>
      <c r="H75" s="13">
        <f t="shared" si="3"/>
        <v>-4.4476560163479228E-2</v>
      </c>
    </row>
    <row r="76" spans="2:8" x14ac:dyDescent="0.3">
      <c r="B76" s="8">
        <v>45576</v>
      </c>
      <c r="C76">
        <v>1495.85</v>
      </c>
      <c r="D76" s="13">
        <f t="shared" si="2"/>
        <v>2.0326728283482698E-2</v>
      </c>
      <c r="G76" s="12">
        <v>24964.25</v>
      </c>
      <c r="H76" s="13">
        <f t="shared" si="3"/>
        <v>-2.0128089509724445E-3</v>
      </c>
    </row>
    <row r="77" spans="2:8" x14ac:dyDescent="0.3">
      <c r="B77" s="8">
        <v>45583</v>
      </c>
      <c r="C77">
        <v>1472.7</v>
      </c>
      <c r="D77" s="13">
        <f t="shared" si="2"/>
        <v>-1.5476150683557788E-2</v>
      </c>
      <c r="G77" s="12">
        <v>24854.050780000001</v>
      </c>
      <c r="H77" s="13">
        <f t="shared" si="3"/>
        <v>-4.414281222147598E-3</v>
      </c>
    </row>
    <row r="78" spans="2:8" x14ac:dyDescent="0.3">
      <c r="B78" s="8">
        <v>45590</v>
      </c>
      <c r="C78">
        <v>1428.15</v>
      </c>
      <c r="D78" s="13">
        <f t="shared" si="2"/>
        <v>-3.0250560195559162E-2</v>
      </c>
      <c r="G78" s="12">
        <v>24180.800780000001</v>
      </c>
      <c r="H78" s="13">
        <f t="shared" si="3"/>
        <v>-2.7088139714503301E-2</v>
      </c>
    </row>
    <row r="79" spans="2:8" x14ac:dyDescent="0.3">
      <c r="B79" s="8">
        <v>45597</v>
      </c>
      <c r="C79">
        <v>1400.7</v>
      </c>
      <c r="D79" s="13">
        <f t="shared" si="2"/>
        <v>-1.9220670097678805E-2</v>
      </c>
      <c r="G79" s="12">
        <v>24304.349610000001</v>
      </c>
      <c r="H79" s="13">
        <f t="shared" si="3"/>
        <v>5.1093771097185936E-3</v>
      </c>
    </row>
    <row r="80" spans="2:8" x14ac:dyDescent="0.3">
      <c r="B80" s="8">
        <v>45604</v>
      </c>
      <c r="C80">
        <v>1327.55</v>
      </c>
      <c r="D80" s="13">
        <f t="shared" si="2"/>
        <v>-5.2223888055972112E-2</v>
      </c>
      <c r="G80" s="12">
        <v>24148.199219999999</v>
      </c>
      <c r="H80" s="13">
        <f t="shared" si="3"/>
        <v>-6.424791961343157E-3</v>
      </c>
    </row>
    <row r="81" spans="2:8" x14ac:dyDescent="0.3">
      <c r="B81" s="8">
        <v>45610</v>
      </c>
      <c r="C81">
        <v>1249</v>
      </c>
      <c r="D81" s="13">
        <f t="shared" si="2"/>
        <v>-5.9169146171518916E-2</v>
      </c>
      <c r="G81" s="12">
        <v>23555.5</v>
      </c>
      <c r="H81" s="13">
        <f t="shared" si="3"/>
        <v>-2.4544240943196849E-2</v>
      </c>
    </row>
    <row r="82" spans="2:8" x14ac:dyDescent="0.3">
      <c r="B82" s="8">
        <v>45618</v>
      </c>
      <c r="C82">
        <v>1223.7</v>
      </c>
      <c r="D82" s="13">
        <f t="shared" si="2"/>
        <v>-2.0256204963971181E-2</v>
      </c>
      <c r="G82" s="12">
        <v>23349.900389999999</v>
      </c>
      <c r="H82" s="13">
        <f t="shared" si="3"/>
        <v>-8.7283059158158594E-3</v>
      </c>
    </row>
    <row r="83" spans="2:8" x14ac:dyDescent="0.3">
      <c r="B83" s="8">
        <v>45625</v>
      </c>
      <c r="C83">
        <v>1262.5999999999999</v>
      </c>
      <c r="D83" s="13">
        <f t="shared" si="2"/>
        <v>3.1788837133284176E-2</v>
      </c>
      <c r="G83" s="12">
        <v>23914.150389999999</v>
      </c>
      <c r="H83" s="13">
        <f t="shared" si="3"/>
        <v>2.4164985313669618E-2</v>
      </c>
    </row>
    <row r="84" spans="2:8" x14ac:dyDescent="0.3">
      <c r="B84" s="8">
        <v>45632</v>
      </c>
      <c r="C84">
        <v>1246.2</v>
      </c>
      <c r="D84" s="13">
        <f t="shared" si="2"/>
        <v>-1.2989070172659489E-2</v>
      </c>
      <c r="G84" s="12">
        <v>24708.400389999999</v>
      </c>
      <c r="H84" s="13">
        <f t="shared" si="3"/>
        <v>3.3212553531992706E-2</v>
      </c>
    </row>
    <row r="85" spans="2:8" x14ac:dyDescent="0.3">
      <c r="B85" s="8">
        <v>45639</v>
      </c>
      <c r="C85">
        <v>1208.4000000000001</v>
      </c>
      <c r="D85" s="13">
        <f t="shared" si="2"/>
        <v>-3.033220991815111E-2</v>
      </c>
      <c r="G85" s="12">
        <v>24548.699219999999</v>
      </c>
      <c r="H85" s="13">
        <f t="shared" si="3"/>
        <v>-6.4634362192315109E-3</v>
      </c>
    </row>
    <row r="86" spans="2:8" x14ac:dyDescent="0.3">
      <c r="B86" s="8">
        <v>45646</v>
      </c>
      <c r="C86">
        <v>1241.7</v>
      </c>
      <c r="D86" s="13">
        <f t="shared" si="2"/>
        <v>2.7557100297914472E-2</v>
      </c>
      <c r="G86" s="12">
        <v>23951.699219999999</v>
      </c>
      <c r="H86" s="13">
        <f t="shared" si="3"/>
        <v>-2.4319007481814703E-2</v>
      </c>
    </row>
    <row r="87" spans="2:8" x14ac:dyDescent="0.3">
      <c r="B87" s="8">
        <v>45653</v>
      </c>
      <c r="C87">
        <v>1269.95</v>
      </c>
      <c r="D87" s="13">
        <f t="shared" si="2"/>
        <v>2.2751067085447385E-2</v>
      </c>
      <c r="G87" s="12">
        <v>23750.199219999999</v>
      </c>
      <c r="H87" s="13">
        <f t="shared" si="3"/>
        <v>-8.4127642948916836E-3</v>
      </c>
    </row>
    <row r="88" spans="2:8" x14ac:dyDescent="0.3">
      <c r="B88" s="8">
        <v>45660</v>
      </c>
      <c r="C88">
        <v>1319.45</v>
      </c>
      <c r="D88" s="13">
        <f t="shared" si="2"/>
        <v>3.8977912516240831E-2</v>
      </c>
      <c r="G88" s="12">
        <v>24188.650389999999</v>
      </c>
      <c r="H88" s="13">
        <f t="shared" si="3"/>
        <v>1.8460947040426667E-2</v>
      </c>
    </row>
    <row r="89" spans="2:8" x14ac:dyDescent="0.3">
      <c r="B89" s="8">
        <v>45667</v>
      </c>
      <c r="C89">
        <v>1199.55</v>
      </c>
      <c r="D89" s="13">
        <f t="shared" si="2"/>
        <v>-9.087119633180496E-2</v>
      </c>
      <c r="G89" s="12">
        <v>23526.5</v>
      </c>
      <c r="H89" s="13">
        <f t="shared" si="3"/>
        <v>-2.737442475392271E-2</v>
      </c>
    </row>
    <row r="90" spans="2:8" x14ac:dyDescent="0.3">
      <c r="B90" s="8">
        <v>45674</v>
      </c>
      <c r="C90">
        <v>1178.3499999999999</v>
      </c>
      <c r="D90" s="13">
        <f t="shared" si="2"/>
        <v>-1.7673294151973717E-2</v>
      </c>
      <c r="G90" s="12">
        <v>23311.800780000001</v>
      </c>
      <c r="H90" s="13">
        <f t="shared" si="3"/>
        <v>-9.1258461734639029E-3</v>
      </c>
    </row>
    <row r="91" spans="2:8" x14ac:dyDescent="0.3">
      <c r="B91" s="8">
        <v>45681</v>
      </c>
      <c r="C91">
        <v>1212.2</v>
      </c>
      <c r="D91" s="13">
        <f t="shared" si="2"/>
        <v>2.8726609241736423E-2</v>
      </c>
      <c r="G91" s="12">
        <v>23205.349610000001</v>
      </c>
      <c r="H91" s="13">
        <f t="shared" si="3"/>
        <v>-4.5664069886581782E-3</v>
      </c>
    </row>
    <row r="92" spans="2:8" x14ac:dyDescent="0.3">
      <c r="B92" s="8">
        <v>45689</v>
      </c>
      <c r="C92">
        <v>1142.5999999999999</v>
      </c>
      <c r="D92" s="13">
        <f t="shared" si="2"/>
        <v>-5.741626794258381E-2</v>
      </c>
      <c r="G92" s="12">
        <v>23508.400389999999</v>
      </c>
      <c r="H92" s="13">
        <f t="shared" si="3"/>
        <v>1.3059522269356583E-2</v>
      </c>
    </row>
    <row r="93" spans="2:8" x14ac:dyDescent="0.3">
      <c r="B93" s="8">
        <v>45695</v>
      </c>
      <c r="C93">
        <v>1191.7</v>
      </c>
      <c r="D93" s="13">
        <f t="shared" si="2"/>
        <v>4.2972168737966054E-2</v>
      </c>
      <c r="G93" s="12">
        <v>23603.349610000001</v>
      </c>
      <c r="H93" s="13">
        <f t="shared" si="3"/>
        <v>4.0389485641223466E-3</v>
      </c>
    </row>
    <row r="94" spans="2:8" x14ac:dyDescent="0.3">
      <c r="B94" s="8">
        <v>45702</v>
      </c>
      <c r="C94">
        <v>1131.3499999999999</v>
      </c>
      <c r="D94" s="13">
        <f t="shared" si="2"/>
        <v>-5.0641940085592085E-2</v>
      </c>
      <c r="G94" s="12">
        <v>23031.400389999999</v>
      </c>
      <c r="H94" s="13">
        <f t="shared" si="3"/>
        <v>-2.4231697172238831E-2</v>
      </c>
    </row>
    <row r="95" spans="2:8" x14ac:dyDescent="0.3">
      <c r="B95" s="8">
        <v>45709</v>
      </c>
      <c r="C95">
        <v>1115.1500000000001</v>
      </c>
      <c r="D95" s="13">
        <f t="shared" si="2"/>
        <v>-1.4319176205418116E-2</v>
      </c>
      <c r="G95" s="12">
        <v>22913.150389999999</v>
      </c>
      <c r="H95" s="13">
        <f t="shared" si="3"/>
        <v>-5.1342948321693171E-3</v>
      </c>
    </row>
    <row r="96" spans="2:8" x14ac:dyDescent="0.3">
      <c r="B96" s="8">
        <v>45716</v>
      </c>
      <c r="C96">
        <v>1058.3</v>
      </c>
      <c r="D96" s="13">
        <f t="shared" si="2"/>
        <v>-5.0979688831099046E-2</v>
      </c>
      <c r="G96" s="12">
        <v>22545.050780000001</v>
      </c>
      <c r="H96" s="13">
        <f t="shared" si="3"/>
        <v>-1.6064993409227846E-2</v>
      </c>
    </row>
    <row r="97" spans="2:8" x14ac:dyDescent="0.3">
      <c r="B97" s="8">
        <v>45723</v>
      </c>
      <c r="C97">
        <v>1097.4000000000001</v>
      </c>
      <c r="D97" s="13">
        <f t="shared" si="2"/>
        <v>3.6946045544741679E-2</v>
      </c>
      <c r="G97" s="12">
        <v>22544.699219999999</v>
      </c>
      <c r="H97" s="13">
        <f t="shared" si="3"/>
        <v>-1.559366636316728E-5</v>
      </c>
    </row>
    <row r="98" spans="2:8" x14ac:dyDescent="0.3">
      <c r="B98" s="8">
        <v>45729</v>
      </c>
      <c r="C98">
        <v>1094.75</v>
      </c>
      <c r="D98" s="13">
        <f t="shared" si="2"/>
        <v>-2.4147986149080092E-3</v>
      </c>
      <c r="G98" s="12">
        <v>22470.5</v>
      </c>
      <c r="H98" s="13">
        <f t="shared" si="3"/>
        <v>-3.2912046985383858E-3</v>
      </c>
    </row>
    <row r="99" spans="2:8" x14ac:dyDescent="0.3">
      <c r="B99" s="8">
        <v>45737</v>
      </c>
      <c r="C99">
        <v>1200.3499999999999</v>
      </c>
      <c r="D99" s="13">
        <f t="shared" si="2"/>
        <v>9.6460379081982017E-2</v>
      </c>
      <c r="G99" s="12">
        <v>23190.650389999999</v>
      </c>
      <c r="H99" s="13">
        <f t="shared" si="3"/>
        <v>3.2048703411138968E-2</v>
      </c>
    </row>
    <row r="100" spans="2:8" x14ac:dyDescent="0.3">
      <c r="B100" s="8">
        <v>45744</v>
      </c>
      <c r="C100">
        <v>1160.5</v>
      </c>
      <c r="D100" s="13">
        <f t="shared" si="2"/>
        <v>-3.3198650393635121E-2</v>
      </c>
      <c r="G100" s="12">
        <v>23591.949219999999</v>
      </c>
      <c r="H100" s="13">
        <f t="shared" si="3"/>
        <v>1.7304337017345794E-2</v>
      </c>
    </row>
    <row r="101" spans="2:8" x14ac:dyDescent="0.3">
      <c r="B101" s="8">
        <v>45751</v>
      </c>
      <c r="C101">
        <v>1105.3499999999999</v>
      </c>
      <c r="D101" s="13">
        <f t="shared" si="2"/>
        <v>-4.7522619560534385E-2</v>
      </c>
      <c r="G101" s="12">
        <v>23250.099610000001</v>
      </c>
      <c r="H101" s="13">
        <f t="shared" si="3"/>
        <v>-1.449009604133078E-2</v>
      </c>
    </row>
    <row r="102" spans="2:8" x14ac:dyDescent="0.3">
      <c r="B102" s="8">
        <v>45758</v>
      </c>
      <c r="C102">
        <v>1082.45</v>
      </c>
      <c r="D102" s="13">
        <f t="shared" si="2"/>
        <v>-2.0717419821775773E-2</v>
      </c>
      <c r="G102" s="12">
        <v>22535.849610000001</v>
      </c>
      <c r="H102" s="13">
        <f t="shared" si="3"/>
        <v>-3.0720298492519005E-2</v>
      </c>
    </row>
    <row r="103" spans="2:8" x14ac:dyDescent="0.3">
      <c r="B103" s="8">
        <v>45764</v>
      </c>
      <c r="C103">
        <v>1171.5999999999999</v>
      </c>
      <c r="D103" s="13">
        <f t="shared" si="2"/>
        <v>8.2359462330823474E-2</v>
      </c>
      <c r="G103" s="12">
        <v>23437.199219999999</v>
      </c>
      <c r="H103" s="13">
        <f t="shared" si="3"/>
        <v>3.9996255992054364E-2</v>
      </c>
    </row>
    <row r="104" spans="2:8" x14ac:dyDescent="0.3">
      <c r="B104" s="8">
        <v>45772</v>
      </c>
      <c r="C104">
        <v>1220.0999999999999</v>
      </c>
      <c r="D104" s="13">
        <f t="shared" si="2"/>
        <v>4.1396381017412054E-2</v>
      </c>
      <c r="G104" s="12">
        <v>24246.699219999999</v>
      </c>
      <c r="H104" s="13">
        <f t="shared" si="3"/>
        <v>3.4539109916735145E-2</v>
      </c>
    </row>
    <row r="105" spans="2:8" x14ac:dyDescent="0.3">
      <c r="B105" s="8">
        <v>45779</v>
      </c>
      <c r="C105">
        <v>1211.9000000000001</v>
      </c>
      <c r="D105" s="13">
        <f t="shared" si="2"/>
        <v>-6.7207605933938819E-3</v>
      </c>
      <c r="G105" s="12">
        <v>24335.949219999999</v>
      </c>
      <c r="H105" s="13">
        <f t="shared" si="3"/>
        <v>3.6809133973330077E-3</v>
      </c>
    </row>
    <row r="106" spans="2:8" x14ac:dyDescent="0.3">
      <c r="B106" s="8">
        <v>45786</v>
      </c>
      <c r="C106">
        <v>1164.4000000000001</v>
      </c>
      <c r="D106" s="13">
        <f t="shared" si="2"/>
        <v>-3.9194653024176906E-2</v>
      </c>
      <c r="G106" s="12">
        <v>24273.800780000001</v>
      </c>
      <c r="H106" s="13">
        <f t="shared" si="3"/>
        <v>-2.5537709434781952E-3</v>
      </c>
    </row>
    <row r="107" spans="2:8" x14ac:dyDescent="0.3">
      <c r="B107" s="8">
        <v>45793</v>
      </c>
      <c r="C107">
        <v>1201.2</v>
      </c>
      <c r="D107" s="13">
        <f t="shared" si="2"/>
        <v>3.1604259704568927E-2</v>
      </c>
      <c r="G107" s="12">
        <v>25062.099610000001</v>
      </c>
      <c r="H107" s="13">
        <f t="shared" si="3"/>
        <v>3.2475294542645639E-2</v>
      </c>
    </row>
    <row r="108" spans="2:8" x14ac:dyDescent="0.3">
      <c r="B108" s="8">
        <v>45800</v>
      </c>
      <c r="C108">
        <v>1197.0999999999999</v>
      </c>
      <c r="D108" s="13">
        <f t="shared" si="2"/>
        <v>-3.413253413253492E-3</v>
      </c>
      <c r="G108" s="12">
        <v>24609.699219999999</v>
      </c>
      <c r="H108" s="13">
        <f t="shared" si="3"/>
        <v>-1.8051176758530296E-2</v>
      </c>
    </row>
    <row r="109" spans="2:8" x14ac:dyDescent="0.3">
      <c r="B109" s="8">
        <v>45807</v>
      </c>
      <c r="C109">
        <v>1147.8</v>
      </c>
      <c r="D109" s="13">
        <f t="shared" si="2"/>
        <v>-4.1182858574889236E-2</v>
      </c>
      <c r="G109" s="12">
        <v>24833.599610000001</v>
      </c>
      <c r="H109" s="13">
        <f t="shared" si="3"/>
        <v>9.0980547140553369E-3</v>
      </c>
    </row>
    <row r="110" spans="2:8" x14ac:dyDescent="0.3">
      <c r="B110" s="8"/>
    </row>
    <row r="111" spans="2:8" x14ac:dyDescent="0.3">
      <c r="B111" s="8"/>
    </row>
    <row r="112" spans="2:8" x14ac:dyDescent="0.3">
      <c r="B112" s="8"/>
    </row>
  </sheetData>
  <mergeCells count="4">
    <mergeCell ref="B3:H3"/>
    <mergeCell ref="B5:D5"/>
    <mergeCell ref="G5:H5"/>
    <mergeCell ref="J5:K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9065F-5A5B-419C-90A6-700CE3C869CF}">
  <dimension ref="B3:U112"/>
  <sheetViews>
    <sheetView showGridLines="0" workbookViewId="0">
      <selection activeCell="K11" sqref="J11:K11"/>
    </sheetView>
  </sheetViews>
  <sheetFormatPr defaultRowHeight="14.4" x14ac:dyDescent="0.3"/>
  <cols>
    <col min="1" max="1" width="1.88671875" customWidth="1"/>
    <col min="2" max="2" width="10.33203125" bestFit="1" customWidth="1"/>
    <col min="3" max="3" width="16.88671875" customWidth="1"/>
    <col min="7" max="7" width="13.88671875" customWidth="1"/>
    <col min="10" max="10" width="17.5546875" bestFit="1" customWidth="1"/>
    <col min="13" max="13" width="16.6640625" bestFit="1" customWidth="1"/>
    <col min="14" max="14" width="20.21875" bestFit="1" customWidth="1"/>
  </cols>
  <sheetData>
    <row r="3" spans="2:14" x14ac:dyDescent="0.3">
      <c r="B3" s="18" t="s">
        <v>50</v>
      </c>
      <c r="C3" s="18"/>
      <c r="D3" s="18"/>
      <c r="E3" s="18"/>
      <c r="F3" s="18"/>
      <c r="G3" s="18"/>
      <c r="H3" s="18"/>
    </row>
    <row r="5" spans="2:14" x14ac:dyDescent="0.3">
      <c r="B5" s="17" t="s">
        <v>62</v>
      </c>
      <c r="C5" s="17"/>
      <c r="D5" s="17"/>
      <c r="G5" s="17" t="s">
        <v>55</v>
      </c>
      <c r="H5" s="17"/>
      <c r="J5" s="17" t="s">
        <v>63</v>
      </c>
      <c r="K5" s="17"/>
      <c r="M5" t="s">
        <v>69</v>
      </c>
      <c r="N5" s="19">
        <f>SLOPE(D9:D109,H9:H109)</f>
        <v>1.4958582425377647</v>
      </c>
    </row>
    <row r="6" spans="2:14" x14ac:dyDescent="0.3">
      <c r="J6" t="s">
        <v>64</v>
      </c>
      <c r="K6" s="19">
        <f>N8</f>
        <v>1.4958582425377653</v>
      </c>
      <c r="M6" t="s">
        <v>70</v>
      </c>
      <c r="N6" s="19">
        <f>_xlfn.COVARIANCE.S(H9:H109,D9:D109)/_xlfn.VAR.S(H9:H109)</f>
        <v>1.4958582425377644</v>
      </c>
    </row>
    <row r="7" spans="2:14" x14ac:dyDescent="0.3">
      <c r="B7" s="10" t="s">
        <v>51</v>
      </c>
      <c r="C7" s="11" t="s">
        <v>52</v>
      </c>
      <c r="D7" s="11" t="s">
        <v>53</v>
      </c>
      <c r="G7" s="11" t="s">
        <v>56</v>
      </c>
      <c r="H7" s="11" t="s">
        <v>53</v>
      </c>
      <c r="J7" t="s">
        <v>67</v>
      </c>
      <c r="K7" s="13">
        <v>0.75</v>
      </c>
    </row>
    <row r="8" spans="2:14" x14ac:dyDescent="0.3">
      <c r="B8" s="8">
        <v>45100</v>
      </c>
      <c r="C8" s="12">
        <v>235.20468698089999</v>
      </c>
      <c r="G8" s="12">
        <v>18665.5</v>
      </c>
      <c r="J8" t="s">
        <v>65</v>
      </c>
      <c r="K8" s="13">
        <v>0.25</v>
      </c>
      <c r="M8" t="s">
        <v>71</v>
      </c>
      <c r="N8" s="19">
        <f>N31</f>
        <v>1.4958582425377653</v>
      </c>
    </row>
    <row r="9" spans="2:14" x14ac:dyDescent="0.3">
      <c r="B9" s="8">
        <v>45107</v>
      </c>
      <c r="C9" s="12">
        <v>263.60001854550001</v>
      </c>
      <c r="D9" s="13">
        <f>C9/C8-1</f>
        <v>0.12072604474461812</v>
      </c>
      <c r="G9" s="12">
        <v>19189.05</v>
      </c>
      <c r="H9" s="13">
        <f>G9/G8-1</f>
        <v>2.8049074495727355E-2</v>
      </c>
      <c r="J9" t="s">
        <v>66</v>
      </c>
      <c r="K9">
        <v>1</v>
      </c>
    </row>
    <row r="10" spans="2:14" x14ac:dyDescent="0.3">
      <c r="B10" s="8">
        <v>45114</v>
      </c>
      <c r="C10" s="12">
        <v>253.59856075357499</v>
      </c>
      <c r="D10" s="13">
        <f t="shared" ref="D10:D73" si="0">C10/C9-1</f>
        <v>-3.7941794720316668E-2</v>
      </c>
      <c r="G10" s="12">
        <v>19331.8</v>
      </c>
      <c r="H10" s="13">
        <f t="shared" ref="H10:H73" si="1">G10/G9-1</f>
        <v>7.4391384669902916E-3</v>
      </c>
    </row>
    <row r="11" spans="2:14" x14ac:dyDescent="0.3">
      <c r="B11" s="8">
        <v>45121</v>
      </c>
      <c r="C11" s="12">
        <v>261.83714364870002</v>
      </c>
      <c r="D11" s="13">
        <f t="shared" si="0"/>
        <v>3.2486709982280093E-2</v>
      </c>
      <c r="G11" s="12">
        <v>19564.5</v>
      </c>
      <c r="H11" s="13">
        <f t="shared" si="1"/>
        <v>1.2037161567986399E-2</v>
      </c>
      <c r="J11" s="24" t="s">
        <v>68</v>
      </c>
      <c r="K11" s="25">
        <f>(K6*K7)+(K8*K9)</f>
        <v>1.3718936819033241</v>
      </c>
    </row>
    <row r="12" spans="2:14" x14ac:dyDescent="0.3">
      <c r="B12" s="8">
        <v>45128</v>
      </c>
      <c r="C12" s="12">
        <v>263.58472183857498</v>
      </c>
      <c r="D12" s="13">
        <f t="shared" si="0"/>
        <v>6.6742944317312869E-3</v>
      </c>
      <c r="G12" s="12">
        <v>19745</v>
      </c>
      <c r="H12" s="13">
        <f t="shared" si="1"/>
        <v>9.225893838329613E-3</v>
      </c>
    </row>
    <row r="13" spans="2:14" x14ac:dyDescent="0.3">
      <c r="B13" s="8">
        <v>45135</v>
      </c>
      <c r="C13" s="12">
        <v>256.39468585737501</v>
      </c>
      <c r="D13" s="13">
        <f t="shared" si="0"/>
        <v>-2.7277893540443188E-2</v>
      </c>
      <c r="G13" s="12">
        <v>19646.05</v>
      </c>
      <c r="H13" s="13">
        <f t="shared" si="1"/>
        <v>-5.0113952899468739E-3</v>
      </c>
    </row>
    <row r="14" spans="2:14" x14ac:dyDescent="0.3">
      <c r="B14" s="8">
        <v>45142</v>
      </c>
      <c r="C14" s="12">
        <v>253.19911431017499</v>
      </c>
      <c r="D14" s="13">
        <f t="shared" si="0"/>
        <v>-1.2463485881207492E-2</v>
      </c>
      <c r="G14" s="12">
        <v>19517</v>
      </c>
      <c r="H14" s="13">
        <f t="shared" si="1"/>
        <v>-6.568750461288575E-3</v>
      </c>
      <c r="M14" t="s">
        <v>72</v>
      </c>
    </row>
    <row r="15" spans="2:14" ht="15" thickBot="1" x14ac:dyDescent="0.35">
      <c r="B15" s="8">
        <v>45149</v>
      </c>
      <c r="C15" s="12">
        <v>255.84544699770001</v>
      </c>
      <c r="D15" s="13">
        <f t="shared" si="0"/>
        <v>1.0451587458095046E-2</v>
      </c>
      <c r="G15" s="12">
        <v>19428.3</v>
      </c>
      <c r="H15" s="13">
        <f t="shared" si="1"/>
        <v>-4.5447558538710409E-3</v>
      </c>
    </row>
    <row r="16" spans="2:14" x14ac:dyDescent="0.3">
      <c r="B16" s="8">
        <v>45156</v>
      </c>
      <c r="C16" s="12">
        <v>257.84267921470001</v>
      </c>
      <c r="D16" s="13">
        <f t="shared" si="0"/>
        <v>7.8064012490242085E-3</v>
      </c>
      <c r="G16" s="12">
        <v>19310.150000000001</v>
      </c>
      <c r="H16" s="13">
        <f t="shared" si="1"/>
        <v>-6.0813349598265454E-3</v>
      </c>
      <c r="M16" s="23" t="s">
        <v>73</v>
      </c>
      <c r="N16" s="23"/>
    </row>
    <row r="17" spans="2:21" x14ac:dyDescent="0.3">
      <c r="B17" s="8">
        <v>45163</v>
      </c>
      <c r="C17" s="12">
        <v>255.04655411089999</v>
      </c>
      <c r="D17" s="13">
        <f t="shared" si="0"/>
        <v>-1.0844306738962084E-2</v>
      </c>
      <c r="G17" s="12">
        <v>19265.8</v>
      </c>
      <c r="H17" s="13">
        <f t="shared" si="1"/>
        <v>-2.2967196008317758E-3</v>
      </c>
      <c r="M17" s="20" t="s">
        <v>74</v>
      </c>
      <c r="N17" s="20">
        <v>0.48956283548075835</v>
      </c>
    </row>
    <row r="18" spans="2:21" x14ac:dyDescent="0.3">
      <c r="B18" s="8">
        <v>45170</v>
      </c>
      <c r="C18" s="12">
        <v>260.43908109680001</v>
      </c>
      <c r="D18" s="13">
        <f t="shared" si="0"/>
        <v>2.114330462020364E-2</v>
      </c>
      <c r="G18" s="12">
        <v>19435.3</v>
      </c>
      <c r="H18" s="13">
        <f t="shared" si="1"/>
        <v>8.7979736112697715E-3</v>
      </c>
      <c r="M18" s="20" t="s">
        <v>75</v>
      </c>
      <c r="N18" s="20">
        <v>0.23967176988396005</v>
      </c>
    </row>
    <row r="19" spans="2:21" x14ac:dyDescent="0.3">
      <c r="B19" s="8">
        <v>45177</v>
      </c>
      <c r="C19" s="12">
        <v>266.0313313044</v>
      </c>
      <c r="D19" s="13">
        <f t="shared" si="0"/>
        <v>2.1472392638036686E-2</v>
      </c>
      <c r="G19" s="12">
        <v>19819.95</v>
      </c>
      <c r="H19" s="13">
        <f t="shared" si="1"/>
        <v>1.9791307569216876E-2</v>
      </c>
      <c r="M19" s="20" t="s">
        <v>76</v>
      </c>
      <c r="N19" s="20">
        <v>0.2319916867514748</v>
      </c>
    </row>
    <row r="20" spans="2:21" x14ac:dyDescent="0.3">
      <c r="B20" s="8">
        <v>45184</v>
      </c>
      <c r="C20" s="12">
        <v>276.36700802737499</v>
      </c>
      <c r="D20" s="13">
        <f t="shared" si="0"/>
        <v>3.8851351351351315E-2</v>
      </c>
      <c r="G20" s="12">
        <v>20192.349999999999</v>
      </c>
      <c r="H20" s="13">
        <f t="shared" si="1"/>
        <v>1.8789149316723597E-2</v>
      </c>
      <c r="M20" s="20" t="s">
        <v>77</v>
      </c>
      <c r="N20" s="20">
        <v>4.502218666321306E-2</v>
      </c>
    </row>
    <row r="21" spans="2:21" ht="15" thickBot="1" x14ac:dyDescent="0.35">
      <c r="B21" s="8">
        <v>45191</v>
      </c>
      <c r="C21" s="12">
        <v>263.98416828197497</v>
      </c>
      <c r="D21" s="13">
        <f t="shared" si="0"/>
        <v>-4.4805781391147326E-2</v>
      </c>
      <c r="G21" s="12">
        <v>19674.25</v>
      </c>
      <c r="H21" s="13">
        <f t="shared" si="1"/>
        <v>-2.5658231954180599E-2</v>
      </c>
      <c r="M21" s="21" t="s">
        <v>78</v>
      </c>
      <c r="N21" s="21">
        <v>101</v>
      </c>
    </row>
    <row r="22" spans="2:21" x14ac:dyDescent="0.3">
      <c r="B22" s="8">
        <v>45198</v>
      </c>
      <c r="C22" s="12">
        <v>271.82330473370001</v>
      </c>
      <c r="D22" s="13">
        <f t="shared" si="0"/>
        <v>2.9695479477964914E-2</v>
      </c>
      <c r="G22" s="12">
        <v>19638.3</v>
      </c>
      <c r="H22" s="13">
        <f t="shared" si="1"/>
        <v>-1.8272615220402688E-3</v>
      </c>
    </row>
    <row r="23" spans="2:21" ht="15" thickBot="1" x14ac:dyDescent="0.35">
      <c r="B23" s="8">
        <v>45205</v>
      </c>
      <c r="C23" s="12">
        <v>264.183891503675</v>
      </c>
      <c r="D23" s="13">
        <f t="shared" si="0"/>
        <v>-2.8104335047758999E-2</v>
      </c>
      <c r="G23" s="12">
        <v>19653.5</v>
      </c>
      <c r="H23" s="13">
        <f t="shared" si="1"/>
        <v>7.7399774929598486E-4</v>
      </c>
      <c r="M23" t="s">
        <v>79</v>
      </c>
    </row>
    <row r="24" spans="2:21" x14ac:dyDescent="0.3">
      <c r="B24" s="8">
        <v>45212</v>
      </c>
      <c r="C24" s="12">
        <v>254.19773041867501</v>
      </c>
      <c r="D24" s="13">
        <f t="shared" si="0"/>
        <v>-3.7800037800037822E-2</v>
      </c>
      <c r="G24" s="12">
        <v>19751.05</v>
      </c>
      <c r="H24" s="13">
        <f t="shared" si="1"/>
        <v>4.9634925076957881E-3</v>
      </c>
      <c r="M24" s="22"/>
      <c r="N24" s="22" t="s">
        <v>84</v>
      </c>
      <c r="O24" s="22" t="s">
        <v>85</v>
      </c>
      <c r="P24" s="22" t="s">
        <v>86</v>
      </c>
      <c r="Q24" s="22" t="s">
        <v>87</v>
      </c>
      <c r="R24" s="22" t="s">
        <v>88</v>
      </c>
    </row>
    <row r="25" spans="2:21" x14ac:dyDescent="0.3">
      <c r="B25" s="8">
        <v>45219</v>
      </c>
      <c r="C25" s="12">
        <v>230.63039025807501</v>
      </c>
      <c r="D25" s="13">
        <f t="shared" si="0"/>
        <v>-9.2712630131604801E-2</v>
      </c>
      <c r="G25" s="12">
        <v>19542.650000000001</v>
      </c>
      <c r="H25" s="13">
        <f t="shared" si="1"/>
        <v>-1.0551337776978809E-2</v>
      </c>
      <c r="M25" s="20" t="s">
        <v>80</v>
      </c>
      <c r="N25" s="20">
        <v>1</v>
      </c>
      <c r="O25" s="20">
        <v>6.3256350241012921E-2</v>
      </c>
      <c r="P25" s="20">
        <v>6.3256350241012921E-2</v>
      </c>
      <c r="Q25" s="20">
        <v>31.206923902971216</v>
      </c>
      <c r="R25" s="20">
        <v>2.0419661110253914E-7</v>
      </c>
    </row>
    <row r="26" spans="2:21" x14ac:dyDescent="0.3">
      <c r="B26" s="8">
        <v>45226</v>
      </c>
      <c r="C26" s="12">
        <v>222.39180736295</v>
      </c>
      <c r="D26" s="13">
        <f t="shared" si="0"/>
        <v>-3.5722017752760404E-2</v>
      </c>
      <c r="G26" s="12">
        <v>19047.25</v>
      </c>
      <c r="H26" s="13">
        <f t="shared" si="1"/>
        <v>-2.5349683896503383E-2</v>
      </c>
      <c r="M26" s="20" t="s">
        <v>81</v>
      </c>
      <c r="N26" s="20">
        <v>99</v>
      </c>
      <c r="O26" s="20">
        <v>0.20067273190178278</v>
      </c>
      <c r="P26" s="20">
        <v>2.0269972919371997E-3</v>
      </c>
      <c r="Q26" s="20"/>
      <c r="R26" s="20"/>
    </row>
    <row r="27" spans="2:21" ht="15" thickBot="1" x14ac:dyDescent="0.35">
      <c r="B27" s="8">
        <v>45233</v>
      </c>
      <c r="C27" s="12">
        <v>224.18931635825001</v>
      </c>
      <c r="D27" s="13">
        <f t="shared" si="0"/>
        <v>8.0826223619219206E-3</v>
      </c>
      <c r="G27" s="12">
        <v>19230.599999999999</v>
      </c>
      <c r="H27" s="13">
        <f t="shared" si="1"/>
        <v>9.6260615049414966E-3</v>
      </c>
      <c r="M27" s="21" t="s">
        <v>82</v>
      </c>
      <c r="N27" s="21">
        <v>100</v>
      </c>
      <c r="O27" s="21">
        <v>0.2639290821427957</v>
      </c>
      <c r="P27" s="21"/>
      <c r="Q27" s="21"/>
      <c r="R27" s="21"/>
    </row>
    <row r="28" spans="2:21" ht="15" thickBot="1" x14ac:dyDescent="0.35">
      <c r="B28" s="8">
        <v>45240</v>
      </c>
      <c r="C28" s="12">
        <v>227.08530307289999</v>
      </c>
      <c r="D28" s="13">
        <f t="shared" si="0"/>
        <v>1.2917594654788367E-2</v>
      </c>
      <c r="G28" s="12">
        <v>19425.349999999999</v>
      </c>
      <c r="H28" s="13">
        <f t="shared" si="1"/>
        <v>1.0127089118384225E-2</v>
      </c>
    </row>
    <row r="29" spans="2:21" x14ac:dyDescent="0.3">
      <c r="B29" s="8">
        <v>45247</v>
      </c>
      <c r="C29" s="12">
        <v>232.42789925337499</v>
      </c>
      <c r="D29" s="13">
        <f t="shared" si="0"/>
        <v>2.3526824978012284E-2</v>
      </c>
      <c r="G29" s="12">
        <v>19731.8</v>
      </c>
      <c r="H29" s="13">
        <f t="shared" si="1"/>
        <v>1.5775777527818002E-2</v>
      </c>
      <c r="M29" s="22"/>
      <c r="N29" s="22" t="s">
        <v>89</v>
      </c>
      <c r="O29" s="22" t="s">
        <v>77</v>
      </c>
      <c r="P29" s="22" t="s">
        <v>90</v>
      </c>
      <c r="Q29" s="22" t="s">
        <v>91</v>
      </c>
      <c r="R29" s="22" t="s">
        <v>92</v>
      </c>
      <c r="S29" s="22" t="s">
        <v>93</v>
      </c>
      <c r="T29" s="22" t="s">
        <v>94</v>
      </c>
      <c r="U29" s="22" t="s">
        <v>95</v>
      </c>
    </row>
    <row r="30" spans="2:21" x14ac:dyDescent="0.3">
      <c r="B30" s="8">
        <v>45254</v>
      </c>
      <c r="C30" s="12">
        <v>235.02430113547501</v>
      </c>
      <c r="D30" s="13">
        <f t="shared" si="0"/>
        <v>1.1170784103115006E-2</v>
      </c>
      <c r="G30" s="12">
        <v>19794.7</v>
      </c>
      <c r="H30" s="13">
        <f t="shared" si="1"/>
        <v>3.1877476966115648E-3</v>
      </c>
      <c r="M30" s="20" t="s">
        <v>83</v>
      </c>
      <c r="N30" s="20">
        <v>3.7033953423474576E-4</v>
      </c>
      <c r="O30" s="20">
        <v>4.5499534059948079E-3</v>
      </c>
      <c r="P30" s="20">
        <v>8.1394137739257619E-2</v>
      </c>
      <c r="Q30" s="20">
        <v>0.93529283810659725</v>
      </c>
      <c r="R30" s="20">
        <v>-8.6577551428685048E-3</v>
      </c>
      <c r="S30" s="20">
        <v>9.3984342113379964E-3</v>
      </c>
      <c r="T30" s="20">
        <v>-8.6577551428685048E-3</v>
      </c>
      <c r="U30" s="20">
        <v>9.3984342113379964E-3</v>
      </c>
    </row>
    <row r="31" spans="2:21" ht="15" thickBot="1" x14ac:dyDescent="0.35">
      <c r="B31" s="8">
        <v>45261</v>
      </c>
      <c r="C31" s="12">
        <v>240.31696651052499</v>
      </c>
      <c r="D31" s="13">
        <f t="shared" si="0"/>
        <v>2.2519651582749045E-2</v>
      </c>
      <c r="G31" s="12">
        <v>20267.900000000001</v>
      </c>
      <c r="H31" s="13">
        <f t="shared" si="1"/>
        <v>2.3905388816198414E-2</v>
      </c>
      <c r="M31" s="21" t="s">
        <v>96</v>
      </c>
      <c r="N31" s="21">
        <v>1.4958582425377653</v>
      </c>
      <c r="O31" s="21">
        <v>0.26777187391946605</v>
      </c>
      <c r="P31" s="21">
        <v>5.5863157718635286</v>
      </c>
      <c r="Q31" s="21">
        <v>2.0419661110254065E-7</v>
      </c>
      <c r="R31" s="21">
        <v>0.96454075114870008</v>
      </c>
      <c r="S31" s="21">
        <v>2.0271757339268306</v>
      </c>
      <c r="T31" s="21">
        <v>0.96454075114870008</v>
      </c>
      <c r="U31" s="21">
        <v>2.0271757339268306</v>
      </c>
    </row>
    <row r="32" spans="2:21" x14ac:dyDescent="0.3">
      <c r="B32" s="8">
        <v>45268</v>
      </c>
      <c r="C32" s="12">
        <v>238.66924993149999</v>
      </c>
      <c r="D32" s="13">
        <f t="shared" si="0"/>
        <v>-6.8564305007271509E-3</v>
      </c>
      <c r="G32" s="12">
        <v>20969.400000000001</v>
      </c>
      <c r="H32" s="13">
        <f t="shared" si="1"/>
        <v>3.4611380557433069E-2</v>
      </c>
    </row>
    <row r="33" spans="2:8" x14ac:dyDescent="0.3">
      <c r="B33" s="8">
        <v>45275</v>
      </c>
      <c r="C33" s="12">
        <v>251.35167450944999</v>
      </c>
      <c r="D33" s="13">
        <f t="shared" si="0"/>
        <v>5.3138075313807542E-2</v>
      </c>
      <c r="G33" s="12">
        <v>21456.65</v>
      </c>
      <c r="H33" s="13">
        <f t="shared" si="1"/>
        <v>2.3236239472755438E-2</v>
      </c>
    </row>
    <row r="34" spans="2:8" x14ac:dyDescent="0.3">
      <c r="B34" s="8">
        <v>45282</v>
      </c>
      <c r="C34" s="12">
        <v>245.95914752355</v>
      </c>
      <c r="D34" s="13">
        <f t="shared" si="0"/>
        <v>-2.1454112038140627E-2</v>
      </c>
      <c r="G34" s="12">
        <v>21349.4</v>
      </c>
      <c r="H34" s="13">
        <f t="shared" si="1"/>
        <v>-4.9984503638732525E-3</v>
      </c>
    </row>
    <row r="35" spans="2:8" x14ac:dyDescent="0.3">
      <c r="B35" s="8">
        <v>45289</v>
      </c>
      <c r="C35" s="12">
        <v>249.304511487025</v>
      </c>
      <c r="D35" s="13">
        <f t="shared" si="0"/>
        <v>1.3601299228582997E-2</v>
      </c>
      <c r="G35" s="12">
        <v>21731.4</v>
      </c>
      <c r="H35" s="13">
        <f t="shared" si="1"/>
        <v>1.7892774504201459E-2</v>
      </c>
    </row>
    <row r="36" spans="2:8" x14ac:dyDescent="0.3">
      <c r="B36" s="8">
        <v>45296</v>
      </c>
      <c r="C36" s="12">
        <v>290.89687240605002</v>
      </c>
      <c r="D36" s="13">
        <f t="shared" si="0"/>
        <v>0.16683356699379148</v>
      </c>
      <c r="G36" s="12">
        <v>21710.799999999999</v>
      </c>
      <c r="H36" s="13">
        <f t="shared" si="1"/>
        <v>-9.479370864280412E-4</v>
      </c>
    </row>
    <row r="37" spans="2:8" x14ac:dyDescent="0.3">
      <c r="B37" s="8">
        <v>45303</v>
      </c>
      <c r="C37" s="12">
        <v>273.82053695069999</v>
      </c>
      <c r="D37" s="13">
        <f t="shared" si="0"/>
        <v>-5.8702368692070128E-2</v>
      </c>
      <c r="G37" s="12">
        <v>21894.55</v>
      </c>
      <c r="H37" s="13">
        <f t="shared" si="1"/>
        <v>8.4635296718684749E-3</v>
      </c>
    </row>
    <row r="38" spans="2:8" x14ac:dyDescent="0.3">
      <c r="B38" s="8">
        <v>45311</v>
      </c>
      <c r="C38" s="12">
        <v>273.57088292357503</v>
      </c>
      <c r="D38" s="13">
        <f t="shared" si="0"/>
        <v>-9.1174325309983928E-4</v>
      </c>
      <c r="G38" s="12">
        <v>21622.400000000001</v>
      </c>
      <c r="H38" s="13">
        <f t="shared" si="1"/>
        <v>-1.2430033958222397E-2</v>
      </c>
    </row>
    <row r="39" spans="2:8" x14ac:dyDescent="0.3">
      <c r="B39" s="8">
        <v>45316</v>
      </c>
      <c r="C39" s="12">
        <v>258.34198726894999</v>
      </c>
      <c r="D39" s="13">
        <f t="shared" si="0"/>
        <v>-5.5667092535134244E-2</v>
      </c>
      <c r="G39" s="12">
        <v>21352.6</v>
      </c>
      <c r="H39" s="13">
        <f t="shared" si="1"/>
        <v>-1.2477800799171379E-2</v>
      </c>
    </row>
    <row r="40" spans="2:8" x14ac:dyDescent="0.3">
      <c r="B40" s="8">
        <v>45324</v>
      </c>
      <c r="C40" s="12">
        <v>274.31984500495003</v>
      </c>
      <c r="D40" s="13">
        <f t="shared" si="0"/>
        <v>6.1847700038655029E-2</v>
      </c>
      <c r="G40" s="12">
        <v>21853.8</v>
      </c>
      <c r="H40" s="13">
        <f t="shared" si="1"/>
        <v>2.3472551352060167E-2</v>
      </c>
    </row>
    <row r="41" spans="2:8" x14ac:dyDescent="0.3">
      <c r="B41" s="8">
        <v>45331</v>
      </c>
      <c r="C41" s="12">
        <v>273.0216440639</v>
      </c>
      <c r="D41" s="13">
        <f t="shared" si="0"/>
        <v>-4.7324353840554334E-3</v>
      </c>
      <c r="G41" s="12">
        <v>21782.5</v>
      </c>
      <c r="H41" s="13">
        <f t="shared" si="1"/>
        <v>-3.2625904876955047E-3</v>
      </c>
    </row>
    <row r="42" spans="2:8" x14ac:dyDescent="0.3">
      <c r="B42" s="8">
        <v>45338</v>
      </c>
      <c r="C42" s="12">
        <v>286.45303072322503</v>
      </c>
      <c r="D42" s="13">
        <f t="shared" si="0"/>
        <v>4.9195318215069506E-2</v>
      </c>
      <c r="G42" s="12">
        <v>22040.7</v>
      </c>
      <c r="H42" s="13">
        <f t="shared" si="1"/>
        <v>1.1853552163433978E-2</v>
      </c>
    </row>
    <row r="43" spans="2:8" x14ac:dyDescent="0.3">
      <c r="B43" s="8">
        <v>45345</v>
      </c>
      <c r="C43" s="12">
        <v>272.672128425925</v>
      </c>
      <c r="D43" s="13">
        <f t="shared" si="0"/>
        <v>-4.8108767648596951E-2</v>
      </c>
      <c r="G43" s="12">
        <v>22212.7</v>
      </c>
      <c r="H43" s="13">
        <f t="shared" si="1"/>
        <v>7.8037448901351336E-3</v>
      </c>
    </row>
    <row r="44" spans="2:8" x14ac:dyDescent="0.3">
      <c r="B44" s="8">
        <v>45353</v>
      </c>
      <c r="C44" s="12">
        <v>276.56673124907502</v>
      </c>
      <c r="D44" s="13">
        <f t="shared" si="0"/>
        <v>1.4283098333638611E-2</v>
      </c>
      <c r="G44" s="12">
        <v>22338.75</v>
      </c>
      <c r="H44" s="13">
        <f t="shared" si="1"/>
        <v>5.6746816010659895E-3</v>
      </c>
    </row>
    <row r="45" spans="2:8" x14ac:dyDescent="0.3">
      <c r="B45" s="8">
        <v>45358</v>
      </c>
      <c r="C45" s="12">
        <v>281.50988098614999</v>
      </c>
      <c r="D45" s="13">
        <f t="shared" si="0"/>
        <v>1.7873262321718597E-2</v>
      </c>
      <c r="G45" s="12">
        <v>22493.55</v>
      </c>
      <c r="H45" s="13">
        <f t="shared" si="1"/>
        <v>6.929662581836471E-3</v>
      </c>
    </row>
    <row r="46" spans="2:8" x14ac:dyDescent="0.3">
      <c r="B46" s="8">
        <v>45366</v>
      </c>
      <c r="C46" s="12">
        <v>251.301743704025</v>
      </c>
      <c r="D46" s="13">
        <f t="shared" si="0"/>
        <v>-0.10730755587087615</v>
      </c>
      <c r="G46" s="12">
        <v>22023.35</v>
      </c>
      <c r="H46" s="13">
        <f t="shared" si="1"/>
        <v>-2.0903770191899484E-2</v>
      </c>
    </row>
    <row r="47" spans="2:8" x14ac:dyDescent="0.3">
      <c r="B47" s="8">
        <v>45373</v>
      </c>
      <c r="C47" s="12">
        <v>251.8509825637</v>
      </c>
      <c r="D47" s="13">
        <f t="shared" si="0"/>
        <v>2.1855752036559206E-3</v>
      </c>
      <c r="G47" s="12">
        <v>22096.75</v>
      </c>
      <c r="H47" s="13">
        <f t="shared" si="1"/>
        <v>3.3328262957270649E-3</v>
      </c>
    </row>
    <row r="48" spans="2:8" x14ac:dyDescent="0.3">
      <c r="B48" s="8">
        <v>45379</v>
      </c>
      <c r="C48" s="12">
        <v>263.784445060275</v>
      </c>
      <c r="D48" s="13">
        <f t="shared" si="0"/>
        <v>4.7383029341792282E-2</v>
      </c>
      <c r="G48" s="12">
        <v>22326.9</v>
      </c>
      <c r="H48" s="13">
        <f t="shared" si="1"/>
        <v>1.0415558849152129E-2</v>
      </c>
    </row>
    <row r="49" spans="2:8" x14ac:dyDescent="0.3">
      <c r="B49" s="8">
        <v>45387</v>
      </c>
      <c r="C49" s="12">
        <v>270.57503459807498</v>
      </c>
      <c r="D49" s="13">
        <f t="shared" si="0"/>
        <v>2.5742949081960953E-2</v>
      </c>
      <c r="G49" s="12">
        <v>22513.7</v>
      </c>
      <c r="H49" s="13">
        <f t="shared" si="1"/>
        <v>8.3665891816597782E-3</v>
      </c>
    </row>
    <row r="50" spans="2:8" x14ac:dyDescent="0.3">
      <c r="B50" s="8">
        <v>45394</v>
      </c>
      <c r="C50" s="12">
        <v>273.62081372900002</v>
      </c>
      <c r="D50" s="13">
        <f t="shared" si="0"/>
        <v>1.125668942609348E-2</v>
      </c>
      <c r="G50" s="12">
        <v>22519.400389999999</v>
      </c>
      <c r="H50" s="13">
        <f t="shared" si="1"/>
        <v>2.5319649813226874E-4</v>
      </c>
    </row>
    <row r="51" spans="2:8" x14ac:dyDescent="0.3">
      <c r="B51" s="8">
        <v>45401</v>
      </c>
      <c r="C51" s="12">
        <v>261.28790478902499</v>
      </c>
      <c r="D51" s="13">
        <f t="shared" si="0"/>
        <v>-4.5072992700730063E-2</v>
      </c>
      <c r="G51" s="12">
        <v>22147</v>
      </c>
      <c r="H51" s="13">
        <f t="shared" si="1"/>
        <v>-1.6536869701262891E-2</v>
      </c>
    </row>
    <row r="52" spans="2:8" x14ac:dyDescent="0.3">
      <c r="B52" s="8">
        <v>45408</v>
      </c>
      <c r="C52" s="12">
        <v>305.97597564440002</v>
      </c>
      <c r="D52" s="13">
        <f t="shared" si="0"/>
        <v>0.17103000191094986</v>
      </c>
      <c r="G52" s="12">
        <v>22419.949219999999</v>
      </c>
      <c r="H52" s="13">
        <f t="shared" si="1"/>
        <v>1.2324433106063903E-2</v>
      </c>
    </row>
    <row r="53" spans="2:8" x14ac:dyDescent="0.3">
      <c r="B53" s="8">
        <v>45415</v>
      </c>
      <c r="C53" s="12">
        <v>304.77763631419998</v>
      </c>
      <c r="D53" s="13">
        <f t="shared" si="0"/>
        <v>-3.916449086162066E-3</v>
      </c>
      <c r="G53" s="12">
        <v>22475.849610000001</v>
      </c>
      <c r="H53" s="13">
        <f t="shared" si="1"/>
        <v>2.4933325874858525E-3</v>
      </c>
    </row>
    <row r="54" spans="2:8" x14ac:dyDescent="0.3">
      <c r="B54" s="8">
        <v>45422</v>
      </c>
      <c r="C54" s="12">
        <v>303.579296984</v>
      </c>
      <c r="D54" s="13">
        <f t="shared" si="0"/>
        <v>-3.9318479685451768E-3</v>
      </c>
      <c r="G54" s="12">
        <v>22055.199219999999</v>
      </c>
      <c r="H54" s="13">
        <f t="shared" si="1"/>
        <v>-1.871566135648306E-2</v>
      </c>
    </row>
    <row r="55" spans="2:8" x14ac:dyDescent="0.3">
      <c r="B55" s="8">
        <v>45430</v>
      </c>
      <c r="C55" s="12">
        <v>304.12853584367502</v>
      </c>
      <c r="D55" s="13">
        <f t="shared" si="0"/>
        <v>1.8092105263158853E-3</v>
      </c>
      <c r="G55" s="12">
        <v>22464.800780000001</v>
      </c>
      <c r="H55" s="13">
        <f t="shared" si="1"/>
        <v>1.8571655413956556E-2</v>
      </c>
    </row>
    <row r="56" spans="2:8" x14ac:dyDescent="0.3">
      <c r="B56" s="8">
        <v>45436</v>
      </c>
      <c r="C56" s="12">
        <v>319.007915860325</v>
      </c>
      <c r="D56" s="13">
        <f t="shared" si="0"/>
        <v>4.892464291577725E-2</v>
      </c>
      <c r="G56" s="12">
        <v>22957.099610000001</v>
      </c>
      <c r="H56" s="13">
        <f t="shared" si="1"/>
        <v>2.1914230836993953E-2</v>
      </c>
    </row>
    <row r="57" spans="2:8" x14ac:dyDescent="0.3">
      <c r="B57" s="8">
        <v>45443</v>
      </c>
      <c r="C57" s="12">
        <v>308.82203155362498</v>
      </c>
      <c r="D57" s="13">
        <f t="shared" si="0"/>
        <v>-3.1929879480356971E-2</v>
      </c>
      <c r="G57" s="12">
        <v>22530.699219999999</v>
      </c>
      <c r="H57" s="13">
        <f t="shared" si="1"/>
        <v>-1.8573791865862055E-2</v>
      </c>
    </row>
    <row r="58" spans="2:8" x14ac:dyDescent="0.3">
      <c r="B58" s="8">
        <v>45450</v>
      </c>
      <c r="C58" s="12">
        <v>335.535012456</v>
      </c>
      <c r="D58" s="13">
        <f t="shared" si="0"/>
        <v>8.6499595796281303E-2</v>
      </c>
      <c r="G58" s="12">
        <v>23290.150389999999</v>
      </c>
      <c r="H58" s="13">
        <f t="shared" si="1"/>
        <v>3.3707394634510557E-2</v>
      </c>
    </row>
    <row r="59" spans="2:8" x14ac:dyDescent="0.3">
      <c r="B59" s="8">
        <v>45457</v>
      </c>
      <c r="C59" s="12">
        <v>334.33667312580002</v>
      </c>
      <c r="D59" s="13">
        <f t="shared" si="0"/>
        <v>-3.5714285714285587E-3</v>
      </c>
      <c r="G59" s="12">
        <v>23465.599610000001</v>
      </c>
      <c r="H59" s="13">
        <f t="shared" si="1"/>
        <v>7.5331939494618361E-3</v>
      </c>
    </row>
    <row r="60" spans="2:8" x14ac:dyDescent="0.3">
      <c r="B60" s="8">
        <v>45464</v>
      </c>
      <c r="C60" s="12">
        <v>345.22158870844999</v>
      </c>
      <c r="D60" s="13">
        <f t="shared" si="0"/>
        <v>3.2556750298685655E-2</v>
      </c>
      <c r="G60" s="12">
        <v>23501.099610000001</v>
      </c>
      <c r="H60" s="13">
        <f t="shared" si="1"/>
        <v>1.5128528820917975E-3</v>
      </c>
    </row>
    <row r="61" spans="2:8" x14ac:dyDescent="0.3">
      <c r="B61" s="8">
        <v>45471</v>
      </c>
      <c r="C61" s="12">
        <v>350.61411569435001</v>
      </c>
      <c r="D61" s="13">
        <f t="shared" si="0"/>
        <v>1.5620480185131624E-2</v>
      </c>
      <c r="G61" s="12">
        <v>24010.599610000001</v>
      </c>
      <c r="H61" s="13">
        <f t="shared" si="1"/>
        <v>2.1679836622759519E-2</v>
      </c>
    </row>
    <row r="62" spans="2:8" x14ac:dyDescent="0.3">
      <c r="B62" s="8">
        <v>45478</v>
      </c>
      <c r="C62" s="12">
        <v>370.2</v>
      </c>
      <c r="D62" s="13">
        <f t="shared" si="0"/>
        <v>5.5861653678325185E-2</v>
      </c>
      <c r="G62" s="12">
        <v>24323.849610000001</v>
      </c>
      <c r="H62" s="13">
        <f t="shared" si="1"/>
        <v>1.3046321420042251E-2</v>
      </c>
    </row>
    <row r="63" spans="2:8" x14ac:dyDescent="0.3">
      <c r="B63" s="8">
        <v>45485</v>
      </c>
      <c r="C63" s="12">
        <v>350.75</v>
      </c>
      <c r="D63" s="13">
        <f t="shared" si="0"/>
        <v>-5.2539168017287974E-2</v>
      </c>
      <c r="G63" s="12">
        <v>24502.150389999999</v>
      </c>
      <c r="H63" s="13">
        <f t="shared" si="1"/>
        <v>7.3302862358881615E-3</v>
      </c>
    </row>
    <row r="64" spans="2:8" x14ac:dyDescent="0.3">
      <c r="B64" s="8">
        <v>45492</v>
      </c>
      <c r="C64" s="12">
        <v>335.2</v>
      </c>
      <c r="D64" s="13">
        <f t="shared" si="0"/>
        <v>-4.4333570919458332E-2</v>
      </c>
      <c r="G64" s="12">
        <v>24530.900389999999</v>
      </c>
      <c r="H64" s="13">
        <f t="shared" si="1"/>
        <v>1.1733664001889466E-3</v>
      </c>
    </row>
    <row r="65" spans="2:8" x14ac:dyDescent="0.3">
      <c r="B65" s="8">
        <v>45499</v>
      </c>
      <c r="C65" s="12">
        <v>368.5</v>
      </c>
      <c r="D65" s="13">
        <f t="shared" si="0"/>
        <v>9.9343675417661093E-2</v>
      </c>
      <c r="G65" s="12">
        <v>24834.849610000001</v>
      </c>
      <c r="H65" s="13">
        <f t="shared" si="1"/>
        <v>1.2390463259306594E-2</v>
      </c>
    </row>
    <row r="66" spans="2:8" x14ac:dyDescent="0.3">
      <c r="B66" s="8">
        <v>45506</v>
      </c>
      <c r="C66" s="12">
        <v>356.1</v>
      </c>
      <c r="D66" s="13">
        <f t="shared" si="0"/>
        <v>-3.3649932157394757E-2</v>
      </c>
      <c r="G66" s="12">
        <v>24717.699219999999</v>
      </c>
      <c r="H66" s="13">
        <f t="shared" si="1"/>
        <v>-4.7171773471432754E-3</v>
      </c>
    </row>
    <row r="67" spans="2:8" x14ac:dyDescent="0.3">
      <c r="B67" s="8">
        <v>45513</v>
      </c>
      <c r="C67" s="12">
        <v>336.95</v>
      </c>
      <c r="D67" s="13">
        <f t="shared" si="0"/>
        <v>-5.3777028924459569E-2</v>
      </c>
      <c r="G67" s="12">
        <v>24367.5</v>
      </c>
      <c r="H67" s="13">
        <f t="shared" si="1"/>
        <v>-1.41679537760796E-2</v>
      </c>
    </row>
    <row r="68" spans="2:8" x14ac:dyDescent="0.3">
      <c r="B68" s="8">
        <v>45520</v>
      </c>
      <c r="C68" s="12">
        <v>340.95</v>
      </c>
      <c r="D68" s="13">
        <f t="shared" si="0"/>
        <v>1.1871197507048459E-2</v>
      </c>
      <c r="G68" s="12">
        <v>24541.150389999999</v>
      </c>
      <c r="H68" s="13">
        <f t="shared" si="1"/>
        <v>7.1263112752641966E-3</v>
      </c>
    </row>
    <row r="69" spans="2:8" x14ac:dyDescent="0.3">
      <c r="B69" s="8">
        <v>45527</v>
      </c>
      <c r="C69" s="12">
        <v>351.6</v>
      </c>
      <c r="D69" s="13">
        <f t="shared" si="0"/>
        <v>3.1236251649802149E-2</v>
      </c>
      <c r="G69" s="12">
        <v>24823.150389999999</v>
      </c>
      <c r="H69" s="13">
        <f t="shared" si="1"/>
        <v>1.1490903870378766E-2</v>
      </c>
    </row>
    <row r="70" spans="2:8" x14ac:dyDescent="0.3">
      <c r="B70" s="8">
        <v>45534</v>
      </c>
      <c r="C70" s="12">
        <v>359.1</v>
      </c>
      <c r="D70" s="13">
        <f t="shared" si="0"/>
        <v>2.1331058020477744E-2</v>
      </c>
      <c r="G70" s="12">
        <v>25235.900389999999</v>
      </c>
      <c r="H70" s="13">
        <f t="shared" si="1"/>
        <v>1.6627623549599013E-2</v>
      </c>
    </row>
    <row r="71" spans="2:8" x14ac:dyDescent="0.3">
      <c r="B71" s="8">
        <v>45541</v>
      </c>
      <c r="C71" s="12">
        <v>373.7</v>
      </c>
      <c r="D71" s="13">
        <f t="shared" si="0"/>
        <v>4.0657198551935281E-2</v>
      </c>
      <c r="G71" s="12">
        <v>24852.150389999999</v>
      </c>
      <c r="H71" s="13">
        <f t="shared" si="1"/>
        <v>-1.5206511123814104E-2</v>
      </c>
    </row>
    <row r="72" spans="2:8" x14ac:dyDescent="0.3">
      <c r="B72" s="8">
        <v>45548</v>
      </c>
      <c r="C72" s="12">
        <v>378.95</v>
      </c>
      <c r="D72" s="13">
        <f t="shared" si="0"/>
        <v>1.4048702167513971E-2</v>
      </c>
      <c r="G72" s="12">
        <v>25356.5</v>
      </c>
      <c r="H72" s="13">
        <f t="shared" si="1"/>
        <v>2.0294002816067858E-2</v>
      </c>
    </row>
    <row r="73" spans="2:8" x14ac:dyDescent="0.3">
      <c r="B73" s="8">
        <v>45555</v>
      </c>
      <c r="C73" s="12">
        <v>365.35</v>
      </c>
      <c r="D73" s="13">
        <f t="shared" si="0"/>
        <v>-3.5888639662224442E-2</v>
      </c>
      <c r="G73" s="12">
        <v>25790.949219999999</v>
      </c>
      <c r="H73" s="13">
        <f t="shared" si="1"/>
        <v>1.7133643050105452E-2</v>
      </c>
    </row>
    <row r="74" spans="2:8" x14ac:dyDescent="0.3">
      <c r="B74" s="8">
        <v>45562</v>
      </c>
      <c r="C74" s="12">
        <v>368.85</v>
      </c>
      <c r="D74" s="13">
        <f t="shared" ref="D74:D109" si="2">C74/C73-1</f>
        <v>9.5798549336252314E-3</v>
      </c>
      <c r="G74" s="12">
        <v>26178.949219999999</v>
      </c>
      <c r="H74" s="13">
        <f t="shared" ref="H74:H109" si="3">G74/G73-1</f>
        <v>1.5044037219813511E-2</v>
      </c>
    </row>
    <row r="75" spans="2:8" x14ac:dyDescent="0.3">
      <c r="B75" s="8">
        <v>45569</v>
      </c>
      <c r="C75" s="12">
        <v>346.35</v>
      </c>
      <c r="D75" s="13">
        <f t="shared" si="2"/>
        <v>-6.1000406669377782E-2</v>
      </c>
      <c r="G75" s="12">
        <v>25014.599610000001</v>
      </c>
      <c r="H75" s="13">
        <f t="shared" si="3"/>
        <v>-4.4476560163479228E-2</v>
      </c>
    </row>
    <row r="76" spans="2:8" x14ac:dyDescent="0.3">
      <c r="B76" s="8">
        <v>45576</v>
      </c>
      <c r="C76" s="12">
        <v>346.15</v>
      </c>
      <c r="D76" s="13">
        <f t="shared" si="2"/>
        <v>-5.7745055579627724E-4</v>
      </c>
      <c r="G76" s="12">
        <v>24964.25</v>
      </c>
      <c r="H76" s="13">
        <f t="shared" si="3"/>
        <v>-2.0128089509724445E-3</v>
      </c>
    </row>
    <row r="77" spans="2:8" x14ac:dyDescent="0.3">
      <c r="B77" s="8">
        <v>45583</v>
      </c>
      <c r="C77" s="12">
        <v>339.95</v>
      </c>
      <c r="D77" s="13">
        <f t="shared" si="2"/>
        <v>-1.7911310125668045E-2</v>
      </c>
      <c r="G77" s="12">
        <v>24854.050780000001</v>
      </c>
      <c r="H77" s="13">
        <f t="shared" si="3"/>
        <v>-4.414281222147598E-3</v>
      </c>
    </row>
    <row r="78" spans="2:8" x14ac:dyDescent="0.3">
      <c r="B78" s="8">
        <v>45590</v>
      </c>
      <c r="C78" s="12">
        <v>312</v>
      </c>
      <c r="D78" s="13">
        <f t="shared" si="2"/>
        <v>-8.2217973231357488E-2</v>
      </c>
      <c r="G78" s="12">
        <v>24180.800780000001</v>
      </c>
      <c r="H78" s="13">
        <f t="shared" si="3"/>
        <v>-2.7088139714503301E-2</v>
      </c>
    </row>
    <row r="79" spans="2:8" x14ac:dyDescent="0.3">
      <c r="B79" s="8">
        <v>45597</v>
      </c>
      <c r="C79" s="12">
        <v>317.8</v>
      </c>
      <c r="D79" s="13">
        <f t="shared" si="2"/>
        <v>1.8589743589743524E-2</v>
      </c>
      <c r="G79" s="12">
        <v>24304.349610000001</v>
      </c>
      <c r="H79" s="13">
        <f t="shared" si="3"/>
        <v>5.1093771097185936E-3</v>
      </c>
    </row>
    <row r="80" spans="2:8" x14ac:dyDescent="0.3">
      <c r="B80" s="8">
        <v>45604</v>
      </c>
      <c r="C80" s="12">
        <v>321.3</v>
      </c>
      <c r="D80" s="13">
        <f t="shared" si="2"/>
        <v>1.1013215859030812E-2</v>
      </c>
      <c r="G80" s="12">
        <v>24148.199219999999</v>
      </c>
      <c r="H80" s="13">
        <f t="shared" si="3"/>
        <v>-6.424791961343157E-3</v>
      </c>
    </row>
    <row r="81" spans="2:8" x14ac:dyDescent="0.3">
      <c r="B81" s="8">
        <v>45610</v>
      </c>
      <c r="C81" s="12">
        <v>335.8</v>
      </c>
      <c r="D81" s="13">
        <f t="shared" si="2"/>
        <v>4.5129162776221587E-2</v>
      </c>
      <c r="G81" s="12">
        <v>23555.5</v>
      </c>
      <c r="H81" s="13">
        <f t="shared" si="3"/>
        <v>-2.4544240943196849E-2</v>
      </c>
    </row>
    <row r="82" spans="2:8" x14ac:dyDescent="0.3">
      <c r="B82" s="8">
        <v>45618</v>
      </c>
      <c r="C82" s="12">
        <v>331.5</v>
      </c>
      <c r="D82" s="13">
        <f t="shared" si="2"/>
        <v>-1.2805241215008922E-2</v>
      </c>
      <c r="G82" s="12">
        <v>23349.900389999999</v>
      </c>
      <c r="H82" s="13">
        <f t="shared" si="3"/>
        <v>-8.7283059158158594E-3</v>
      </c>
    </row>
    <row r="83" spans="2:8" x14ac:dyDescent="0.3">
      <c r="B83" s="8">
        <v>45625</v>
      </c>
      <c r="C83" s="12">
        <v>365.15</v>
      </c>
      <c r="D83" s="13">
        <f t="shared" si="2"/>
        <v>0.10150829562594255</v>
      </c>
      <c r="G83" s="12">
        <v>23914.150389999999</v>
      </c>
      <c r="H83" s="13">
        <f t="shared" si="3"/>
        <v>2.4164985313669618E-2</v>
      </c>
    </row>
    <row r="84" spans="2:8" x14ac:dyDescent="0.3">
      <c r="B84" s="8">
        <v>45632</v>
      </c>
      <c r="C84" s="12">
        <v>380.05</v>
      </c>
      <c r="D84" s="13">
        <f t="shared" si="2"/>
        <v>4.080514856908124E-2</v>
      </c>
      <c r="G84" s="12">
        <v>24708.400389999999</v>
      </c>
      <c r="H84" s="13">
        <f t="shared" si="3"/>
        <v>3.3212553531992706E-2</v>
      </c>
    </row>
    <row r="85" spans="2:8" x14ac:dyDescent="0.3">
      <c r="B85" s="8">
        <v>45639</v>
      </c>
      <c r="C85" s="12">
        <v>352.8</v>
      </c>
      <c r="D85" s="13">
        <f t="shared" si="2"/>
        <v>-7.1701091961584029E-2</v>
      </c>
      <c r="G85" s="12">
        <v>24548.699219999999</v>
      </c>
      <c r="H85" s="13">
        <f t="shared" si="3"/>
        <v>-6.4634362192315109E-3</v>
      </c>
    </row>
    <row r="86" spans="2:8" x14ac:dyDescent="0.3">
      <c r="B86" s="8">
        <v>45646</v>
      </c>
      <c r="C86" s="12">
        <v>335.95</v>
      </c>
      <c r="D86" s="13">
        <f t="shared" si="2"/>
        <v>-4.776077097505671E-2</v>
      </c>
      <c r="G86" s="12">
        <v>23951.699219999999</v>
      </c>
      <c r="H86" s="13">
        <f t="shared" si="3"/>
        <v>-2.4319007481814703E-2</v>
      </c>
    </row>
    <row r="87" spans="2:8" x14ac:dyDescent="0.3">
      <c r="B87" s="8">
        <v>45653</v>
      </c>
      <c r="C87" s="12">
        <v>352.55</v>
      </c>
      <c r="D87" s="13">
        <f t="shared" si="2"/>
        <v>4.9412114898050419E-2</v>
      </c>
      <c r="G87" s="12">
        <v>23750.199219999999</v>
      </c>
      <c r="H87" s="13">
        <f t="shared" si="3"/>
        <v>-8.4127642948916836E-3</v>
      </c>
    </row>
    <row r="88" spans="2:8" x14ac:dyDescent="0.3">
      <c r="B88" s="8">
        <v>45660</v>
      </c>
      <c r="C88" s="12">
        <v>369.25</v>
      </c>
      <c r="D88" s="13">
        <f t="shared" si="2"/>
        <v>4.7369167493972464E-2</v>
      </c>
      <c r="G88" s="12">
        <v>24188.650389999999</v>
      </c>
      <c r="H88" s="13">
        <f t="shared" si="3"/>
        <v>1.8460947040426667E-2</v>
      </c>
    </row>
    <row r="89" spans="2:8" x14ac:dyDescent="0.3">
      <c r="B89" s="8">
        <v>45667</v>
      </c>
      <c r="C89" s="12">
        <v>360.95</v>
      </c>
      <c r="D89" s="13">
        <f t="shared" si="2"/>
        <v>-2.2477995937711603E-2</v>
      </c>
      <c r="G89" s="12">
        <v>23526.5</v>
      </c>
      <c r="H89" s="13">
        <f t="shared" si="3"/>
        <v>-2.737442475392271E-2</v>
      </c>
    </row>
    <row r="90" spans="2:8" x14ac:dyDescent="0.3">
      <c r="B90" s="8">
        <v>45674</v>
      </c>
      <c r="C90" s="12">
        <v>393.7</v>
      </c>
      <c r="D90" s="13">
        <f t="shared" si="2"/>
        <v>9.0732788474858106E-2</v>
      </c>
      <c r="G90" s="12">
        <v>23311.800780000001</v>
      </c>
      <c r="H90" s="13">
        <f t="shared" si="3"/>
        <v>-9.1258461734639029E-3</v>
      </c>
    </row>
    <row r="91" spans="2:8" x14ac:dyDescent="0.3">
      <c r="B91" s="8">
        <v>45681</v>
      </c>
      <c r="C91" s="12">
        <v>388.25</v>
      </c>
      <c r="D91" s="13">
        <f t="shared" si="2"/>
        <v>-1.3843027686055387E-2</v>
      </c>
      <c r="G91" s="12">
        <v>23205.349610000001</v>
      </c>
      <c r="H91" s="13">
        <f t="shared" si="3"/>
        <v>-4.5664069886581782E-3</v>
      </c>
    </row>
    <row r="92" spans="2:8" x14ac:dyDescent="0.3">
      <c r="B92" s="8">
        <v>45689</v>
      </c>
      <c r="C92" s="12">
        <v>370.45</v>
      </c>
      <c r="D92" s="13">
        <f t="shared" si="2"/>
        <v>-4.5846748229233736E-2</v>
      </c>
      <c r="G92" s="12">
        <v>23508.400389999999</v>
      </c>
      <c r="H92" s="13">
        <f t="shared" si="3"/>
        <v>1.3059522269356583E-2</v>
      </c>
    </row>
    <row r="93" spans="2:8" x14ac:dyDescent="0.3">
      <c r="B93" s="8">
        <v>45695</v>
      </c>
      <c r="C93" s="12">
        <v>386.8</v>
      </c>
      <c r="D93" s="13">
        <f t="shared" si="2"/>
        <v>4.4135510865163985E-2</v>
      </c>
      <c r="G93" s="12">
        <v>23603.349610000001</v>
      </c>
      <c r="H93" s="13">
        <f t="shared" si="3"/>
        <v>4.0389485641223466E-3</v>
      </c>
    </row>
    <row r="94" spans="2:8" x14ac:dyDescent="0.3">
      <c r="B94" s="8">
        <v>45702</v>
      </c>
      <c r="C94" s="12">
        <v>349.35</v>
      </c>
      <c r="D94" s="13">
        <f t="shared" si="2"/>
        <v>-9.6820062047569766E-2</v>
      </c>
      <c r="G94" s="12">
        <v>23031.400389999999</v>
      </c>
      <c r="H94" s="13">
        <f t="shared" si="3"/>
        <v>-2.4231697172238831E-2</v>
      </c>
    </row>
    <row r="95" spans="2:8" x14ac:dyDescent="0.3">
      <c r="B95" s="8">
        <v>45709</v>
      </c>
      <c r="C95" s="12">
        <v>322.5</v>
      </c>
      <c r="D95" s="13">
        <f t="shared" si="2"/>
        <v>-7.6857020180335023E-2</v>
      </c>
      <c r="G95" s="12">
        <v>22913.150389999999</v>
      </c>
      <c r="H95" s="13">
        <f t="shared" si="3"/>
        <v>-5.1342948321693171E-3</v>
      </c>
    </row>
    <row r="96" spans="2:8" x14ac:dyDescent="0.3">
      <c r="B96" s="8">
        <v>45716</v>
      </c>
      <c r="C96" s="12">
        <v>302.45</v>
      </c>
      <c r="D96" s="13">
        <f t="shared" si="2"/>
        <v>-6.217054263565891E-2</v>
      </c>
      <c r="G96" s="12">
        <v>22545.050780000001</v>
      </c>
      <c r="H96" s="13">
        <f t="shared" si="3"/>
        <v>-1.6064993409227846E-2</v>
      </c>
    </row>
    <row r="97" spans="2:8" x14ac:dyDescent="0.3">
      <c r="B97" s="8">
        <v>45723</v>
      </c>
      <c r="C97" s="12">
        <v>333.7</v>
      </c>
      <c r="D97" s="13">
        <f t="shared" si="2"/>
        <v>0.10332286328318729</v>
      </c>
      <c r="G97" s="12">
        <v>22544.699219999999</v>
      </c>
      <c r="H97" s="13">
        <f t="shared" si="3"/>
        <v>-1.559366636316728E-5</v>
      </c>
    </row>
    <row r="98" spans="2:8" x14ac:dyDescent="0.3">
      <c r="B98" s="8">
        <v>45729</v>
      </c>
      <c r="C98" s="12">
        <v>323.05</v>
      </c>
      <c r="D98" s="13">
        <f t="shared" si="2"/>
        <v>-3.1914893617021156E-2</v>
      </c>
      <c r="G98" s="12">
        <v>22470.5</v>
      </c>
      <c r="H98" s="13">
        <f t="shared" si="3"/>
        <v>-3.2912046985383858E-3</v>
      </c>
    </row>
    <row r="99" spans="2:8" x14ac:dyDescent="0.3">
      <c r="B99" s="8">
        <v>45737</v>
      </c>
      <c r="C99" s="12">
        <v>344.1</v>
      </c>
      <c r="D99" s="13">
        <f t="shared" si="2"/>
        <v>6.5160191920755395E-2</v>
      </c>
      <c r="G99" s="12">
        <v>23190.650389999999</v>
      </c>
      <c r="H99" s="13">
        <f t="shared" si="3"/>
        <v>3.2048703411138968E-2</v>
      </c>
    </row>
    <row r="100" spans="2:8" x14ac:dyDescent="0.3">
      <c r="B100" s="8">
        <v>45744</v>
      </c>
      <c r="C100" s="12">
        <v>341.7</v>
      </c>
      <c r="D100" s="13">
        <f t="shared" si="2"/>
        <v>-6.9747166521361148E-3</v>
      </c>
      <c r="G100" s="12">
        <v>23591.949219999999</v>
      </c>
      <c r="H100" s="13">
        <f t="shared" si="3"/>
        <v>1.7304337017345794E-2</v>
      </c>
    </row>
    <row r="101" spans="2:8" x14ac:dyDescent="0.3">
      <c r="B101" s="8">
        <v>45751</v>
      </c>
      <c r="C101" s="12">
        <v>327.8</v>
      </c>
      <c r="D101" s="13">
        <f t="shared" si="2"/>
        <v>-4.0678958150424327E-2</v>
      </c>
      <c r="G101" s="12">
        <v>23250.099610000001</v>
      </c>
      <c r="H101" s="13">
        <f t="shared" si="3"/>
        <v>-1.449009604133078E-2</v>
      </c>
    </row>
    <row r="102" spans="2:8" x14ac:dyDescent="0.3">
      <c r="B102" s="8">
        <v>45758</v>
      </c>
      <c r="C102" s="12">
        <v>316.55</v>
      </c>
      <c r="D102" s="13">
        <f t="shared" si="2"/>
        <v>-3.4319707138499078E-2</v>
      </c>
      <c r="G102" s="12">
        <v>22535.849610000001</v>
      </c>
      <c r="H102" s="13">
        <f t="shared" si="3"/>
        <v>-3.0720298492519005E-2</v>
      </c>
    </row>
    <row r="103" spans="2:8" x14ac:dyDescent="0.3">
      <c r="B103" s="8">
        <v>45764</v>
      </c>
      <c r="C103" s="12">
        <v>331.3</v>
      </c>
      <c r="D103" s="13">
        <f t="shared" si="2"/>
        <v>4.6596114357921437E-2</v>
      </c>
      <c r="G103" s="12">
        <v>23437.199219999999</v>
      </c>
      <c r="H103" s="13">
        <f t="shared" si="3"/>
        <v>3.9996255992054364E-2</v>
      </c>
    </row>
    <row r="104" spans="2:8" x14ac:dyDescent="0.3">
      <c r="B104" s="8">
        <v>45772</v>
      </c>
      <c r="C104" s="12">
        <v>311.85000000000002</v>
      </c>
      <c r="D104" s="13">
        <f t="shared" si="2"/>
        <v>-5.8708119529127689E-2</v>
      </c>
      <c r="G104" s="12">
        <v>24246.699219999999</v>
      </c>
      <c r="H104" s="13">
        <f t="shared" si="3"/>
        <v>3.4539109916735145E-2</v>
      </c>
    </row>
    <row r="105" spans="2:8" x14ac:dyDescent="0.3">
      <c r="B105" s="8">
        <v>45779</v>
      </c>
      <c r="C105" s="12">
        <v>318.89999999999998</v>
      </c>
      <c r="D105" s="13">
        <f t="shared" si="2"/>
        <v>2.260702260702252E-2</v>
      </c>
      <c r="G105" s="12">
        <v>24335.949219999999</v>
      </c>
      <c r="H105" s="13">
        <f t="shared" si="3"/>
        <v>3.6809133973330077E-3</v>
      </c>
    </row>
    <row r="106" spans="2:8" x14ac:dyDescent="0.3">
      <c r="B106" s="8">
        <v>45786</v>
      </c>
      <c r="C106" s="12">
        <v>329.9</v>
      </c>
      <c r="D106" s="13">
        <f t="shared" si="2"/>
        <v>3.4493571652555621E-2</v>
      </c>
      <c r="G106" s="12">
        <v>24273.800780000001</v>
      </c>
      <c r="H106" s="13">
        <f t="shared" si="3"/>
        <v>-2.5537709434781952E-3</v>
      </c>
    </row>
    <row r="107" spans="2:8" x14ac:dyDescent="0.3">
      <c r="B107" s="8">
        <v>45793</v>
      </c>
      <c r="C107" s="12">
        <v>339.4</v>
      </c>
      <c r="D107" s="13">
        <f t="shared" si="2"/>
        <v>2.8796605031827793E-2</v>
      </c>
      <c r="G107" s="12">
        <v>25062.099610000001</v>
      </c>
      <c r="H107" s="13">
        <f t="shared" si="3"/>
        <v>3.2475294542645639E-2</v>
      </c>
    </row>
    <row r="108" spans="2:8" x14ac:dyDescent="0.3">
      <c r="B108" s="8">
        <v>45800</v>
      </c>
      <c r="C108" s="12">
        <v>330.75</v>
      </c>
      <c r="D108" s="13">
        <f t="shared" si="2"/>
        <v>-2.548615203299931E-2</v>
      </c>
      <c r="G108" s="12">
        <v>24609.699219999999</v>
      </c>
      <c r="H108" s="13">
        <f t="shared" si="3"/>
        <v>-1.8051176758530296E-2</v>
      </c>
    </row>
    <row r="109" spans="2:8" x14ac:dyDescent="0.3">
      <c r="B109" s="8">
        <v>45807</v>
      </c>
      <c r="C109" s="12">
        <v>335.85</v>
      </c>
      <c r="D109" s="13">
        <f t="shared" si="2"/>
        <v>1.5419501133786984E-2</v>
      </c>
      <c r="G109" s="12">
        <v>24833.599610000001</v>
      </c>
      <c r="H109" s="13">
        <f t="shared" si="3"/>
        <v>9.0980547140553369E-3</v>
      </c>
    </row>
    <row r="110" spans="2:8" x14ac:dyDescent="0.3">
      <c r="B110" s="8"/>
    </row>
    <row r="111" spans="2:8" x14ac:dyDescent="0.3">
      <c r="B111" s="8"/>
    </row>
    <row r="112" spans="2:8" x14ac:dyDescent="0.3">
      <c r="B112" s="8"/>
    </row>
  </sheetData>
  <mergeCells count="4">
    <mergeCell ref="B3:H3"/>
    <mergeCell ref="B5:D5"/>
    <mergeCell ref="G5:H5"/>
    <mergeCell ref="J5:K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AF575-EF9B-4EE1-9FE4-ED14FAEAAEBD}">
  <dimension ref="B3:U112"/>
  <sheetViews>
    <sheetView showGridLines="0" workbookViewId="0">
      <selection activeCell="L11" sqref="L11"/>
    </sheetView>
  </sheetViews>
  <sheetFormatPr defaultRowHeight="14.4" x14ac:dyDescent="0.3"/>
  <cols>
    <col min="1" max="1" width="1.88671875" customWidth="1"/>
    <col min="2" max="2" width="10.33203125" bestFit="1" customWidth="1"/>
    <col min="3" max="3" width="16.109375" customWidth="1"/>
    <col min="7" max="7" width="14.77734375" customWidth="1"/>
    <col min="10" max="10" width="17.5546875" bestFit="1" customWidth="1"/>
    <col min="13" max="13" width="16.6640625" bestFit="1" customWidth="1"/>
    <col min="14" max="14" width="20.21875" bestFit="1" customWidth="1"/>
  </cols>
  <sheetData>
    <row r="3" spans="2:14" x14ac:dyDescent="0.3">
      <c r="B3" s="18" t="s">
        <v>50</v>
      </c>
      <c r="C3" s="18"/>
      <c r="D3" s="18"/>
      <c r="E3" s="18"/>
      <c r="F3" s="18"/>
      <c r="G3" s="18"/>
      <c r="H3" s="18"/>
    </row>
    <row r="5" spans="2:14" x14ac:dyDescent="0.3">
      <c r="B5" s="17" t="s">
        <v>54</v>
      </c>
      <c r="C5" s="17"/>
      <c r="D5" s="17"/>
      <c r="G5" s="17" t="s">
        <v>55</v>
      </c>
      <c r="H5" s="17"/>
      <c r="J5" s="17" t="s">
        <v>63</v>
      </c>
      <c r="K5" s="17"/>
      <c r="M5" t="s">
        <v>69</v>
      </c>
      <c r="N5" s="19">
        <f>SLOPE(D9:D109,H9:H109)</f>
        <v>1.3515249811048193</v>
      </c>
    </row>
    <row r="6" spans="2:14" x14ac:dyDescent="0.3">
      <c r="J6" t="s">
        <v>64</v>
      </c>
      <c r="K6" s="19">
        <f>N8</f>
        <v>1.3515249811048202</v>
      </c>
      <c r="M6" t="s">
        <v>70</v>
      </c>
      <c r="N6" s="19">
        <f>_xlfn.COVARIANCE.S(D9:D109,H9:H109)/_xlfn.VAR.S(H9:H109)</f>
        <v>1.3515249811048193</v>
      </c>
    </row>
    <row r="7" spans="2:14" x14ac:dyDescent="0.3">
      <c r="B7" s="10" t="s">
        <v>51</v>
      </c>
      <c r="C7" s="11" t="s">
        <v>52</v>
      </c>
      <c r="D7" s="11" t="s">
        <v>53</v>
      </c>
      <c r="G7" s="11" t="s">
        <v>56</v>
      </c>
      <c r="H7" s="11" t="s">
        <v>53</v>
      </c>
      <c r="J7" t="s">
        <v>67</v>
      </c>
      <c r="K7" s="13">
        <v>0.75</v>
      </c>
    </row>
    <row r="8" spans="2:14" x14ac:dyDescent="0.3">
      <c r="B8" s="8">
        <v>45100</v>
      </c>
      <c r="C8" s="12">
        <v>578.58596370422902</v>
      </c>
      <c r="G8" s="12">
        <v>18665.5</v>
      </c>
      <c r="J8" t="s">
        <v>65</v>
      </c>
      <c r="K8" s="13">
        <v>0.25</v>
      </c>
      <c r="M8" t="s">
        <v>71</v>
      </c>
      <c r="N8" s="19">
        <f>N31</f>
        <v>1.3515249811048202</v>
      </c>
    </row>
    <row r="9" spans="2:14" x14ac:dyDescent="0.3">
      <c r="B9" s="8">
        <v>45107</v>
      </c>
      <c r="C9" s="12">
        <v>597.42202384377003</v>
      </c>
      <c r="D9" s="13">
        <f>C9/C8-1</f>
        <v>3.2555335457757462E-2</v>
      </c>
      <c r="G9" s="12">
        <v>19189.05</v>
      </c>
      <c r="H9" s="13">
        <f>G9/G8-1</f>
        <v>2.8049074495727355E-2</v>
      </c>
      <c r="J9" t="s">
        <v>66</v>
      </c>
      <c r="K9">
        <v>1</v>
      </c>
    </row>
    <row r="10" spans="2:14" x14ac:dyDescent="0.3">
      <c r="B10" s="8">
        <v>45114</v>
      </c>
      <c r="C10" s="12">
        <v>607.83667085213995</v>
      </c>
      <c r="D10" s="13">
        <f t="shared" ref="D10:D73" si="0">C10/C9-1</f>
        <v>1.7432646592709933E-2</v>
      </c>
      <c r="G10" s="12">
        <v>19331.8</v>
      </c>
      <c r="H10" s="13">
        <f t="shared" ref="H10:H73" si="1">G10/G9-1</f>
        <v>7.4391384669902916E-3</v>
      </c>
    </row>
    <row r="11" spans="2:14" x14ac:dyDescent="0.3">
      <c r="B11" s="8">
        <v>45121</v>
      </c>
      <c r="C11" s="12">
        <v>598.71762586395005</v>
      </c>
      <c r="D11" s="13">
        <f t="shared" si="0"/>
        <v>-1.5002459419576786E-2</v>
      </c>
      <c r="G11" s="12">
        <v>19564.5</v>
      </c>
      <c r="H11" s="13">
        <f t="shared" si="1"/>
        <v>1.2037161567986399E-2</v>
      </c>
      <c r="J11" s="24" t="s">
        <v>68</v>
      </c>
      <c r="K11" s="25">
        <f>(K6*K7)+(K8*K9)</f>
        <v>1.2636437358286152</v>
      </c>
    </row>
    <row r="12" spans="2:14" x14ac:dyDescent="0.3">
      <c r="B12" s="8">
        <v>45128</v>
      </c>
      <c r="C12" s="12">
        <v>600.71085974114999</v>
      </c>
      <c r="D12" s="13">
        <f t="shared" si="0"/>
        <v>3.3291718684975713E-3</v>
      </c>
      <c r="G12" s="12">
        <v>19745</v>
      </c>
      <c r="H12" s="13">
        <f t="shared" si="1"/>
        <v>9.225893838329613E-3</v>
      </c>
    </row>
    <row r="13" spans="2:14" x14ac:dyDescent="0.3">
      <c r="B13" s="8">
        <v>45135</v>
      </c>
      <c r="C13" s="12">
        <v>603.99969563852903</v>
      </c>
      <c r="D13" s="13">
        <f t="shared" si="0"/>
        <v>5.474906677725544E-3</v>
      </c>
      <c r="G13" s="12">
        <v>19646.05</v>
      </c>
      <c r="H13" s="13">
        <f t="shared" si="1"/>
        <v>-5.0113952899468739E-3</v>
      </c>
    </row>
    <row r="14" spans="2:14" x14ac:dyDescent="0.3">
      <c r="B14" s="8">
        <v>45142</v>
      </c>
      <c r="C14" s="12">
        <v>536.47889804837996</v>
      </c>
      <c r="D14" s="13">
        <f t="shared" si="0"/>
        <v>-0.1117894563154842</v>
      </c>
      <c r="G14" s="12">
        <v>19517</v>
      </c>
      <c r="H14" s="13">
        <f t="shared" si="1"/>
        <v>-6.568750461288575E-3</v>
      </c>
      <c r="M14" t="s">
        <v>72</v>
      </c>
    </row>
    <row r="15" spans="2:14" ht="15" thickBot="1" x14ac:dyDescent="0.35">
      <c r="B15" s="8">
        <v>45149</v>
      </c>
      <c r="C15" s="12">
        <v>528.05748491720999</v>
      </c>
      <c r="D15" s="13">
        <f t="shared" si="0"/>
        <v>-1.5697566412780972E-2</v>
      </c>
      <c r="G15" s="12">
        <v>19428.3</v>
      </c>
      <c r="H15" s="13">
        <f t="shared" si="1"/>
        <v>-4.5447558538710409E-3</v>
      </c>
    </row>
    <row r="16" spans="2:14" x14ac:dyDescent="0.3">
      <c r="B16" s="8">
        <v>45156</v>
      </c>
      <c r="C16" s="12">
        <v>531.59547504924001</v>
      </c>
      <c r="D16" s="13">
        <f t="shared" si="0"/>
        <v>6.7000094366329588E-3</v>
      </c>
      <c r="G16" s="12">
        <v>19310.150000000001</v>
      </c>
      <c r="H16" s="13">
        <f t="shared" si="1"/>
        <v>-6.0813349598265454E-3</v>
      </c>
      <c r="M16" s="23" t="s">
        <v>73</v>
      </c>
      <c r="N16" s="23"/>
    </row>
    <row r="17" spans="2:21" x14ac:dyDescent="0.3">
      <c r="B17" s="8">
        <v>45163</v>
      </c>
      <c r="C17" s="12">
        <v>551.72713720896002</v>
      </c>
      <c r="D17" s="13">
        <f t="shared" si="0"/>
        <v>3.7870266216722959E-2</v>
      </c>
      <c r="G17" s="12">
        <v>19265.8</v>
      </c>
      <c r="H17" s="13">
        <f t="shared" si="1"/>
        <v>-2.2967196008317758E-3</v>
      </c>
      <c r="M17" s="20" t="s">
        <v>74</v>
      </c>
      <c r="N17" s="20">
        <v>0.41017039558703811</v>
      </c>
    </row>
    <row r="18" spans="2:21" x14ac:dyDescent="0.3">
      <c r="B18" s="8">
        <v>45170</v>
      </c>
      <c r="C18" s="12">
        <v>573.00490884807004</v>
      </c>
      <c r="D18" s="13">
        <f t="shared" si="0"/>
        <v>3.8565751445086782E-2</v>
      </c>
      <c r="G18" s="12">
        <v>19435.3</v>
      </c>
      <c r="H18" s="13">
        <f t="shared" si="1"/>
        <v>8.7979736112697715E-3</v>
      </c>
      <c r="M18" s="20" t="s">
        <v>75</v>
      </c>
      <c r="N18" s="20">
        <v>0.16823975341602732</v>
      </c>
    </row>
    <row r="19" spans="2:21" x14ac:dyDescent="0.3">
      <c r="B19" s="8">
        <v>45177</v>
      </c>
      <c r="C19" s="12">
        <v>601.95836929769996</v>
      </c>
      <c r="D19" s="13">
        <f t="shared" si="0"/>
        <v>5.0529166508950007E-2</v>
      </c>
      <c r="G19" s="12">
        <v>19819.95</v>
      </c>
      <c r="H19" s="13">
        <f t="shared" si="1"/>
        <v>1.9791307569216876E-2</v>
      </c>
      <c r="M19" s="20" t="s">
        <v>76</v>
      </c>
      <c r="N19" s="20">
        <v>0.15983813476366396</v>
      </c>
    </row>
    <row r="20" spans="2:21" x14ac:dyDescent="0.3">
      <c r="B20" s="8">
        <v>45184</v>
      </c>
      <c r="C20" s="12">
        <v>571.46114179845495</v>
      </c>
      <c r="D20" s="13">
        <f t="shared" si="0"/>
        <v>-5.0663349917081324E-2</v>
      </c>
      <c r="G20" s="12">
        <v>20192.349999999999</v>
      </c>
      <c r="H20" s="13">
        <f t="shared" si="1"/>
        <v>1.8789149316723597E-2</v>
      </c>
      <c r="M20" s="20" t="s">
        <v>77</v>
      </c>
      <c r="N20" s="20">
        <v>5.0781190110000367E-2</v>
      </c>
    </row>
    <row r="21" spans="2:21" ht="15" thickBot="1" x14ac:dyDescent="0.35">
      <c r="B21" s="8">
        <v>45191</v>
      </c>
      <c r="C21" s="12">
        <v>542.31158229017501</v>
      </c>
      <c r="D21" s="13">
        <f t="shared" si="0"/>
        <v>-5.1008821731155396E-2</v>
      </c>
      <c r="G21" s="12">
        <v>19674.25</v>
      </c>
      <c r="H21" s="13">
        <f t="shared" si="1"/>
        <v>-2.5658231954180599E-2</v>
      </c>
      <c r="M21" s="21" t="s">
        <v>78</v>
      </c>
      <c r="N21" s="21">
        <v>101</v>
      </c>
    </row>
    <row r="22" spans="2:21" x14ac:dyDescent="0.3">
      <c r="B22" s="8">
        <v>45198</v>
      </c>
      <c r="C22" s="12">
        <v>566.41986523966</v>
      </c>
      <c r="D22" s="13">
        <f t="shared" si="0"/>
        <v>4.4454670961803888E-2</v>
      </c>
      <c r="G22" s="12">
        <v>19638.3</v>
      </c>
      <c r="H22" s="13">
        <f t="shared" si="1"/>
        <v>-1.8272615220402688E-3</v>
      </c>
    </row>
    <row r="23" spans="2:21" ht="15" thickBot="1" x14ac:dyDescent="0.35">
      <c r="B23" s="8">
        <v>45205</v>
      </c>
      <c r="C23" s="12">
        <v>559.73143891412997</v>
      </c>
      <c r="D23" s="13">
        <f t="shared" si="0"/>
        <v>-1.1808248149453693E-2</v>
      </c>
      <c r="G23" s="12">
        <v>19653.5</v>
      </c>
      <c r="H23" s="13">
        <f t="shared" si="1"/>
        <v>7.7399774929598486E-4</v>
      </c>
      <c r="M23" t="s">
        <v>79</v>
      </c>
    </row>
    <row r="24" spans="2:21" x14ac:dyDescent="0.3">
      <c r="B24" s="8">
        <v>45212</v>
      </c>
      <c r="C24" s="12">
        <v>581.79326306251903</v>
      </c>
      <c r="D24" s="13">
        <f t="shared" si="0"/>
        <v>3.9415016943105119E-2</v>
      </c>
      <c r="G24" s="12">
        <v>19751.05</v>
      </c>
      <c r="H24" s="13">
        <f t="shared" si="1"/>
        <v>4.9634925076957881E-3</v>
      </c>
      <c r="M24" s="22"/>
      <c r="N24" s="22" t="s">
        <v>84</v>
      </c>
      <c r="O24" s="22" t="s">
        <v>85</v>
      </c>
      <c r="P24" s="22" t="s">
        <v>86</v>
      </c>
      <c r="Q24" s="22" t="s">
        <v>87</v>
      </c>
      <c r="R24" s="22" t="s">
        <v>88</v>
      </c>
    </row>
    <row r="25" spans="2:21" x14ac:dyDescent="0.3">
      <c r="B25" s="8">
        <v>45219</v>
      </c>
      <c r="C25" s="12">
        <v>583.04110379489498</v>
      </c>
      <c r="D25" s="13">
        <f t="shared" si="0"/>
        <v>2.1448181194250182E-3</v>
      </c>
      <c r="G25" s="12">
        <v>19542.650000000001</v>
      </c>
      <c r="H25" s="13">
        <f t="shared" si="1"/>
        <v>-1.0551337776978809E-2</v>
      </c>
      <c r="M25" s="20" t="s">
        <v>80</v>
      </c>
      <c r="N25" s="20">
        <v>1</v>
      </c>
      <c r="O25" s="20">
        <v>5.1638237141267251E-2</v>
      </c>
      <c r="P25" s="20">
        <v>5.1638237141267251E-2</v>
      </c>
      <c r="Q25" s="20">
        <v>20.024683382731467</v>
      </c>
      <c r="R25" s="20">
        <v>2.0455200813546083E-5</v>
      </c>
    </row>
    <row r="26" spans="2:21" x14ac:dyDescent="0.3">
      <c r="B26" s="8">
        <v>45226</v>
      </c>
      <c r="C26" s="12">
        <v>562.82608393041903</v>
      </c>
      <c r="D26" s="13">
        <f t="shared" si="0"/>
        <v>-3.4671689067718447E-2</v>
      </c>
      <c r="G26" s="12">
        <v>19047.25</v>
      </c>
      <c r="H26" s="13">
        <f t="shared" si="1"/>
        <v>-2.5349683896503383E-2</v>
      </c>
      <c r="M26" s="20" t="s">
        <v>81</v>
      </c>
      <c r="N26" s="20">
        <v>99</v>
      </c>
      <c r="O26" s="20">
        <v>0.25529419762981193</v>
      </c>
      <c r="P26" s="20">
        <v>2.5787292689879991E-3</v>
      </c>
      <c r="Q26" s="20"/>
      <c r="R26" s="20"/>
    </row>
    <row r="27" spans="2:21" ht="15" thickBot="1" x14ac:dyDescent="0.35">
      <c r="B27" s="8">
        <v>45233</v>
      </c>
      <c r="C27" s="12">
        <v>577.15129553808504</v>
      </c>
      <c r="D27" s="13">
        <f t="shared" si="0"/>
        <v>2.5452288045408E-2</v>
      </c>
      <c r="G27" s="12">
        <v>19230.599999999999</v>
      </c>
      <c r="H27" s="13">
        <f t="shared" si="1"/>
        <v>9.6260615049414966E-3</v>
      </c>
      <c r="M27" s="21" t="s">
        <v>82</v>
      </c>
      <c r="N27" s="21">
        <v>100</v>
      </c>
      <c r="O27" s="21">
        <v>0.30693243477107918</v>
      </c>
      <c r="P27" s="21"/>
      <c r="Q27" s="21"/>
      <c r="R27" s="21"/>
    </row>
    <row r="28" spans="2:21" ht="15" thickBot="1" x14ac:dyDescent="0.35">
      <c r="B28" s="8">
        <v>45240</v>
      </c>
      <c r="C28" s="12">
        <v>591.87581618010995</v>
      </c>
      <c r="D28" s="13">
        <f t="shared" si="0"/>
        <v>2.5512410274150188E-2</v>
      </c>
      <c r="G28" s="12">
        <v>19425.349999999999</v>
      </c>
      <c r="H28" s="13">
        <f t="shared" si="1"/>
        <v>1.0127089118384225E-2</v>
      </c>
    </row>
    <row r="29" spans="2:21" x14ac:dyDescent="0.3">
      <c r="B29" s="8">
        <v>45247</v>
      </c>
      <c r="C29" s="12">
        <v>606.70016408072502</v>
      </c>
      <c r="D29" s="13">
        <f t="shared" si="0"/>
        <v>2.5046382189239491E-2</v>
      </c>
      <c r="G29" s="12">
        <v>19731.8</v>
      </c>
      <c r="H29" s="13">
        <f t="shared" si="1"/>
        <v>1.5775777527818002E-2</v>
      </c>
      <c r="M29" s="22"/>
      <c r="N29" s="22" t="s">
        <v>89</v>
      </c>
      <c r="O29" s="22" t="s">
        <v>77</v>
      </c>
      <c r="P29" s="22" t="s">
        <v>90</v>
      </c>
      <c r="Q29" s="22" t="s">
        <v>91</v>
      </c>
      <c r="R29" s="22" t="s">
        <v>92</v>
      </c>
      <c r="S29" s="22" t="s">
        <v>93</v>
      </c>
      <c r="T29" s="22" t="s">
        <v>94</v>
      </c>
      <c r="U29" s="22" t="s">
        <v>95</v>
      </c>
    </row>
    <row r="30" spans="2:21" x14ac:dyDescent="0.3">
      <c r="B30" s="8">
        <v>45254</v>
      </c>
      <c r="C30" s="12">
        <v>611.69152701022495</v>
      </c>
      <c r="D30" s="13">
        <f t="shared" si="0"/>
        <v>8.2270670505963928E-3</v>
      </c>
      <c r="G30" s="12">
        <v>19794.7</v>
      </c>
      <c r="H30" s="13">
        <f t="shared" si="1"/>
        <v>3.1877476966115648E-3</v>
      </c>
      <c r="M30" s="20" t="s">
        <v>83</v>
      </c>
      <c r="N30" s="20">
        <v>4.0850804452239294E-3</v>
      </c>
      <c r="O30" s="20">
        <v>5.1319597297626402E-3</v>
      </c>
      <c r="P30" s="20">
        <v>0.79600789178695863</v>
      </c>
      <c r="Q30" s="20">
        <v>0.42793203686118253</v>
      </c>
      <c r="R30" s="20">
        <v>-6.0978410454299468E-3</v>
      </c>
      <c r="S30" s="20">
        <v>1.4268001935877805E-2</v>
      </c>
      <c r="T30" s="20">
        <v>-6.0978410454299468E-3</v>
      </c>
      <c r="U30" s="20">
        <v>1.4268001935877805E-2</v>
      </c>
    </row>
    <row r="31" spans="2:21" ht="15" thickBot="1" x14ac:dyDescent="0.35">
      <c r="B31" s="8">
        <v>45261</v>
      </c>
      <c r="C31" s="12">
        <v>651.22312141186501</v>
      </c>
      <c r="D31" s="13">
        <f t="shared" si="0"/>
        <v>6.4626682986536288E-2</v>
      </c>
      <c r="G31" s="12">
        <v>20267.900000000001</v>
      </c>
      <c r="H31" s="13">
        <f t="shared" si="1"/>
        <v>2.3905388816198414E-2</v>
      </c>
      <c r="M31" s="21" t="s">
        <v>96</v>
      </c>
      <c r="N31" s="21">
        <v>1.3515249811048202</v>
      </c>
      <c r="O31" s="21">
        <v>0.30202385631184792</v>
      </c>
      <c r="P31" s="21">
        <v>4.4748947901298681</v>
      </c>
      <c r="Q31" s="21">
        <v>2.0455200813546388E-5</v>
      </c>
      <c r="R31" s="21">
        <v>0.75224412562735143</v>
      </c>
      <c r="S31" s="21">
        <v>1.9508058365822891</v>
      </c>
      <c r="T31" s="21">
        <v>0.75224412562735143</v>
      </c>
      <c r="U31" s="21">
        <v>1.9508058365822891</v>
      </c>
    </row>
    <row r="32" spans="2:21" x14ac:dyDescent="0.3">
      <c r="B32" s="8">
        <v>45268</v>
      </c>
      <c r="C32" s="12">
        <v>677.02846775737999</v>
      </c>
      <c r="D32" s="13">
        <f t="shared" si="0"/>
        <v>3.9625967655399608E-2</v>
      </c>
      <c r="G32" s="12">
        <v>20969.400000000001</v>
      </c>
      <c r="H32" s="13">
        <f t="shared" si="1"/>
        <v>3.4611380557433069E-2</v>
      </c>
    </row>
    <row r="33" spans="2:8" x14ac:dyDescent="0.3">
      <c r="B33" s="8">
        <v>45275</v>
      </c>
      <c r="C33" s="12">
        <v>687.01119361637996</v>
      </c>
      <c r="D33" s="13">
        <f t="shared" si="0"/>
        <v>1.4744913005013238E-2</v>
      </c>
      <c r="G33" s="12">
        <v>21456.65</v>
      </c>
      <c r="H33" s="13">
        <f t="shared" si="1"/>
        <v>2.3236239472755438E-2</v>
      </c>
    </row>
    <row r="34" spans="2:8" x14ac:dyDescent="0.3">
      <c r="B34" s="8">
        <v>45282</v>
      </c>
      <c r="C34" s="12">
        <v>647.77908099051001</v>
      </c>
      <c r="D34" s="13">
        <f t="shared" si="0"/>
        <v>-5.7105492589363482E-2</v>
      </c>
      <c r="G34" s="12">
        <v>21349.4</v>
      </c>
      <c r="H34" s="13">
        <f t="shared" si="1"/>
        <v>-4.9984503638732525E-3</v>
      </c>
    </row>
    <row r="35" spans="2:8" x14ac:dyDescent="0.3">
      <c r="B35" s="8">
        <v>45289</v>
      </c>
      <c r="C35" s="12">
        <v>685.06456207387498</v>
      </c>
      <c r="D35" s="13">
        <f t="shared" si="0"/>
        <v>5.7558945908460446E-2</v>
      </c>
      <c r="G35" s="12">
        <v>21731.4</v>
      </c>
      <c r="H35" s="13">
        <f t="shared" si="1"/>
        <v>1.7892774504201459E-2</v>
      </c>
    </row>
    <row r="36" spans="2:8" x14ac:dyDescent="0.3">
      <c r="B36" s="8">
        <v>45296</v>
      </c>
      <c r="C36" s="12">
        <v>713.51533077202498</v>
      </c>
      <c r="D36" s="13">
        <f t="shared" si="0"/>
        <v>4.1530054644808745E-2</v>
      </c>
      <c r="G36" s="12">
        <v>21710.799999999999</v>
      </c>
      <c r="H36" s="13">
        <f t="shared" si="1"/>
        <v>-9.479370864280412E-4</v>
      </c>
    </row>
    <row r="37" spans="2:8" x14ac:dyDescent="0.3">
      <c r="B37" s="8">
        <v>45303</v>
      </c>
      <c r="C37" s="12">
        <v>736.17611847195496</v>
      </c>
      <c r="D37" s="13">
        <f t="shared" si="0"/>
        <v>3.1759356418328055E-2</v>
      </c>
      <c r="G37" s="12">
        <v>21894.55</v>
      </c>
      <c r="H37" s="13">
        <f t="shared" si="1"/>
        <v>8.4635296718684749E-3</v>
      </c>
    </row>
    <row r="38" spans="2:8" x14ac:dyDescent="0.3">
      <c r="B38" s="8">
        <v>45311</v>
      </c>
      <c r="C38" s="12">
        <v>747.60633958050903</v>
      </c>
      <c r="D38" s="13">
        <f t="shared" si="0"/>
        <v>1.5526476371278131E-2</v>
      </c>
      <c r="G38" s="12">
        <v>21622.400000000001</v>
      </c>
      <c r="H38" s="13">
        <f t="shared" si="1"/>
        <v>-1.2430033958222397E-2</v>
      </c>
    </row>
    <row r="39" spans="2:8" x14ac:dyDescent="0.3">
      <c r="B39" s="8">
        <v>45316</v>
      </c>
      <c r="C39" s="12">
        <v>731.23466917175006</v>
      </c>
      <c r="D39" s="13">
        <f t="shared" si="0"/>
        <v>-2.1898784884495925E-2</v>
      </c>
      <c r="G39" s="12">
        <v>21352.6</v>
      </c>
      <c r="H39" s="13">
        <f t="shared" si="1"/>
        <v>-1.2477800799171379E-2</v>
      </c>
    </row>
    <row r="40" spans="2:8" x14ac:dyDescent="0.3">
      <c r="B40" s="8">
        <v>45324</v>
      </c>
      <c r="C40" s="12">
        <v>765.07610983376003</v>
      </c>
      <c r="D40" s="13">
        <f t="shared" si="0"/>
        <v>4.62798634812287E-2</v>
      </c>
      <c r="G40" s="12">
        <v>21853.8</v>
      </c>
      <c r="H40" s="13">
        <f t="shared" si="1"/>
        <v>2.3472551352060167E-2</v>
      </c>
    </row>
    <row r="41" spans="2:8" x14ac:dyDescent="0.3">
      <c r="B41" s="8">
        <v>45331</v>
      </c>
      <c r="C41" s="12">
        <v>872.88954911095902</v>
      </c>
      <c r="D41" s="13">
        <f t="shared" si="0"/>
        <v>0.14091858037578153</v>
      </c>
      <c r="G41" s="12">
        <v>21782.5</v>
      </c>
      <c r="H41" s="13">
        <f t="shared" si="1"/>
        <v>-3.2625904876955047E-3</v>
      </c>
    </row>
    <row r="42" spans="2:8" x14ac:dyDescent="0.3">
      <c r="B42" s="8">
        <v>45338</v>
      </c>
      <c r="C42" s="12">
        <v>863.95500946715504</v>
      </c>
      <c r="D42" s="13">
        <f t="shared" si="0"/>
        <v>-1.0235590118937599E-2</v>
      </c>
      <c r="G42" s="12">
        <v>22040.7</v>
      </c>
      <c r="H42" s="13">
        <f t="shared" si="1"/>
        <v>1.1853552163433978E-2</v>
      </c>
    </row>
    <row r="43" spans="2:8" x14ac:dyDescent="0.3">
      <c r="B43" s="8">
        <v>45345</v>
      </c>
      <c r="C43" s="12">
        <v>850.42841592821003</v>
      </c>
      <c r="D43" s="13">
        <f t="shared" si="0"/>
        <v>-1.5656594835056881E-2</v>
      </c>
      <c r="G43" s="12">
        <v>22212.7</v>
      </c>
      <c r="H43" s="13">
        <f t="shared" si="1"/>
        <v>7.8037448901351336E-3</v>
      </c>
    </row>
    <row r="44" spans="2:8" x14ac:dyDescent="0.3">
      <c r="B44" s="8">
        <v>45353</v>
      </c>
      <c r="C44" s="12">
        <v>769.019286548065</v>
      </c>
      <c r="D44" s="13">
        <f t="shared" si="0"/>
        <v>-9.572719802793761E-2</v>
      </c>
      <c r="G44" s="12">
        <v>22338.75</v>
      </c>
      <c r="H44" s="13">
        <f t="shared" si="1"/>
        <v>5.6746816010659895E-3</v>
      </c>
    </row>
    <row r="45" spans="2:8" x14ac:dyDescent="0.3">
      <c r="B45" s="8">
        <v>45358</v>
      </c>
      <c r="C45" s="12">
        <v>748.85418031288498</v>
      </c>
      <c r="D45" s="13">
        <f t="shared" si="0"/>
        <v>-2.6221847212306137E-2</v>
      </c>
      <c r="G45" s="12">
        <v>22493.55</v>
      </c>
      <c r="H45" s="13">
        <f t="shared" si="1"/>
        <v>6.929662581836471E-3</v>
      </c>
    </row>
    <row r="46" spans="2:8" x14ac:dyDescent="0.3">
      <c r="B46" s="8">
        <v>45366</v>
      </c>
      <c r="C46" s="12">
        <v>725.69425632000502</v>
      </c>
      <c r="D46" s="13">
        <f t="shared" si="0"/>
        <v>-3.0927147903752505E-2</v>
      </c>
      <c r="G46" s="12">
        <v>22023.35</v>
      </c>
      <c r="H46" s="13">
        <f t="shared" si="1"/>
        <v>-2.0903770191899484E-2</v>
      </c>
    </row>
    <row r="47" spans="2:8" x14ac:dyDescent="0.3">
      <c r="B47" s="8">
        <v>45373</v>
      </c>
      <c r="C47" s="12">
        <v>737.773354609394</v>
      </c>
      <c r="D47" s="13">
        <f t="shared" si="0"/>
        <v>1.6644886168235784E-2</v>
      </c>
      <c r="G47" s="12">
        <v>22096.75</v>
      </c>
      <c r="H47" s="13">
        <f t="shared" si="1"/>
        <v>3.3328262957270649E-3</v>
      </c>
    </row>
    <row r="48" spans="2:8" x14ac:dyDescent="0.3">
      <c r="B48" s="8">
        <v>45379</v>
      </c>
      <c r="C48" s="12">
        <v>818.48369317941001</v>
      </c>
      <c r="D48" s="13">
        <f t="shared" si="0"/>
        <v>0.10939719910696311</v>
      </c>
      <c r="G48" s="12">
        <v>22326.9</v>
      </c>
      <c r="H48" s="13">
        <f t="shared" si="1"/>
        <v>1.0415558849152129E-2</v>
      </c>
    </row>
    <row r="49" spans="2:8" x14ac:dyDescent="0.3">
      <c r="B49" s="8">
        <v>45387</v>
      </c>
      <c r="C49" s="12">
        <v>803.50960439091</v>
      </c>
      <c r="D49" s="13">
        <f t="shared" si="0"/>
        <v>-1.8294914013904151E-2</v>
      </c>
      <c r="G49" s="12">
        <v>22513.7</v>
      </c>
      <c r="H49" s="13">
        <f t="shared" si="1"/>
        <v>8.3665891816597782E-3</v>
      </c>
    </row>
    <row r="50" spans="2:8" x14ac:dyDescent="0.3">
      <c r="B50" s="8">
        <v>45394</v>
      </c>
      <c r="C50" s="12">
        <v>868.94637239665497</v>
      </c>
      <c r="D50" s="13">
        <f t="shared" si="0"/>
        <v>8.1438688035780693E-2</v>
      </c>
      <c r="G50" s="12">
        <v>22519.400389999999</v>
      </c>
      <c r="H50" s="13">
        <f t="shared" si="1"/>
        <v>2.5319649813226874E-4</v>
      </c>
    </row>
    <row r="51" spans="2:8" x14ac:dyDescent="0.3">
      <c r="B51" s="8">
        <v>45401</v>
      </c>
      <c r="C51" s="12">
        <v>771.51496801281496</v>
      </c>
      <c r="D51" s="13">
        <f t="shared" si="0"/>
        <v>-0.11212591188465737</v>
      </c>
      <c r="G51" s="12">
        <v>22147</v>
      </c>
      <c r="H51" s="13">
        <f t="shared" si="1"/>
        <v>-1.6536869701262891E-2</v>
      </c>
    </row>
    <row r="52" spans="2:8" x14ac:dyDescent="0.3">
      <c r="B52" s="8">
        <v>45408</v>
      </c>
      <c r="C52" s="12">
        <v>801.81254099488001</v>
      </c>
      <c r="D52" s="13">
        <f t="shared" si="0"/>
        <v>3.9270233551141898E-2</v>
      </c>
      <c r="G52" s="12">
        <v>22419.949219999999</v>
      </c>
      <c r="H52" s="13">
        <f t="shared" si="1"/>
        <v>1.2324433106063903E-2</v>
      </c>
    </row>
    <row r="53" spans="2:8" x14ac:dyDescent="0.3">
      <c r="B53" s="8">
        <v>45415</v>
      </c>
      <c r="C53" s="12">
        <v>812.04483500035496</v>
      </c>
      <c r="D53" s="13">
        <f t="shared" si="0"/>
        <v>1.2761454183266796E-2</v>
      </c>
      <c r="G53" s="12">
        <v>22475.849610000001</v>
      </c>
      <c r="H53" s="13">
        <f t="shared" si="1"/>
        <v>2.4933325874858525E-3</v>
      </c>
    </row>
    <row r="54" spans="2:8" x14ac:dyDescent="0.3">
      <c r="B54" s="8">
        <v>45422</v>
      </c>
      <c r="C54" s="12">
        <v>809.99837619925995</v>
      </c>
      <c r="D54" s="13">
        <f t="shared" si="0"/>
        <v>-2.5201303091769711E-3</v>
      </c>
      <c r="G54" s="12">
        <v>22055.199219999999</v>
      </c>
      <c r="H54" s="13">
        <f t="shared" si="1"/>
        <v>-1.871566135648306E-2</v>
      </c>
    </row>
    <row r="55" spans="2:8" x14ac:dyDescent="0.3">
      <c r="B55" s="8">
        <v>45430</v>
      </c>
      <c r="C55" s="12">
        <v>844.98783033505504</v>
      </c>
      <c r="D55" s="13">
        <f t="shared" si="0"/>
        <v>4.3196943554350664E-2</v>
      </c>
      <c r="G55" s="12">
        <v>22464.800780000001</v>
      </c>
      <c r="H55" s="13">
        <f t="shared" si="1"/>
        <v>1.8571655413956556E-2</v>
      </c>
    </row>
    <row r="56" spans="2:8" x14ac:dyDescent="0.3">
      <c r="B56" s="8">
        <v>45436</v>
      </c>
      <c r="C56" s="12">
        <v>788.03637930946002</v>
      </c>
      <c r="D56" s="13">
        <f t="shared" si="0"/>
        <v>-6.7399137574576162E-2</v>
      </c>
      <c r="G56" s="12">
        <v>22957.099610000001</v>
      </c>
      <c r="H56" s="13">
        <f t="shared" si="1"/>
        <v>2.1914230836993953E-2</v>
      </c>
    </row>
    <row r="57" spans="2:8" x14ac:dyDescent="0.3">
      <c r="B57" s="8">
        <v>45443</v>
      </c>
      <c r="C57" s="12">
        <v>750.50133007961995</v>
      </c>
      <c r="D57" s="13">
        <f t="shared" si="0"/>
        <v>-4.7631112237142226E-2</v>
      </c>
      <c r="G57" s="12">
        <v>22530.699219999999</v>
      </c>
      <c r="H57" s="13">
        <f t="shared" si="1"/>
        <v>-1.8573791865862055E-2</v>
      </c>
    </row>
    <row r="58" spans="2:8" x14ac:dyDescent="0.3">
      <c r="B58" s="8">
        <v>45450</v>
      </c>
      <c r="C58" s="12">
        <v>825.67125579789001</v>
      </c>
      <c r="D58" s="13">
        <f t="shared" si="0"/>
        <v>0.10015961691939346</v>
      </c>
      <c r="G58" s="12">
        <v>23290.150389999999</v>
      </c>
      <c r="H58" s="13">
        <f t="shared" si="1"/>
        <v>3.3707394634510557E-2</v>
      </c>
    </row>
    <row r="59" spans="2:8" x14ac:dyDescent="0.3">
      <c r="B59" s="8">
        <v>45457</v>
      </c>
      <c r="C59" s="12">
        <v>926.29713245661003</v>
      </c>
      <c r="D59" s="13">
        <f t="shared" si="0"/>
        <v>0.12187159956474436</v>
      </c>
      <c r="G59" s="12">
        <v>23465.599610000001</v>
      </c>
      <c r="H59" s="13">
        <f t="shared" si="1"/>
        <v>7.5331939494618361E-3</v>
      </c>
    </row>
    <row r="60" spans="2:8" x14ac:dyDescent="0.3">
      <c r="B60" s="8">
        <v>45464</v>
      </c>
      <c r="C60" s="12">
        <v>926.64652786167505</v>
      </c>
      <c r="D60" s="13">
        <f t="shared" si="0"/>
        <v>3.7719581851503037E-4</v>
      </c>
      <c r="G60" s="12">
        <v>23501.099610000001</v>
      </c>
      <c r="H60" s="13">
        <f t="shared" si="1"/>
        <v>1.5128528820917975E-3</v>
      </c>
    </row>
    <row r="61" spans="2:8" x14ac:dyDescent="0.3">
      <c r="B61" s="8">
        <v>45471</v>
      </c>
      <c r="C61" s="12">
        <v>939.02510792683495</v>
      </c>
      <c r="D61" s="13">
        <f t="shared" si="0"/>
        <v>1.3358470239698272E-2</v>
      </c>
      <c r="G61" s="12">
        <v>24010.599610000001</v>
      </c>
      <c r="H61" s="13">
        <f t="shared" si="1"/>
        <v>2.1679836622759519E-2</v>
      </c>
    </row>
    <row r="62" spans="2:8" x14ac:dyDescent="0.3">
      <c r="B62" s="8">
        <v>45478</v>
      </c>
      <c r="C62" s="12">
        <v>912.22148899542003</v>
      </c>
      <c r="D62" s="13">
        <f t="shared" si="0"/>
        <v>-2.8544091851379294E-2</v>
      </c>
      <c r="G62" s="12">
        <v>24323.849610000001</v>
      </c>
      <c r="H62" s="13">
        <f t="shared" si="1"/>
        <v>1.3046321420042251E-2</v>
      </c>
    </row>
    <row r="63" spans="2:8" x14ac:dyDescent="0.3">
      <c r="B63" s="8">
        <v>45485</v>
      </c>
      <c r="C63" s="12">
        <v>898.94446360295001</v>
      </c>
      <c r="D63" s="13">
        <f t="shared" si="0"/>
        <v>-1.4554607135040531E-2</v>
      </c>
      <c r="G63" s="12">
        <v>24502.150389999999</v>
      </c>
      <c r="H63" s="13">
        <f t="shared" si="1"/>
        <v>7.3302862358881615E-3</v>
      </c>
    </row>
    <row r="64" spans="2:8" x14ac:dyDescent="0.3">
      <c r="B64" s="8">
        <v>45492</v>
      </c>
      <c r="C64" s="12">
        <v>918.86000169165504</v>
      </c>
      <c r="D64" s="13">
        <f t="shared" si="0"/>
        <v>2.2154358689616904E-2</v>
      </c>
      <c r="G64" s="12">
        <v>24530.900389999999</v>
      </c>
      <c r="H64" s="13">
        <f t="shared" si="1"/>
        <v>1.1733664001889466E-3</v>
      </c>
    </row>
    <row r="65" spans="2:8" x14ac:dyDescent="0.3">
      <c r="B65" s="8">
        <v>45499</v>
      </c>
      <c r="C65" s="12">
        <v>946.86154772614998</v>
      </c>
      <c r="D65" s="13">
        <f t="shared" si="0"/>
        <v>3.0474224564071895E-2</v>
      </c>
      <c r="G65" s="12">
        <v>24834.849610000001</v>
      </c>
      <c r="H65" s="13">
        <f t="shared" si="1"/>
        <v>1.2390463259306594E-2</v>
      </c>
    </row>
    <row r="66" spans="2:8" x14ac:dyDescent="0.3">
      <c r="B66" s="8">
        <v>45506</v>
      </c>
      <c r="C66" s="12">
        <v>914.71717046017</v>
      </c>
      <c r="D66" s="13">
        <f t="shared" si="0"/>
        <v>-3.3948339483394818E-2</v>
      </c>
      <c r="G66" s="12">
        <v>24717.699219999999</v>
      </c>
      <c r="H66" s="13">
        <f t="shared" si="1"/>
        <v>-4.7171773471432754E-3</v>
      </c>
    </row>
    <row r="67" spans="2:8" x14ac:dyDescent="0.3">
      <c r="B67" s="8">
        <v>45513</v>
      </c>
      <c r="C67" s="12">
        <v>881.67434786688</v>
      </c>
      <c r="D67" s="13">
        <f t="shared" si="0"/>
        <v>-3.6123540325221026E-2</v>
      </c>
      <c r="G67" s="12">
        <v>24367.5</v>
      </c>
      <c r="H67" s="13">
        <f t="shared" si="1"/>
        <v>-1.41679537760796E-2</v>
      </c>
    </row>
    <row r="68" spans="2:8" x14ac:dyDescent="0.3">
      <c r="B68" s="8">
        <v>45520</v>
      </c>
      <c r="C68" s="12">
        <v>883.62097940938497</v>
      </c>
      <c r="D68" s="13">
        <f t="shared" si="0"/>
        <v>2.2078804347824832E-3</v>
      </c>
      <c r="G68" s="12">
        <v>24541.150389999999</v>
      </c>
      <c r="H68" s="13">
        <f t="shared" si="1"/>
        <v>7.1263112752641966E-3</v>
      </c>
    </row>
    <row r="69" spans="2:8" x14ac:dyDescent="0.3">
      <c r="B69" s="8">
        <v>45527</v>
      </c>
      <c r="C69" s="12">
        <v>852.95</v>
      </c>
      <c r="D69" s="13">
        <f t="shared" si="0"/>
        <v>-3.4710560437219984E-2</v>
      </c>
      <c r="G69" s="12">
        <v>24823.150389999999</v>
      </c>
      <c r="H69" s="13">
        <f t="shared" si="1"/>
        <v>1.1490903870378766E-2</v>
      </c>
    </row>
    <row r="70" spans="2:8" x14ac:dyDescent="0.3">
      <c r="B70" s="8">
        <v>45534</v>
      </c>
      <c r="C70" s="12">
        <v>862.45</v>
      </c>
      <c r="D70" s="13">
        <f t="shared" si="0"/>
        <v>1.1137815815698504E-2</v>
      </c>
      <c r="G70" s="12">
        <v>25235.900389999999</v>
      </c>
      <c r="H70" s="13">
        <f t="shared" si="1"/>
        <v>1.6627623549599013E-2</v>
      </c>
    </row>
    <row r="71" spans="2:8" x14ac:dyDescent="0.3">
      <c r="B71" s="8">
        <v>45541</v>
      </c>
      <c r="C71" s="12">
        <v>898.55</v>
      </c>
      <c r="D71" s="13">
        <f t="shared" si="0"/>
        <v>4.1857498985448327E-2</v>
      </c>
      <c r="G71" s="12">
        <v>24852.150389999999</v>
      </c>
      <c r="H71" s="13">
        <f t="shared" si="1"/>
        <v>-1.5206511123814104E-2</v>
      </c>
    </row>
    <row r="72" spans="2:8" x14ac:dyDescent="0.3">
      <c r="B72" s="8">
        <v>45548</v>
      </c>
      <c r="C72" s="12">
        <v>908</v>
      </c>
      <c r="D72" s="13">
        <f t="shared" si="0"/>
        <v>1.051694396527747E-2</v>
      </c>
      <c r="G72" s="12">
        <v>25356.5</v>
      </c>
      <c r="H72" s="13">
        <f t="shared" si="1"/>
        <v>2.0294002816067858E-2</v>
      </c>
    </row>
    <row r="73" spans="2:8" x14ac:dyDescent="0.3">
      <c r="B73" s="8">
        <v>45555</v>
      </c>
      <c r="C73" s="12">
        <v>1067.95</v>
      </c>
      <c r="D73" s="13">
        <f t="shared" si="0"/>
        <v>0.17615638766519837</v>
      </c>
      <c r="G73" s="12">
        <v>25790.949219999999</v>
      </c>
      <c r="H73" s="13">
        <f t="shared" si="1"/>
        <v>1.7133643050105452E-2</v>
      </c>
    </row>
    <row r="74" spans="2:8" x14ac:dyDescent="0.3">
      <c r="B74" s="8">
        <v>45562</v>
      </c>
      <c r="C74" s="12">
        <v>994.75</v>
      </c>
      <c r="D74" s="13">
        <f t="shared" ref="D74:D109" si="2">C74/C73-1</f>
        <v>-6.8542534762863427E-2</v>
      </c>
      <c r="G74" s="12">
        <v>26178.949219999999</v>
      </c>
      <c r="H74" s="13">
        <f t="shared" ref="H74:H109" si="3">G74/G73-1</f>
        <v>1.5044037219813511E-2</v>
      </c>
    </row>
    <row r="75" spans="2:8" x14ac:dyDescent="0.3">
      <c r="B75" s="8">
        <v>45569</v>
      </c>
      <c r="C75" s="12">
        <v>926.35</v>
      </c>
      <c r="D75" s="13">
        <f t="shared" si="2"/>
        <v>-6.8760995224930843E-2</v>
      </c>
      <c r="G75" s="12">
        <v>25014.599610000001</v>
      </c>
      <c r="H75" s="13">
        <f t="shared" si="3"/>
        <v>-4.4476560163479228E-2</v>
      </c>
    </row>
    <row r="76" spans="2:8" x14ac:dyDescent="0.3">
      <c r="B76" s="8">
        <v>45576</v>
      </c>
      <c r="C76" s="12">
        <v>939.8</v>
      </c>
      <c r="D76" s="13">
        <f t="shared" si="2"/>
        <v>1.4519350137636833E-2</v>
      </c>
      <c r="G76" s="12">
        <v>24964.25</v>
      </c>
      <c r="H76" s="13">
        <f t="shared" si="3"/>
        <v>-2.0128089509724445E-3</v>
      </c>
    </row>
    <row r="77" spans="2:8" x14ac:dyDescent="0.3">
      <c r="B77" s="8">
        <v>45583</v>
      </c>
      <c r="C77" s="12">
        <v>937.4</v>
      </c>
      <c r="D77" s="13">
        <f t="shared" si="2"/>
        <v>-2.5537348371993396E-3</v>
      </c>
      <c r="G77" s="12">
        <v>24854.050780000001</v>
      </c>
      <c r="H77" s="13">
        <f t="shared" si="3"/>
        <v>-4.414281222147598E-3</v>
      </c>
    </row>
    <row r="78" spans="2:8" x14ac:dyDescent="0.3">
      <c r="B78" s="8">
        <v>45590</v>
      </c>
      <c r="C78" s="12">
        <v>938</v>
      </c>
      <c r="D78" s="13">
        <f t="shared" si="2"/>
        <v>6.4006827394913479E-4</v>
      </c>
      <c r="G78" s="12">
        <v>24180.800780000001</v>
      </c>
      <c r="H78" s="13">
        <f t="shared" si="3"/>
        <v>-2.7088139714503301E-2</v>
      </c>
    </row>
    <row r="79" spans="2:8" x14ac:dyDescent="0.3">
      <c r="B79" s="8">
        <v>45597</v>
      </c>
      <c r="C79" s="12">
        <v>1007.55</v>
      </c>
      <c r="D79" s="13">
        <f t="shared" si="2"/>
        <v>7.4147121535181215E-2</v>
      </c>
      <c r="G79" s="12">
        <v>24304.349610000001</v>
      </c>
      <c r="H79" s="13">
        <f t="shared" si="3"/>
        <v>5.1093771097185936E-3</v>
      </c>
    </row>
    <row r="80" spans="2:8" x14ac:dyDescent="0.3">
      <c r="B80" s="8">
        <v>45604</v>
      </c>
      <c r="C80" s="12">
        <v>1079.25</v>
      </c>
      <c r="D80" s="13">
        <f t="shared" si="2"/>
        <v>7.1162721453029709E-2</v>
      </c>
      <c r="G80" s="12">
        <v>24148.199219999999</v>
      </c>
      <c r="H80" s="13">
        <f t="shared" si="3"/>
        <v>-6.424791961343157E-3</v>
      </c>
    </row>
    <row r="81" spans="2:8" x14ac:dyDescent="0.3">
      <c r="B81" s="8">
        <v>45610</v>
      </c>
      <c r="C81" s="12">
        <v>1006.25</v>
      </c>
      <c r="D81" s="13">
        <f t="shared" si="2"/>
        <v>-6.7639564512392836E-2</v>
      </c>
      <c r="G81" s="12">
        <v>23555.5</v>
      </c>
      <c r="H81" s="13">
        <f t="shared" si="3"/>
        <v>-2.4544240943196849E-2</v>
      </c>
    </row>
    <row r="82" spans="2:8" x14ac:dyDescent="0.3">
      <c r="B82" s="8">
        <v>45618</v>
      </c>
      <c r="C82" s="12">
        <v>999.95</v>
      </c>
      <c r="D82" s="13">
        <f t="shared" si="2"/>
        <v>-6.2608695652173196E-3</v>
      </c>
      <c r="G82" s="12">
        <v>23349.900389999999</v>
      </c>
      <c r="H82" s="13">
        <f t="shared" si="3"/>
        <v>-8.7283059158158594E-3</v>
      </c>
    </row>
    <row r="83" spans="2:8" x14ac:dyDescent="0.3">
      <c r="B83" s="8">
        <v>45625</v>
      </c>
      <c r="C83" s="12">
        <v>979.75</v>
      </c>
      <c r="D83" s="13">
        <f t="shared" si="2"/>
        <v>-2.0201010050502566E-2</v>
      </c>
      <c r="G83" s="12">
        <v>23914.150389999999</v>
      </c>
      <c r="H83" s="13">
        <f t="shared" si="3"/>
        <v>2.4164985313669618E-2</v>
      </c>
    </row>
    <row r="84" spans="2:8" x14ac:dyDescent="0.3">
      <c r="B84" s="8">
        <v>45632</v>
      </c>
      <c r="C84" s="12">
        <v>1096.1500000000001</v>
      </c>
      <c r="D84" s="13">
        <f t="shared" si="2"/>
        <v>0.11880581781066613</v>
      </c>
      <c r="G84" s="12">
        <v>24708.400389999999</v>
      </c>
      <c r="H84" s="13">
        <f t="shared" si="3"/>
        <v>3.3212553531992706E-2</v>
      </c>
    </row>
    <row r="85" spans="2:8" x14ac:dyDescent="0.3">
      <c r="B85" s="8">
        <v>45639</v>
      </c>
      <c r="C85" s="12">
        <v>1180.05</v>
      </c>
      <c r="D85" s="13">
        <f t="shared" si="2"/>
        <v>7.6540619440769841E-2</v>
      </c>
      <c r="G85" s="12">
        <v>24548.699219999999</v>
      </c>
      <c r="H85" s="13">
        <f t="shared" si="3"/>
        <v>-6.4634362192315109E-3</v>
      </c>
    </row>
    <row r="86" spans="2:8" x14ac:dyDescent="0.3">
      <c r="B86" s="8">
        <v>45646</v>
      </c>
      <c r="C86" s="12">
        <v>1165.2</v>
      </c>
      <c r="D86" s="13">
        <f t="shared" si="2"/>
        <v>-1.2584212533367167E-2</v>
      </c>
      <c r="G86" s="12">
        <v>23951.699219999999</v>
      </c>
      <c r="H86" s="13">
        <f t="shared" si="3"/>
        <v>-2.4319007481814703E-2</v>
      </c>
    </row>
    <row r="87" spans="2:8" x14ac:dyDescent="0.3">
      <c r="B87" s="8">
        <v>45653</v>
      </c>
      <c r="C87" s="12">
        <v>1126.4000000000001</v>
      </c>
      <c r="D87" s="13">
        <f t="shared" si="2"/>
        <v>-3.3299004462753135E-2</v>
      </c>
      <c r="G87" s="12">
        <v>23750.199219999999</v>
      </c>
      <c r="H87" s="13">
        <f t="shared" si="3"/>
        <v>-8.4127642948916836E-3</v>
      </c>
    </row>
    <row r="88" spans="2:8" x14ac:dyDescent="0.3">
      <c r="B88" s="8">
        <v>45660</v>
      </c>
      <c r="C88" s="12">
        <v>1178.3499999999999</v>
      </c>
      <c r="D88" s="13">
        <f t="shared" si="2"/>
        <v>4.6120383522727071E-2</v>
      </c>
      <c r="G88" s="12">
        <v>24188.650389999999</v>
      </c>
      <c r="H88" s="13">
        <f t="shared" si="3"/>
        <v>1.8460947040426667E-2</v>
      </c>
    </row>
    <row r="89" spans="2:8" x14ac:dyDescent="0.3">
      <c r="B89" s="8">
        <v>45667</v>
      </c>
      <c r="C89" s="12">
        <v>1149.9000000000001</v>
      </c>
      <c r="D89" s="13">
        <f t="shared" si="2"/>
        <v>-2.414393007171034E-2</v>
      </c>
      <c r="G89" s="12">
        <v>23526.5</v>
      </c>
      <c r="H89" s="13">
        <f t="shared" si="3"/>
        <v>-2.737442475392271E-2</v>
      </c>
    </row>
    <row r="90" spans="2:8" x14ac:dyDescent="0.3">
      <c r="B90" s="8">
        <v>45674</v>
      </c>
      <c r="C90" s="12">
        <v>1026.6500000000001</v>
      </c>
      <c r="D90" s="13">
        <f t="shared" si="2"/>
        <v>-0.10718323332463686</v>
      </c>
      <c r="G90" s="12">
        <v>23311.800780000001</v>
      </c>
      <c r="H90" s="13">
        <f t="shared" si="3"/>
        <v>-9.1258461734639029E-3</v>
      </c>
    </row>
    <row r="91" spans="2:8" x14ac:dyDescent="0.3">
      <c r="B91" s="8">
        <v>45681</v>
      </c>
      <c r="C91" s="12">
        <v>1055.75</v>
      </c>
      <c r="D91" s="13">
        <f t="shared" si="2"/>
        <v>2.8344615984025712E-2</v>
      </c>
      <c r="G91" s="12">
        <v>23205.349610000001</v>
      </c>
      <c r="H91" s="13">
        <f t="shared" si="3"/>
        <v>-4.5664069886581782E-3</v>
      </c>
    </row>
    <row r="92" spans="2:8" x14ac:dyDescent="0.3">
      <c r="B92" s="8">
        <v>45689</v>
      </c>
      <c r="C92" s="12">
        <v>1108.25</v>
      </c>
      <c r="D92" s="13">
        <f t="shared" si="2"/>
        <v>4.9727681742836927E-2</v>
      </c>
      <c r="G92" s="12">
        <v>23508.400389999999</v>
      </c>
      <c r="H92" s="13">
        <f t="shared" si="3"/>
        <v>1.3059522269356583E-2</v>
      </c>
    </row>
    <row r="93" spans="2:8" x14ac:dyDescent="0.3">
      <c r="B93" s="8">
        <v>45695</v>
      </c>
      <c r="C93" s="12">
        <v>1143.2</v>
      </c>
      <c r="D93" s="13">
        <f t="shared" si="2"/>
        <v>3.153620572975413E-2</v>
      </c>
      <c r="G93" s="12">
        <v>23603.349610000001</v>
      </c>
      <c r="H93" s="13">
        <f t="shared" si="3"/>
        <v>4.0389485641223466E-3</v>
      </c>
    </row>
    <row r="94" spans="2:8" x14ac:dyDescent="0.3">
      <c r="B94" s="8">
        <v>45702</v>
      </c>
      <c r="C94" s="12">
        <v>1003.65</v>
      </c>
      <c r="D94" s="13">
        <f t="shared" si="2"/>
        <v>-0.12206962911126662</v>
      </c>
      <c r="G94" s="12">
        <v>23031.400389999999</v>
      </c>
      <c r="H94" s="13">
        <f t="shared" si="3"/>
        <v>-2.4231697172238831E-2</v>
      </c>
    </row>
    <row r="95" spans="2:8" x14ac:dyDescent="0.3">
      <c r="B95" s="8">
        <v>45709</v>
      </c>
      <c r="C95" s="12">
        <v>1010.25</v>
      </c>
      <c r="D95" s="13">
        <f t="shared" si="2"/>
        <v>6.575997608728068E-3</v>
      </c>
      <c r="G95" s="12">
        <v>22913.150389999999</v>
      </c>
      <c r="H95" s="13">
        <f t="shared" si="3"/>
        <v>-5.1342948321693171E-3</v>
      </c>
    </row>
    <row r="96" spans="2:8" x14ac:dyDescent="0.3">
      <c r="B96" s="8">
        <v>45716</v>
      </c>
      <c r="C96" s="12">
        <v>978.1</v>
      </c>
      <c r="D96" s="13">
        <f t="shared" si="2"/>
        <v>-3.1823805988616671E-2</v>
      </c>
      <c r="G96" s="12">
        <v>22545.050780000001</v>
      </c>
      <c r="H96" s="13">
        <f t="shared" si="3"/>
        <v>-1.6064993409227846E-2</v>
      </c>
    </row>
    <row r="97" spans="2:8" x14ac:dyDescent="0.3">
      <c r="B97" s="8">
        <v>45723</v>
      </c>
      <c r="C97" s="12">
        <v>980.75</v>
      </c>
      <c r="D97" s="13">
        <f t="shared" si="2"/>
        <v>2.709334423883103E-3</v>
      </c>
      <c r="G97" s="12">
        <v>22544.699219999999</v>
      </c>
      <c r="H97" s="13">
        <f t="shared" si="3"/>
        <v>-1.559366636316728E-5</v>
      </c>
    </row>
    <row r="98" spans="2:8" x14ac:dyDescent="0.3">
      <c r="B98" s="8">
        <v>45729</v>
      </c>
      <c r="C98" s="12">
        <v>990.7</v>
      </c>
      <c r="D98" s="13">
        <f t="shared" si="2"/>
        <v>1.0145296966607154E-2</v>
      </c>
      <c r="G98" s="12">
        <v>22470.5</v>
      </c>
      <c r="H98" s="13">
        <f t="shared" si="3"/>
        <v>-3.2912046985383858E-3</v>
      </c>
    </row>
    <row r="99" spans="2:8" x14ac:dyDescent="0.3">
      <c r="B99" s="8">
        <v>45737</v>
      </c>
      <c r="C99" s="12">
        <v>1170.25</v>
      </c>
      <c r="D99" s="13">
        <f t="shared" si="2"/>
        <v>0.18123549005753503</v>
      </c>
      <c r="G99" s="12">
        <v>23190.650389999999</v>
      </c>
      <c r="H99" s="13">
        <f t="shared" si="3"/>
        <v>3.2048703411138968E-2</v>
      </c>
    </row>
    <row r="100" spans="2:8" x14ac:dyDescent="0.3">
      <c r="B100" s="8">
        <v>45744</v>
      </c>
      <c r="C100" s="12">
        <v>1096.95</v>
      </c>
      <c r="D100" s="13">
        <f t="shared" si="2"/>
        <v>-6.2636188848536611E-2</v>
      </c>
      <c r="G100" s="12">
        <v>23591.949219999999</v>
      </c>
      <c r="H100" s="13">
        <f t="shared" si="3"/>
        <v>1.7304337017345794E-2</v>
      </c>
    </row>
    <row r="101" spans="2:8" x14ac:dyDescent="0.3">
      <c r="B101" s="8">
        <v>45751</v>
      </c>
      <c r="C101" s="12">
        <v>1137.6500000000001</v>
      </c>
      <c r="D101" s="13">
        <f t="shared" si="2"/>
        <v>3.7102876156616116E-2</v>
      </c>
      <c r="G101" s="12">
        <v>23250.099610000001</v>
      </c>
      <c r="H101" s="13">
        <f t="shared" si="3"/>
        <v>-1.449009604133078E-2</v>
      </c>
    </row>
    <row r="102" spans="2:8" x14ac:dyDescent="0.3">
      <c r="B102" s="8">
        <v>45758</v>
      </c>
      <c r="C102" s="12">
        <v>1089.3</v>
      </c>
      <c r="D102" s="13">
        <f t="shared" si="2"/>
        <v>-4.2499890124379269E-2</v>
      </c>
      <c r="G102" s="12">
        <v>22535.849610000001</v>
      </c>
      <c r="H102" s="13">
        <f t="shared" si="3"/>
        <v>-3.0720298492519005E-2</v>
      </c>
    </row>
    <row r="103" spans="2:8" x14ac:dyDescent="0.3">
      <c r="B103" s="8">
        <v>45764</v>
      </c>
      <c r="C103" s="12">
        <v>1084.4000000000001</v>
      </c>
      <c r="D103" s="13">
        <f t="shared" si="2"/>
        <v>-4.4983016616174654E-3</v>
      </c>
      <c r="G103" s="12">
        <v>23437.199219999999</v>
      </c>
      <c r="H103" s="13">
        <f t="shared" si="3"/>
        <v>3.9996255992054364E-2</v>
      </c>
    </row>
    <row r="104" spans="2:8" x14ac:dyDescent="0.3">
      <c r="B104" s="8">
        <v>45772</v>
      </c>
      <c r="C104" s="12">
        <v>1067.4000000000001</v>
      </c>
      <c r="D104" s="13">
        <f t="shared" si="2"/>
        <v>-1.5676872002950981E-2</v>
      </c>
      <c r="G104" s="12">
        <v>24246.699219999999</v>
      </c>
      <c r="H104" s="13">
        <f t="shared" si="3"/>
        <v>3.4539109916735145E-2</v>
      </c>
    </row>
    <row r="105" spans="2:8" x14ac:dyDescent="0.3">
      <c r="B105" s="8">
        <v>45779</v>
      </c>
      <c r="C105" s="12">
        <v>1089.8</v>
      </c>
      <c r="D105" s="13">
        <f t="shared" si="2"/>
        <v>2.0985572418961818E-2</v>
      </c>
      <c r="G105" s="12">
        <v>24335.949219999999</v>
      </c>
      <c r="H105" s="13">
        <f t="shared" si="3"/>
        <v>3.6809133973330077E-3</v>
      </c>
    </row>
    <row r="106" spans="2:8" x14ac:dyDescent="0.3">
      <c r="B106" s="8">
        <v>45786</v>
      </c>
      <c r="C106" s="12">
        <v>1127.7</v>
      </c>
      <c r="D106" s="13">
        <f t="shared" si="2"/>
        <v>3.4777023307028809E-2</v>
      </c>
      <c r="G106" s="12">
        <v>24273.800780000001</v>
      </c>
      <c r="H106" s="13">
        <f t="shared" si="3"/>
        <v>-2.5537709434781952E-3</v>
      </c>
    </row>
    <row r="107" spans="2:8" x14ac:dyDescent="0.3">
      <c r="B107" s="8">
        <v>45793</v>
      </c>
      <c r="C107" s="12">
        <v>1167.0999999999999</v>
      </c>
      <c r="D107" s="13">
        <f t="shared" si="2"/>
        <v>3.4938370133900776E-2</v>
      </c>
      <c r="G107" s="12">
        <v>25062.099610000001</v>
      </c>
      <c r="H107" s="13">
        <f t="shared" si="3"/>
        <v>3.2475294542645639E-2</v>
      </c>
    </row>
    <row r="108" spans="2:8" x14ac:dyDescent="0.3">
      <c r="B108" s="8">
        <v>45800</v>
      </c>
      <c r="C108" s="12">
        <v>1177.0999999999999</v>
      </c>
      <c r="D108" s="13">
        <f t="shared" si="2"/>
        <v>8.5682460800273752E-3</v>
      </c>
      <c r="G108" s="12">
        <v>24609.699219999999</v>
      </c>
      <c r="H108" s="13">
        <f t="shared" si="3"/>
        <v>-1.8051176758530296E-2</v>
      </c>
    </row>
    <row r="109" spans="2:8" x14ac:dyDescent="0.3">
      <c r="B109" s="8">
        <v>45807</v>
      </c>
      <c r="C109" s="12">
        <v>1125.2</v>
      </c>
      <c r="D109" s="13">
        <f t="shared" si="2"/>
        <v>-4.4091411095063981E-2</v>
      </c>
      <c r="G109" s="12">
        <v>24833.599610000001</v>
      </c>
      <c r="H109" s="13">
        <f t="shared" si="3"/>
        <v>9.0980547140553369E-3</v>
      </c>
    </row>
    <row r="110" spans="2:8" x14ac:dyDescent="0.3">
      <c r="B110" s="8"/>
    </row>
    <row r="111" spans="2:8" x14ac:dyDescent="0.3">
      <c r="B111" s="8"/>
    </row>
    <row r="112" spans="2:8" x14ac:dyDescent="0.3">
      <c r="B112" s="8"/>
    </row>
  </sheetData>
  <mergeCells count="4">
    <mergeCell ref="B3:H3"/>
    <mergeCell ref="B5:D5"/>
    <mergeCell ref="G5:H5"/>
    <mergeCell ref="J5:K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3BD1-112A-4140-969E-965022024172}">
  <dimension ref="B3:U112"/>
  <sheetViews>
    <sheetView showGridLines="0" workbookViewId="0">
      <selection activeCell="D9" sqref="D9:D109 H9:H109"/>
    </sheetView>
  </sheetViews>
  <sheetFormatPr defaultRowHeight="14.4" x14ac:dyDescent="0.3"/>
  <cols>
    <col min="1" max="1" width="1.88671875" customWidth="1"/>
    <col min="2" max="2" width="10.33203125" bestFit="1" customWidth="1"/>
    <col min="3" max="3" width="17.33203125" customWidth="1"/>
    <col min="7" max="7" width="14.33203125" customWidth="1"/>
    <col min="10" max="10" width="17.5546875" bestFit="1" customWidth="1"/>
    <col min="13" max="13" width="16.6640625" bestFit="1" customWidth="1"/>
    <col min="14" max="14" width="20.21875" bestFit="1" customWidth="1"/>
  </cols>
  <sheetData>
    <row r="3" spans="2:14" x14ac:dyDescent="0.3">
      <c r="B3" s="18" t="s">
        <v>50</v>
      </c>
      <c r="C3" s="18"/>
      <c r="D3" s="18"/>
      <c r="E3" s="18"/>
      <c r="F3" s="18"/>
      <c r="G3" s="18"/>
      <c r="H3" s="18"/>
    </row>
    <row r="5" spans="2:14" x14ac:dyDescent="0.3">
      <c r="B5" s="17" t="s">
        <v>54</v>
      </c>
      <c r="C5" s="17"/>
      <c r="D5" s="17"/>
      <c r="G5" s="17" t="s">
        <v>55</v>
      </c>
      <c r="H5" s="17"/>
      <c r="J5" s="17" t="s">
        <v>63</v>
      </c>
      <c r="K5" s="17"/>
      <c r="M5" t="s">
        <v>69</v>
      </c>
      <c r="N5" s="19">
        <f>SLOPE(D9:D109,H9:H109)</f>
        <v>0.88775227414111868</v>
      </c>
    </row>
    <row r="6" spans="2:14" x14ac:dyDescent="0.3">
      <c r="J6" t="s">
        <v>64</v>
      </c>
      <c r="K6" s="19">
        <f>N8</f>
        <v>0.88775227414111868</v>
      </c>
      <c r="M6" t="s">
        <v>70</v>
      </c>
      <c r="N6" s="19">
        <f>_xlfn.COVARIANCE.S(D9:D109,H9:H109)/_xlfn.VAR.S(H9:H109)</f>
        <v>0.88775227414111857</v>
      </c>
    </row>
    <row r="7" spans="2:14" x14ac:dyDescent="0.3">
      <c r="B7" s="10" t="s">
        <v>51</v>
      </c>
      <c r="C7" s="11" t="s">
        <v>52</v>
      </c>
      <c r="D7" s="11" t="s">
        <v>53</v>
      </c>
      <c r="G7" s="11" t="s">
        <v>56</v>
      </c>
      <c r="H7" s="11" t="s">
        <v>53</v>
      </c>
      <c r="J7" t="s">
        <v>67</v>
      </c>
      <c r="K7" s="13">
        <v>0.75</v>
      </c>
    </row>
    <row r="8" spans="2:14" x14ac:dyDescent="0.3">
      <c r="B8" s="8">
        <v>45100</v>
      </c>
      <c r="C8" s="12">
        <v>303.24998251583997</v>
      </c>
      <c r="G8" s="12">
        <v>18665.5</v>
      </c>
      <c r="J8" t="s">
        <v>65</v>
      </c>
      <c r="K8" s="13">
        <v>0.25</v>
      </c>
      <c r="M8" t="s">
        <v>71</v>
      </c>
      <c r="N8" s="19">
        <f>N31</f>
        <v>0.88775227414111868</v>
      </c>
    </row>
    <row r="9" spans="2:14" x14ac:dyDescent="0.3">
      <c r="B9" s="8">
        <v>45107</v>
      </c>
      <c r="C9" s="12">
        <v>313.44785758403998</v>
      </c>
      <c r="D9" s="13">
        <f>C9/C8-1</f>
        <v>3.362860892388464E-2</v>
      </c>
      <c r="G9" s="12">
        <v>19189.05</v>
      </c>
      <c r="H9" s="13">
        <f>G9/G8-1</f>
        <v>2.8049074495727355E-2</v>
      </c>
      <c r="J9" t="s">
        <v>66</v>
      </c>
      <c r="K9">
        <v>1</v>
      </c>
    </row>
    <row r="10" spans="2:14" x14ac:dyDescent="0.3">
      <c r="B10" s="8">
        <v>45114</v>
      </c>
      <c r="C10" s="12">
        <v>324.14318997264002</v>
      </c>
      <c r="D10" s="13">
        <f t="shared" ref="D10:D73" si="0">C10/C9-1</f>
        <v>3.4121568005078595E-2</v>
      </c>
      <c r="G10" s="12">
        <v>19331.8</v>
      </c>
      <c r="H10" s="13">
        <f t="shared" ref="H10:H73" si="1">G10/G9-1</f>
        <v>7.4391384669902916E-3</v>
      </c>
    </row>
    <row r="11" spans="2:14" x14ac:dyDescent="0.3">
      <c r="B11" s="8">
        <v>45121</v>
      </c>
      <c r="C11" s="12">
        <v>325.38683327363998</v>
      </c>
      <c r="D11" s="13">
        <f t="shared" si="0"/>
        <v>3.8367096378144616E-3</v>
      </c>
      <c r="G11" s="12">
        <v>19564.5</v>
      </c>
      <c r="H11" s="13">
        <f t="shared" si="1"/>
        <v>1.2037161567986399E-2</v>
      </c>
      <c r="J11" s="24" t="s">
        <v>68</v>
      </c>
      <c r="K11" s="25">
        <f>(K7*K6)+(K8*K9)</f>
        <v>0.91581420560583904</v>
      </c>
    </row>
    <row r="12" spans="2:14" x14ac:dyDescent="0.3">
      <c r="B12" s="8">
        <v>45128</v>
      </c>
      <c r="C12" s="12">
        <v>334.51198684896002</v>
      </c>
      <c r="D12" s="13">
        <f t="shared" si="0"/>
        <v>2.8044016051645526E-2</v>
      </c>
      <c r="G12" s="12">
        <v>19745</v>
      </c>
      <c r="H12" s="13">
        <f t="shared" si="1"/>
        <v>9.225893838329613E-3</v>
      </c>
    </row>
    <row r="13" spans="2:14" x14ac:dyDescent="0.3">
      <c r="B13" s="8">
        <v>45135</v>
      </c>
      <c r="C13" s="12">
        <v>334.56188422169998</v>
      </c>
      <c r="D13" s="13">
        <f t="shared" si="0"/>
        <v>1.4916467780423659E-4</v>
      </c>
      <c r="G13" s="12">
        <v>19646.05</v>
      </c>
      <c r="H13" s="13">
        <f t="shared" si="1"/>
        <v>-5.0113952899468739E-3</v>
      </c>
    </row>
    <row r="14" spans="2:14" x14ac:dyDescent="0.3">
      <c r="B14" s="8">
        <v>45142</v>
      </c>
      <c r="C14" s="12">
        <v>337.80521344980002</v>
      </c>
      <c r="D14" s="13">
        <f t="shared" si="0"/>
        <v>9.6942580164058878E-3</v>
      </c>
      <c r="G14" s="12">
        <v>19517</v>
      </c>
      <c r="H14" s="13">
        <f t="shared" si="1"/>
        <v>-6.568750461288575E-3</v>
      </c>
      <c r="M14" t="s">
        <v>72</v>
      </c>
    </row>
    <row r="15" spans="2:14" ht="15" thickBot="1" x14ac:dyDescent="0.35">
      <c r="B15" s="8">
        <v>45149</v>
      </c>
      <c r="C15" s="12">
        <v>317.29739325366</v>
      </c>
      <c r="D15" s="13">
        <f t="shared" si="0"/>
        <v>-6.0709010339734193E-2</v>
      </c>
      <c r="G15" s="12">
        <v>19428.3</v>
      </c>
      <c r="H15" s="13">
        <f t="shared" si="1"/>
        <v>-4.5447558538710409E-3</v>
      </c>
    </row>
    <row r="16" spans="2:14" x14ac:dyDescent="0.3">
      <c r="B16" s="8">
        <v>45156</v>
      </c>
      <c r="C16" s="12">
        <v>315.55098520775999</v>
      </c>
      <c r="D16" s="13">
        <f t="shared" si="0"/>
        <v>-5.5040100644755396E-3</v>
      </c>
      <c r="G16" s="12">
        <v>19310.150000000001</v>
      </c>
      <c r="H16" s="13">
        <f t="shared" si="1"/>
        <v>-6.0813349598265454E-3</v>
      </c>
      <c r="M16" s="23" t="s">
        <v>73</v>
      </c>
      <c r="N16" s="23"/>
    </row>
    <row r="17" spans="2:21" x14ac:dyDescent="0.3">
      <c r="B17" s="8">
        <v>45163</v>
      </c>
      <c r="C17" s="12">
        <v>332.76557880306001</v>
      </c>
      <c r="D17" s="13">
        <f t="shared" si="0"/>
        <v>5.4554079696394808E-2</v>
      </c>
      <c r="G17" s="12">
        <v>19265.8</v>
      </c>
      <c r="H17" s="13">
        <f t="shared" si="1"/>
        <v>-2.2967196008317758E-3</v>
      </c>
      <c r="M17" s="20" t="s">
        <v>74</v>
      </c>
      <c r="N17" s="20">
        <v>0.3805251310594957</v>
      </c>
    </row>
    <row r="18" spans="2:21" x14ac:dyDescent="0.3">
      <c r="B18" s="8">
        <v>45170</v>
      </c>
      <c r="C18" s="12">
        <v>323.73415433712</v>
      </c>
      <c r="D18" s="13">
        <f t="shared" si="0"/>
        <v>-2.7140500824711422E-2</v>
      </c>
      <c r="G18" s="12">
        <v>19435.3</v>
      </c>
      <c r="H18" s="13">
        <f t="shared" si="1"/>
        <v>8.7979736112697715E-3</v>
      </c>
      <c r="M18" s="20" t="s">
        <v>75</v>
      </c>
      <c r="N18" s="20">
        <v>0.14479937536784637</v>
      </c>
    </row>
    <row r="19" spans="2:21" x14ac:dyDescent="0.3">
      <c r="B19" s="8">
        <v>45177</v>
      </c>
      <c r="C19" s="12">
        <v>338.60357141364</v>
      </c>
      <c r="D19" s="13">
        <f t="shared" si="0"/>
        <v>4.5930949445129432E-2</v>
      </c>
      <c r="G19" s="12">
        <v>19819.95</v>
      </c>
      <c r="H19" s="13">
        <f t="shared" si="1"/>
        <v>1.9791307569216876E-2</v>
      </c>
      <c r="M19" s="20" t="s">
        <v>76</v>
      </c>
      <c r="N19" s="20">
        <v>0.13616098522004685</v>
      </c>
    </row>
    <row r="20" spans="2:21" x14ac:dyDescent="0.3">
      <c r="B20" s="8">
        <v>45184</v>
      </c>
      <c r="C20" s="12">
        <v>329.82163381139998</v>
      </c>
      <c r="D20" s="13">
        <f t="shared" si="0"/>
        <v>-2.5935750073681207E-2</v>
      </c>
      <c r="G20" s="12">
        <v>20192.349999999999</v>
      </c>
      <c r="H20" s="13">
        <f t="shared" si="1"/>
        <v>1.8789149316723597E-2</v>
      </c>
      <c r="M20" s="20" t="s">
        <v>77</v>
      </c>
      <c r="N20" s="20">
        <v>3.6457466303210832E-2</v>
      </c>
    </row>
    <row r="21" spans="2:21" ht="15" thickBot="1" x14ac:dyDescent="0.35">
      <c r="B21" s="8">
        <v>45191</v>
      </c>
      <c r="C21" s="12">
        <v>330.61999177524001</v>
      </c>
      <c r="D21" s="13">
        <f t="shared" si="0"/>
        <v>2.4205748865355758E-3</v>
      </c>
      <c r="G21" s="12">
        <v>19674.25</v>
      </c>
      <c r="H21" s="13">
        <f t="shared" si="1"/>
        <v>-2.5658231954180599E-2</v>
      </c>
      <c r="M21" s="21" t="s">
        <v>78</v>
      </c>
      <c r="N21" s="21">
        <v>101</v>
      </c>
    </row>
    <row r="22" spans="2:21" x14ac:dyDescent="0.3">
      <c r="B22" s="8">
        <v>45198</v>
      </c>
      <c r="C22" s="12">
        <v>339.25223725926003</v>
      </c>
      <c r="D22" s="13">
        <f t="shared" si="0"/>
        <v>2.6109266525807584E-2</v>
      </c>
      <c r="G22" s="12">
        <v>19638.3</v>
      </c>
      <c r="H22" s="13">
        <f t="shared" si="1"/>
        <v>-1.8272615220402688E-3</v>
      </c>
    </row>
    <row r="23" spans="2:21" ht="15" thickBot="1" x14ac:dyDescent="0.35">
      <c r="B23" s="8">
        <v>45205</v>
      </c>
      <c r="C23" s="12">
        <v>327.22697042892003</v>
      </c>
      <c r="D23" s="13">
        <f t="shared" si="0"/>
        <v>-3.5446389174878634E-2</v>
      </c>
      <c r="G23" s="12">
        <v>19653.5</v>
      </c>
      <c r="H23" s="13">
        <f t="shared" si="1"/>
        <v>7.7399774929598486E-4</v>
      </c>
      <c r="M23" t="s">
        <v>79</v>
      </c>
    </row>
    <row r="24" spans="2:21" x14ac:dyDescent="0.3">
      <c r="B24" s="8">
        <v>45212</v>
      </c>
      <c r="C24" s="12">
        <v>337.80521344980002</v>
      </c>
      <c r="D24" s="13">
        <f t="shared" si="0"/>
        <v>3.2326928941750488E-2</v>
      </c>
      <c r="G24" s="12">
        <v>19751.05</v>
      </c>
      <c r="H24" s="13">
        <f t="shared" si="1"/>
        <v>4.9634925076957881E-3</v>
      </c>
      <c r="M24" s="22"/>
      <c r="N24" s="22" t="s">
        <v>84</v>
      </c>
      <c r="O24" s="22" t="s">
        <v>85</v>
      </c>
      <c r="P24" s="22" t="s">
        <v>86</v>
      </c>
      <c r="Q24" s="22" t="s">
        <v>87</v>
      </c>
      <c r="R24" s="22" t="s">
        <v>88</v>
      </c>
    </row>
    <row r="25" spans="2:21" x14ac:dyDescent="0.3">
      <c r="B25" s="8">
        <v>45219</v>
      </c>
      <c r="C25" s="12">
        <v>331.51814448456003</v>
      </c>
      <c r="D25" s="13">
        <f t="shared" si="0"/>
        <v>-1.8611521418020693E-2</v>
      </c>
      <c r="G25" s="12">
        <v>19542.650000000001</v>
      </c>
      <c r="H25" s="13">
        <f t="shared" si="1"/>
        <v>-1.0551337776978809E-2</v>
      </c>
      <c r="M25" s="20" t="s">
        <v>80</v>
      </c>
      <c r="N25" s="20">
        <v>1</v>
      </c>
      <c r="O25" s="20">
        <v>2.2279571801064213E-2</v>
      </c>
      <c r="P25" s="20">
        <v>2.2279571801064213E-2</v>
      </c>
      <c r="Q25" s="20">
        <v>16.76231020947014</v>
      </c>
      <c r="R25" s="20">
        <v>8.6597532886929771E-5</v>
      </c>
    </row>
    <row r="26" spans="2:21" x14ac:dyDescent="0.3">
      <c r="B26" s="8">
        <v>45226</v>
      </c>
      <c r="C26" s="12">
        <v>324.38282018273998</v>
      </c>
      <c r="D26" s="13">
        <f t="shared" si="0"/>
        <v>-2.1523178807947185E-2</v>
      </c>
      <c r="G26" s="12">
        <v>19047.25</v>
      </c>
      <c r="H26" s="13">
        <f t="shared" si="1"/>
        <v>-2.5349683896503383E-2</v>
      </c>
      <c r="M26" s="20" t="s">
        <v>81</v>
      </c>
      <c r="N26" s="20">
        <v>99</v>
      </c>
      <c r="O26" s="20">
        <v>0.13158553807572559</v>
      </c>
      <c r="P26" s="20">
        <v>1.3291468492497534E-3</v>
      </c>
      <c r="Q26" s="20"/>
      <c r="R26" s="20"/>
    </row>
    <row r="27" spans="2:21" ht="15" thickBot="1" x14ac:dyDescent="0.35">
      <c r="B27" s="8">
        <v>45233</v>
      </c>
      <c r="C27" s="12">
        <v>333.41424464867998</v>
      </c>
      <c r="D27" s="13">
        <f t="shared" si="0"/>
        <v>2.784187048146447E-2</v>
      </c>
      <c r="G27" s="12">
        <v>19230.599999999999</v>
      </c>
      <c r="H27" s="13">
        <f t="shared" si="1"/>
        <v>9.6260615049414966E-3</v>
      </c>
      <c r="M27" s="21" t="s">
        <v>82</v>
      </c>
      <c r="N27" s="21">
        <v>100</v>
      </c>
      <c r="O27" s="21">
        <v>0.15386510987678981</v>
      </c>
      <c r="P27" s="21"/>
      <c r="Q27" s="21"/>
      <c r="R27" s="21"/>
    </row>
    <row r="28" spans="2:21" ht="15" thickBot="1" x14ac:dyDescent="0.35">
      <c r="B28" s="8">
        <v>45240</v>
      </c>
      <c r="C28" s="12">
        <v>358.66231525512001</v>
      </c>
      <c r="D28" s="13">
        <f t="shared" si="0"/>
        <v>7.5725830589643994E-2</v>
      </c>
      <c r="G28" s="12">
        <v>19425.349999999999</v>
      </c>
      <c r="H28" s="13">
        <f t="shared" si="1"/>
        <v>1.0127089118384225E-2</v>
      </c>
    </row>
    <row r="29" spans="2:21" x14ac:dyDescent="0.3">
      <c r="B29" s="8">
        <v>45247</v>
      </c>
      <c r="C29" s="12">
        <v>355.56867814524003</v>
      </c>
      <c r="D29" s="13">
        <f t="shared" si="0"/>
        <v>-8.6254869226487507E-3</v>
      </c>
      <c r="G29" s="12">
        <v>19731.8</v>
      </c>
      <c r="H29" s="13">
        <f t="shared" si="1"/>
        <v>1.5775777527818002E-2</v>
      </c>
      <c r="M29" s="22"/>
      <c r="N29" s="22" t="s">
        <v>89</v>
      </c>
      <c r="O29" s="22" t="s">
        <v>77</v>
      </c>
      <c r="P29" s="22" t="s">
        <v>90</v>
      </c>
      <c r="Q29" s="22" t="s">
        <v>91</v>
      </c>
      <c r="R29" s="22" t="s">
        <v>92</v>
      </c>
      <c r="S29" s="22" t="s">
        <v>93</v>
      </c>
      <c r="T29" s="22" t="s">
        <v>94</v>
      </c>
      <c r="U29" s="22" t="s">
        <v>95</v>
      </c>
    </row>
    <row r="30" spans="2:21" x14ac:dyDescent="0.3">
      <c r="B30" s="8">
        <v>45254</v>
      </c>
      <c r="C30" s="12">
        <v>365.74774218419998</v>
      </c>
      <c r="D30" s="13">
        <f t="shared" si="0"/>
        <v>2.8627561044063832E-2</v>
      </c>
      <c r="G30" s="12">
        <v>19794.7</v>
      </c>
      <c r="H30" s="13">
        <f t="shared" si="1"/>
        <v>3.1877476966115648E-3</v>
      </c>
      <c r="M30" s="20" t="s">
        <v>83</v>
      </c>
      <c r="N30" s="20">
        <v>6.5230870487049102E-3</v>
      </c>
      <c r="O30" s="20">
        <v>3.6844006316506372E-3</v>
      </c>
      <c r="P30" s="20">
        <v>1.7704608431202342</v>
      </c>
      <c r="Q30" s="20">
        <v>7.9728545943054785E-2</v>
      </c>
      <c r="R30" s="20">
        <v>-7.87563141051985E-4</v>
      </c>
      <c r="S30" s="20">
        <v>1.3833737238461805E-2</v>
      </c>
      <c r="T30" s="20">
        <v>-7.87563141051985E-4</v>
      </c>
      <c r="U30" s="20">
        <v>1.3833737238461805E-2</v>
      </c>
    </row>
    <row r="31" spans="2:21" ht="15" thickBot="1" x14ac:dyDescent="0.35">
      <c r="B31" s="8">
        <v>45261</v>
      </c>
      <c r="C31" s="12">
        <v>383.01223315224001</v>
      </c>
      <c r="D31" s="13">
        <f t="shared" si="0"/>
        <v>4.7203274215552593E-2</v>
      </c>
      <c r="G31" s="12">
        <v>20267.900000000001</v>
      </c>
      <c r="H31" s="13">
        <f t="shared" si="1"/>
        <v>2.3905388816198414E-2</v>
      </c>
      <c r="M31" s="21" t="s">
        <v>96</v>
      </c>
      <c r="N31" s="21">
        <v>0.88775227414111868</v>
      </c>
      <c r="O31" s="21">
        <v>0.21683273945339415</v>
      </c>
      <c r="P31" s="21">
        <v>4.094180041164547</v>
      </c>
      <c r="Q31" s="21">
        <v>8.6597532886930245E-5</v>
      </c>
      <c r="R31" s="21">
        <v>0.45750907685877323</v>
      </c>
      <c r="S31" s="21">
        <v>1.3179954714234641</v>
      </c>
      <c r="T31" s="21">
        <v>0.45750907685877323</v>
      </c>
      <c r="U31" s="21">
        <v>1.3179954714234641</v>
      </c>
    </row>
    <row r="32" spans="2:21" x14ac:dyDescent="0.3">
      <c r="B32" s="8">
        <v>45268</v>
      </c>
      <c r="C32" s="12">
        <v>381.26582510634</v>
      </c>
      <c r="D32" s="13">
        <f t="shared" si="0"/>
        <v>-4.5596664929651309E-3</v>
      </c>
      <c r="G32" s="12">
        <v>20969.400000000001</v>
      </c>
      <c r="H32" s="13">
        <f t="shared" si="1"/>
        <v>3.4611380557433069E-2</v>
      </c>
    </row>
    <row r="33" spans="2:8" x14ac:dyDescent="0.3">
      <c r="B33" s="8">
        <v>45275</v>
      </c>
      <c r="C33" s="12">
        <v>393.39088668215999</v>
      </c>
      <c r="D33" s="13">
        <f t="shared" si="0"/>
        <v>3.180212014134276E-2</v>
      </c>
      <c r="G33" s="12">
        <v>21456.65</v>
      </c>
      <c r="H33" s="13">
        <f t="shared" si="1"/>
        <v>2.3236239472755438E-2</v>
      </c>
    </row>
    <row r="34" spans="2:8" x14ac:dyDescent="0.3">
      <c r="B34" s="8">
        <v>45282</v>
      </c>
      <c r="C34" s="12">
        <v>389.89807059036002</v>
      </c>
      <c r="D34" s="13">
        <f t="shared" si="0"/>
        <v>-8.8787417554540005E-3</v>
      </c>
      <c r="G34" s="12">
        <v>21349.4</v>
      </c>
      <c r="H34" s="13">
        <f t="shared" si="1"/>
        <v>-4.9984503638732525E-3</v>
      </c>
    </row>
    <row r="35" spans="2:8" x14ac:dyDescent="0.3">
      <c r="B35" s="8">
        <v>45289</v>
      </c>
      <c r="C35" s="12">
        <v>418.33957305216001</v>
      </c>
      <c r="D35" s="13">
        <f t="shared" si="0"/>
        <v>7.2945994369081113E-2</v>
      </c>
      <c r="G35" s="12">
        <v>21731.4</v>
      </c>
      <c r="H35" s="13">
        <f t="shared" si="1"/>
        <v>1.7892774504201459E-2</v>
      </c>
    </row>
    <row r="36" spans="2:8" x14ac:dyDescent="0.3">
      <c r="B36" s="8">
        <v>45296</v>
      </c>
      <c r="C36" s="12">
        <v>433.40857961964002</v>
      </c>
      <c r="D36" s="13">
        <f t="shared" si="0"/>
        <v>3.6020992366412319E-2</v>
      </c>
      <c r="G36" s="12">
        <v>21710.799999999999</v>
      </c>
      <c r="H36" s="13">
        <f t="shared" si="1"/>
        <v>-9.479370864280412E-4</v>
      </c>
    </row>
    <row r="37" spans="2:8" x14ac:dyDescent="0.3">
      <c r="B37" s="8">
        <v>45303</v>
      </c>
      <c r="C37" s="12">
        <v>420.33546796176</v>
      </c>
      <c r="D37" s="13">
        <f t="shared" si="0"/>
        <v>-3.0163481464425601E-2</v>
      </c>
      <c r="G37" s="12">
        <v>21894.55</v>
      </c>
      <c r="H37" s="13">
        <f t="shared" si="1"/>
        <v>8.4635296718684749E-3</v>
      </c>
    </row>
    <row r="38" spans="2:8" x14ac:dyDescent="0.3">
      <c r="B38" s="8">
        <v>45311</v>
      </c>
      <c r="C38" s="12">
        <v>418.13998356119998</v>
      </c>
      <c r="D38" s="13">
        <f t="shared" si="0"/>
        <v>-5.2231718898385626E-3</v>
      </c>
      <c r="G38" s="12">
        <v>21622.400000000001</v>
      </c>
      <c r="H38" s="13">
        <f t="shared" si="1"/>
        <v>-1.2430033958222397E-2</v>
      </c>
    </row>
    <row r="39" spans="2:8" x14ac:dyDescent="0.3">
      <c r="B39" s="8">
        <v>45316</v>
      </c>
      <c r="C39" s="12">
        <v>429.26709768222003</v>
      </c>
      <c r="D39" s="13">
        <f t="shared" si="0"/>
        <v>2.6610978520286599E-2</v>
      </c>
      <c r="G39" s="12">
        <v>21352.6</v>
      </c>
      <c r="H39" s="13">
        <f t="shared" si="1"/>
        <v>-1.2477800799171379E-2</v>
      </c>
    </row>
    <row r="40" spans="2:8" x14ac:dyDescent="0.3">
      <c r="B40" s="8">
        <v>45324</v>
      </c>
      <c r="C40" s="12">
        <v>428.86791870029998</v>
      </c>
      <c r="D40" s="13">
        <f t="shared" si="0"/>
        <v>-9.2990817156812788E-4</v>
      </c>
      <c r="G40" s="12">
        <v>21853.8</v>
      </c>
      <c r="H40" s="13">
        <f t="shared" si="1"/>
        <v>2.3472551352060167E-2</v>
      </c>
    </row>
    <row r="41" spans="2:8" x14ac:dyDescent="0.3">
      <c r="B41" s="8">
        <v>45331</v>
      </c>
      <c r="C41" s="12">
        <v>434.05724546526</v>
      </c>
      <c r="D41" s="13">
        <f t="shared" si="0"/>
        <v>1.2100058173356576E-2</v>
      </c>
      <c r="G41" s="12">
        <v>21782.5</v>
      </c>
      <c r="H41" s="13">
        <f t="shared" si="1"/>
        <v>-3.2625904876955047E-3</v>
      </c>
    </row>
    <row r="42" spans="2:8" x14ac:dyDescent="0.3">
      <c r="B42" s="8">
        <v>45338</v>
      </c>
      <c r="C42" s="12">
        <v>433.25888750142002</v>
      </c>
      <c r="D42" s="13">
        <f t="shared" si="0"/>
        <v>-1.8392918726289897E-3</v>
      </c>
      <c r="G42" s="12">
        <v>22040.7</v>
      </c>
      <c r="H42" s="13">
        <f t="shared" si="1"/>
        <v>1.1853552163433978E-2</v>
      </c>
    </row>
    <row r="43" spans="2:8" x14ac:dyDescent="0.3">
      <c r="B43" s="8">
        <v>45345</v>
      </c>
      <c r="C43" s="12">
        <v>437.69975367528002</v>
      </c>
      <c r="D43" s="13">
        <f t="shared" si="0"/>
        <v>1.0249913624323481E-2</v>
      </c>
      <c r="G43" s="12">
        <v>22212.7</v>
      </c>
      <c r="H43" s="13">
        <f t="shared" si="1"/>
        <v>7.8037448901351336E-3</v>
      </c>
    </row>
    <row r="44" spans="2:8" x14ac:dyDescent="0.3">
      <c r="B44" s="8">
        <v>45353</v>
      </c>
      <c r="C44" s="12">
        <v>401.82354267521998</v>
      </c>
      <c r="D44" s="13">
        <f t="shared" si="0"/>
        <v>-8.1965344277245888E-2</v>
      </c>
      <c r="G44" s="12">
        <v>22338.75</v>
      </c>
      <c r="H44" s="13">
        <f t="shared" si="1"/>
        <v>5.6746816010659895E-3</v>
      </c>
    </row>
    <row r="45" spans="2:8" x14ac:dyDescent="0.3">
      <c r="B45" s="8">
        <v>45358</v>
      </c>
      <c r="C45" s="12">
        <v>396.53442116477999</v>
      </c>
      <c r="D45" s="13">
        <f t="shared" si="0"/>
        <v>-1.3162796473363936E-2</v>
      </c>
      <c r="G45" s="12">
        <v>22493.55</v>
      </c>
      <c r="H45" s="13">
        <f t="shared" si="1"/>
        <v>6.929662581836471E-3</v>
      </c>
    </row>
    <row r="46" spans="2:8" x14ac:dyDescent="0.3">
      <c r="B46" s="8">
        <v>45366</v>
      </c>
      <c r="C46" s="12">
        <v>388.05186779898003</v>
      </c>
      <c r="D46" s="13">
        <f t="shared" si="0"/>
        <v>-2.1391720145966908E-2</v>
      </c>
      <c r="G46" s="12">
        <v>22023.35</v>
      </c>
      <c r="H46" s="13">
        <f t="shared" si="1"/>
        <v>-2.0903770191899484E-2</v>
      </c>
    </row>
    <row r="47" spans="2:8" x14ac:dyDescent="0.3">
      <c r="B47" s="8">
        <v>45373</v>
      </c>
      <c r="C47" s="12">
        <v>403.86933495756</v>
      </c>
      <c r="D47" s="13">
        <f t="shared" si="0"/>
        <v>4.0761218979040725E-2</v>
      </c>
      <c r="G47" s="12">
        <v>22096.75</v>
      </c>
      <c r="H47" s="13">
        <f t="shared" si="1"/>
        <v>3.3328262957270649E-3</v>
      </c>
    </row>
    <row r="48" spans="2:8" x14ac:dyDescent="0.3">
      <c r="B48" s="8">
        <v>45379</v>
      </c>
      <c r="C48" s="12">
        <v>419.33752050696</v>
      </c>
      <c r="D48" s="13">
        <f t="shared" si="0"/>
        <v>3.8299975290338573E-2</v>
      </c>
      <c r="G48" s="12">
        <v>22326.9</v>
      </c>
      <c r="H48" s="13">
        <f t="shared" si="1"/>
        <v>1.0415558849152129E-2</v>
      </c>
    </row>
    <row r="49" spans="2:8" x14ac:dyDescent="0.3">
      <c r="B49" s="8">
        <v>45387</v>
      </c>
      <c r="C49" s="12">
        <v>435.95334562938001</v>
      </c>
      <c r="D49" s="13">
        <f t="shared" si="0"/>
        <v>3.9623988576868108E-2</v>
      </c>
      <c r="G49" s="12">
        <v>22513.7</v>
      </c>
      <c r="H49" s="13">
        <f t="shared" si="1"/>
        <v>8.3665891816597782E-3</v>
      </c>
    </row>
    <row r="50" spans="2:8" x14ac:dyDescent="0.3">
      <c r="B50" s="8">
        <v>45394</v>
      </c>
      <c r="C50" s="12">
        <v>430.56442937345997</v>
      </c>
      <c r="D50" s="13">
        <f t="shared" si="0"/>
        <v>-1.2361222387547333E-2</v>
      </c>
      <c r="G50" s="12">
        <v>22519.400389999999</v>
      </c>
      <c r="H50" s="13">
        <f t="shared" si="1"/>
        <v>2.5319649813226874E-4</v>
      </c>
    </row>
    <row r="51" spans="2:8" x14ac:dyDescent="0.3">
      <c r="B51" s="8">
        <v>45401</v>
      </c>
      <c r="C51" s="12">
        <v>429.31699505495999</v>
      </c>
      <c r="D51" s="13">
        <f t="shared" si="0"/>
        <v>-2.8972070923629634E-3</v>
      </c>
      <c r="G51" s="12">
        <v>22147</v>
      </c>
      <c r="H51" s="13">
        <f t="shared" si="1"/>
        <v>-1.6536869701262891E-2</v>
      </c>
    </row>
    <row r="52" spans="2:8" x14ac:dyDescent="0.3">
      <c r="B52" s="8">
        <v>45408</v>
      </c>
      <c r="C52" s="12">
        <v>442.63959357653999</v>
      </c>
      <c r="D52" s="13">
        <f t="shared" si="0"/>
        <v>3.103207810320785E-2</v>
      </c>
      <c r="G52" s="12">
        <v>22419.949219999999</v>
      </c>
      <c r="H52" s="13">
        <f t="shared" si="1"/>
        <v>1.2324433106063903E-2</v>
      </c>
    </row>
    <row r="53" spans="2:8" x14ac:dyDescent="0.3">
      <c r="B53" s="8">
        <v>45415</v>
      </c>
      <c r="C53" s="12">
        <v>451.02235219686003</v>
      </c>
      <c r="D53" s="13">
        <f t="shared" si="0"/>
        <v>1.893811295231651E-2</v>
      </c>
      <c r="G53" s="12">
        <v>22475.849610000001</v>
      </c>
      <c r="H53" s="13">
        <f t="shared" si="1"/>
        <v>2.4933325874858525E-3</v>
      </c>
    </row>
    <row r="54" spans="2:8" x14ac:dyDescent="0.3">
      <c r="B54" s="8">
        <v>45422</v>
      </c>
      <c r="C54" s="12">
        <v>440.69359603968002</v>
      </c>
      <c r="D54" s="13">
        <f t="shared" si="0"/>
        <v>-2.2900763358778664E-2</v>
      </c>
      <c r="G54" s="12">
        <v>22055.199219999999</v>
      </c>
      <c r="H54" s="13">
        <f t="shared" si="1"/>
        <v>-1.871566135648306E-2</v>
      </c>
    </row>
    <row r="55" spans="2:8" x14ac:dyDescent="0.3">
      <c r="B55" s="8">
        <v>45430</v>
      </c>
      <c r="C55" s="12">
        <v>451.8207101607</v>
      </c>
      <c r="D55" s="13">
        <f t="shared" si="0"/>
        <v>2.5249094202898448E-2</v>
      </c>
      <c r="G55" s="12">
        <v>22464.800780000001</v>
      </c>
      <c r="H55" s="13">
        <f t="shared" si="1"/>
        <v>1.8571655413956556E-2</v>
      </c>
    </row>
    <row r="56" spans="2:8" x14ac:dyDescent="0.3">
      <c r="B56" s="8">
        <v>45436</v>
      </c>
      <c r="C56" s="12">
        <v>461.05172411759997</v>
      </c>
      <c r="D56" s="13">
        <f t="shared" si="0"/>
        <v>2.0430701270016449E-2</v>
      </c>
      <c r="G56" s="12">
        <v>22957.099610000001</v>
      </c>
      <c r="H56" s="13">
        <f t="shared" si="1"/>
        <v>2.1914230836993953E-2</v>
      </c>
    </row>
    <row r="57" spans="2:8" x14ac:dyDescent="0.3">
      <c r="B57" s="8">
        <v>45443</v>
      </c>
      <c r="C57" s="12">
        <v>474.12483577547999</v>
      </c>
      <c r="D57" s="13">
        <f t="shared" si="0"/>
        <v>2.8354978354978355E-2</v>
      </c>
      <c r="G57" s="12">
        <v>22530.699219999999</v>
      </c>
      <c r="H57" s="13">
        <f t="shared" si="1"/>
        <v>-1.8573791865862055E-2</v>
      </c>
    </row>
    <row r="58" spans="2:8" x14ac:dyDescent="0.3">
      <c r="B58" s="8">
        <v>45450</v>
      </c>
      <c r="C58" s="12">
        <v>464.84392444584</v>
      </c>
      <c r="D58" s="13">
        <f t="shared" si="0"/>
        <v>-1.9574826352346864E-2</v>
      </c>
      <c r="G58" s="12">
        <v>23290.150389999999</v>
      </c>
      <c r="H58" s="13">
        <f t="shared" si="1"/>
        <v>3.3707394634510557E-2</v>
      </c>
    </row>
    <row r="59" spans="2:8" x14ac:dyDescent="0.3">
      <c r="B59" s="8">
        <v>45457</v>
      </c>
      <c r="C59" s="12">
        <v>501.21910917330001</v>
      </c>
      <c r="D59" s="13">
        <f t="shared" si="0"/>
        <v>7.8252468870759984E-2</v>
      </c>
      <c r="G59" s="12">
        <v>23465.599610000001</v>
      </c>
      <c r="H59" s="13">
        <f t="shared" si="1"/>
        <v>7.5331939494618361E-3</v>
      </c>
    </row>
    <row r="60" spans="2:8" x14ac:dyDescent="0.3">
      <c r="B60" s="8">
        <v>45464</v>
      </c>
      <c r="C60" s="12">
        <v>487.64702378802002</v>
      </c>
      <c r="D60" s="13">
        <f t="shared" si="0"/>
        <v>-2.707814833250366E-2</v>
      </c>
      <c r="G60" s="12">
        <v>23501.099610000001</v>
      </c>
      <c r="H60" s="13">
        <f t="shared" si="1"/>
        <v>1.5128528820917975E-3</v>
      </c>
    </row>
    <row r="61" spans="2:8" x14ac:dyDescent="0.3">
      <c r="B61" s="8">
        <v>45471</v>
      </c>
      <c r="C61" s="12">
        <v>474.37432263917998</v>
      </c>
      <c r="D61" s="13">
        <f t="shared" si="0"/>
        <v>-2.7217845083393089E-2</v>
      </c>
      <c r="G61" s="12">
        <v>24010.599610000001</v>
      </c>
      <c r="H61" s="13">
        <f t="shared" si="1"/>
        <v>2.1679836622759519E-2</v>
      </c>
    </row>
    <row r="62" spans="2:8" x14ac:dyDescent="0.3">
      <c r="B62" s="8">
        <v>45478</v>
      </c>
      <c r="C62" s="12">
        <v>460.70244250842001</v>
      </c>
      <c r="D62" s="13">
        <f t="shared" si="0"/>
        <v>-2.8820868833491109E-2</v>
      </c>
      <c r="G62" s="12">
        <v>24323.849610000001</v>
      </c>
      <c r="H62" s="13">
        <f t="shared" si="1"/>
        <v>1.3046321420042251E-2</v>
      </c>
    </row>
    <row r="63" spans="2:8" x14ac:dyDescent="0.3">
      <c r="B63" s="8">
        <v>45485</v>
      </c>
      <c r="C63" s="12">
        <v>479.41395728591999</v>
      </c>
      <c r="D63" s="13">
        <f t="shared" si="0"/>
        <v>4.0615184663706172E-2</v>
      </c>
      <c r="G63" s="12">
        <v>24502.150389999999</v>
      </c>
      <c r="H63" s="13">
        <f t="shared" si="1"/>
        <v>7.3302862358881615E-3</v>
      </c>
    </row>
    <row r="64" spans="2:8" x14ac:dyDescent="0.3">
      <c r="B64" s="8">
        <v>45492</v>
      </c>
      <c r="C64" s="12">
        <v>480.41190474071999</v>
      </c>
      <c r="D64" s="13">
        <f t="shared" si="0"/>
        <v>2.0815986677769072E-3</v>
      </c>
      <c r="G64" s="12">
        <v>24530.900389999999</v>
      </c>
      <c r="H64" s="13">
        <f t="shared" si="1"/>
        <v>1.1733664001889466E-3</v>
      </c>
    </row>
    <row r="65" spans="2:8" x14ac:dyDescent="0.3">
      <c r="B65" s="8">
        <v>45499</v>
      </c>
      <c r="C65" s="12">
        <v>509.8</v>
      </c>
      <c r="D65" s="13">
        <f t="shared" si="0"/>
        <v>6.117270402601882E-2</v>
      </c>
      <c r="G65" s="12">
        <v>24834.849610000001</v>
      </c>
      <c r="H65" s="13">
        <f t="shared" si="1"/>
        <v>1.2390463259306594E-2</v>
      </c>
    </row>
    <row r="66" spans="2:8" x14ac:dyDescent="0.3">
      <c r="B66" s="8">
        <v>45506</v>
      </c>
      <c r="C66" s="12">
        <v>505.7</v>
      </c>
      <c r="D66" s="13">
        <f t="shared" si="0"/>
        <v>-8.0423695566889108E-3</v>
      </c>
      <c r="G66" s="12">
        <v>24717.699219999999</v>
      </c>
      <c r="H66" s="13">
        <f t="shared" si="1"/>
        <v>-4.7171773471432754E-3</v>
      </c>
    </row>
    <row r="67" spans="2:8" x14ac:dyDescent="0.3">
      <c r="B67" s="8">
        <v>45513</v>
      </c>
      <c r="C67" s="12">
        <v>489.75</v>
      </c>
      <c r="D67" s="13">
        <f t="shared" si="0"/>
        <v>-3.1540438995451781E-2</v>
      </c>
      <c r="G67" s="12">
        <v>24367.5</v>
      </c>
      <c r="H67" s="13">
        <f t="shared" si="1"/>
        <v>-1.41679537760796E-2</v>
      </c>
    </row>
    <row r="68" spans="2:8" x14ac:dyDescent="0.3">
      <c r="B68" s="8">
        <v>45520</v>
      </c>
      <c r="C68" s="12">
        <v>532.79999999999995</v>
      </c>
      <c r="D68" s="13">
        <f t="shared" si="0"/>
        <v>8.790199081163852E-2</v>
      </c>
      <c r="G68" s="12">
        <v>24541.150389999999</v>
      </c>
      <c r="H68" s="13">
        <f t="shared" si="1"/>
        <v>7.1263112752641966E-3</v>
      </c>
    </row>
    <row r="69" spans="2:8" x14ac:dyDescent="0.3">
      <c r="B69" s="8">
        <v>45527</v>
      </c>
      <c r="C69" s="12">
        <v>551.20000000000005</v>
      </c>
      <c r="D69" s="13">
        <f t="shared" si="0"/>
        <v>3.45345345345347E-2</v>
      </c>
      <c r="G69" s="12">
        <v>24823.150389999999</v>
      </c>
      <c r="H69" s="13">
        <f t="shared" si="1"/>
        <v>1.1490903870378766E-2</v>
      </c>
    </row>
    <row r="70" spans="2:8" x14ac:dyDescent="0.3">
      <c r="B70" s="8">
        <v>45534</v>
      </c>
      <c r="C70" s="12">
        <v>551.79999999999995</v>
      </c>
      <c r="D70" s="13">
        <f t="shared" si="0"/>
        <v>1.0885341074018395E-3</v>
      </c>
      <c r="G70" s="12">
        <v>25235.900389999999</v>
      </c>
      <c r="H70" s="13">
        <f t="shared" si="1"/>
        <v>1.6627623549599013E-2</v>
      </c>
    </row>
    <row r="71" spans="2:8" x14ac:dyDescent="0.3">
      <c r="B71" s="8">
        <v>45541</v>
      </c>
      <c r="C71" s="12">
        <v>546.79999999999995</v>
      </c>
      <c r="D71" s="13">
        <f t="shared" si="0"/>
        <v>-9.0612540775643069E-3</v>
      </c>
      <c r="G71" s="12">
        <v>24852.150389999999</v>
      </c>
      <c r="H71" s="13">
        <f t="shared" si="1"/>
        <v>-1.5206511123814104E-2</v>
      </c>
    </row>
    <row r="72" spans="2:8" x14ac:dyDescent="0.3">
      <c r="B72" s="8">
        <v>45548</v>
      </c>
      <c r="C72" s="12">
        <v>584.20000000000005</v>
      </c>
      <c r="D72" s="13">
        <f t="shared" si="0"/>
        <v>6.8397951719093131E-2</v>
      </c>
      <c r="G72" s="12">
        <v>25356.5</v>
      </c>
      <c r="H72" s="13">
        <f t="shared" si="1"/>
        <v>2.0294002816067858E-2</v>
      </c>
    </row>
    <row r="73" spans="2:8" x14ac:dyDescent="0.3">
      <c r="B73" s="8">
        <v>45555</v>
      </c>
      <c r="C73" s="12">
        <v>605.79999999999995</v>
      </c>
      <c r="D73" s="13">
        <f t="shared" si="0"/>
        <v>3.6973639164669558E-2</v>
      </c>
      <c r="G73" s="12">
        <v>25790.949219999999</v>
      </c>
      <c r="H73" s="13">
        <f t="shared" si="1"/>
        <v>1.7133643050105452E-2</v>
      </c>
    </row>
    <row r="74" spans="2:8" x14ac:dyDescent="0.3">
      <c r="B74" s="8">
        <v>45562</v>
      </c>
      <c r="C74" s="12">
        <v>596.70000000000005</v>
      </c>
      <c r="D74" s="13">
        <f t="shared" ref="D74:D109" si="2">C74/C73-1</f>
        <v>-1.5021459227467671E-2</v>
      </c>
      <c r="G74" s="12">
        <v>26178.949219999999</v>
      </c>
      <c r="H74" s="13">
        <f t="shared" ref="H74:H109" si="3">G74/G73-1</f>
        <v>1.5044037219813511E-2</v>
      </c>
    </row>
    <row r="75" spans="2:8" x14ac:dyDescent="0.3">
      <c r="B75" s="8">
        <v>45569</v>
      </c>
      <c r="C75" s="12">
        <v>581.4</v>
      </c>
      <c r="D75" s="13">
        <f t="shared" si="2"/>
        <v>-2.5641025641025772E-2</v>
      </c>
      <c r="G75" s="12">
        <v>25014.599610000001</v>
      </c>
      <c r="H75" s="13">
        <f t="shared" si="3"/>
        <v>-4.4476560163479228E-2</v>
      </c>
    </row>
    <row r="76" spans="2:8" x14ac:dyDescent="0.3">
      <c r="B76" s="8">
        <v>45576</v>
      </c>
      <c r="C76" s="12">
        <v>600.29999999999995</v>
      </c>
      <c r="D76" s="13">
        <f t="shared" si="2"/>
        <v>3.2507739938080427E-2</v>
      </c>
      <c r="G76" s="12">
        <v>24964.25</v>
      </c>
      <c r="H76" s="13">
        <f t="shared" si="3"/>
        <v>-2.0128089509724445E-3</v>
      </c>
    </row>
    <row r="77" spans="2:8" x14ac:dyDescent="0.3">
      <c r="B77" s="8">
        <v>45583</v>
      </c>
      <c r="C77" s="12">
        <v>609.54999999999995</v>
      </c>
      <c r="D77" s="13">
        <f t="shared" si="2"/>
        <v>1.5408962185573971E-2</v>
      </c>
      <c r="G77" s="12">
        <v>24854.050780000001</v>
      </c>
      <c r="H77" s="13">
        <f t="shared" si="3"/>
        <v>-4.414281222147598E-3</v>
      </c>
    </row>
    <row r="78" spans="2:8" x14ac:dyDescent="0.3">
      <c r="B78" s="8">
        <v>45590</v>
      </c>
      <c r="C78" s="12">
        <v>582.79999999999995</v>
      </c>
      <c r="D78" s="13">
        <f t="shared" si="2"/>
        <v>-4.3884833073578822E-2</v>
      </c>
      <c r="G78" s="12">
        <v>24180.800780000001</v>
      </c>
      <c r="H78" s="13">
        <f t="shared" si="3"/>
        <v>-2.7088139714503301E-2</v>
      </c>
    </row>
    <row r="79" spans="2:8" x14ac:dyDescent="0.3">
      <c r="B79" s="8">
        <v>45597</v>
      </c>
      <c r="C79" s="12">
        <v>635.35</v>
      </c>
      <c r="D79" s="13">
        <f t="shared" si="2"/>
        <v>9.0168153740562973E-2</v>
      </c>
      <c r="G79" s="12">
        <v>24304.349610000001</v>
      </c>
      <c r="H79" s="13">
        <f t="shared" si="3"/>
        <v>5.1093771097185936E-3</v>
      </c>
    </row>
    <row r="80" spans="2:8" x14ac:dyDescent="0.3">
      <c r="B80" s="8">
        <v>45604</v>
      </c>
      <c r="C80" s="12">
        <v>620.75</v>
      </c>
      <c r="D80" s="13">
        <f t="shared" si="2"/>
        <v>-2.2979460140080343E-2</v>
      </c>
      <c r="G80" s="12">
        <v>24148.199219999999</v>
      </c>
      <c r="H80" s="13">
        <f t="shared" si="3"/>
        <v>-6.424791961343157E-3</v>
      </c>
    </row>
    <row r="81" spans="2:8" x14ac:dyDescent="0.3">
      <c r="B81" s="8">
        <v>45610</v>
      </c>
      <c r="C81" s="12">
        <v>639.1</v>
      </c>
      <c r="D81" s="13">
        <f t="shared" si="2"/>
        <v>2.9561014901329008E-2</v>
      </c>
      <c r="G81" s="12">
        <v>23555.5</v>
      </c>
      <c r="H81" s="13">
        <f t="shared" si="3"/>
        <v>-2.4544240943196849E-2</v>
      </c>
    </row>
    <row r="82" spans="2:8" x14ac:dyDescent="0.3">
      <c r="B82" s="8">
        <v>45618</v>
      </c>
      <c r="C82" s="12">
        <v>685.85</v>
      </c>
      <c r="D82" s="13">
        <f t="shared" si="2"/>
        <v>7.3149741824440673E-2</v>
      </c>
      <c r="G82" s="12">
        <v>23349.900389999999</v>
      </c>
      <c r="H82" s="13">
        <f t="shared" si="3"/>
        <v>-8.7283059158158594E-3</v>
      </c>
    </row>
    <row r="83" spans="2:8" x14ac:dyDescent="0.3">
      <c r="B83" s="8">
        <v>45625</v>
      </c>
      <c r="C83" s="12">
        <v>659.2</v>
      </c>
      <c r="D83" s="13">
        <f t="shared" si="2"/>
        <v>-3.8856892906612206E-2</v>
      </c>
      <c r="G83" s="12">
        <v>23914.150389999999</v>
      </c>
      <c r="H83" s="13">
        <f t="shared" si="3"/>
        <v>2.4164985313669618E-2</v>
      </c>
    </row>
    <row r="84" spans="2:8" x14ac:dyDescent="0.3">
      <c r="B84" s="8">
        <v>45632</v>
      </c>
      <c r="C84" s="12">
        <v>714.25</v>
      </c>
      <c r="D84" s="13">
        <f t="shared" si="2"/>
        <v>8.3510315533980473E-2</v>
      </c>
      <c r="G84" s="12">
        <v>24708.400389999999</v>
      </c>
      <c r="H84" s="13">
        <f t="shared" si="3"/>
        <v>3.3212553531992706E-2</v>
      </c>
    </row>
    <row r="85" spans="2:8" x14ac:dyDescent="0.3">
      <c r="B85" s="8">
        <v>45639</v>
      </c>
      <c r="C85" s="12">
        <v>711.95</v>
      </c>
      <c r="D85" s="13">
        <f t="shared" si="2"/>
        <v>-3.2201610080503373E-3</v>
      </c>
      <c r="G85" s="12">
        <v>24548.699219999999</v>
      </c>
      <c r="H85" s="13">
        <f t="shared" si="3"/>
        <v>-6.4634362192315109E-3</v>
      </c>
    </row>
    <row r="86" spans="2:8" x14ac:dyDescent="0.3">
      <c r="B86" s="8">
        <v>45646</v>
      </c>
      <c r="C86" s="12">
        <v>677.85</v>
      </c>
      <c r="D86" s="13">
        <f t="shared" si="2"/>
        <v>-4.7896621953788965E-2</v>
      </c>
      <c r="G86" s="12">
        <v>23951.699219999999</v>
      </c>
      <c r="H86" s="13">
        <f t="shared" si="3"/>
        <v>-2.4319007481814703E-2</v>
      </c>
    </row>
    <row r="87" spans="2:8" x14ac:dyDescent="0.3">
      <c r="B87" s="8">
        <v>45653</v>
      </c>
      <c r="C87" s="12">
        <v>682.1</v>
      </c>
      <c r="D87" s="13">
        <f t="shared" si="2"/>
        <v>6.269823707309774E-3</v>
      </c>
      <c r="G87" s="12">
        <v>23750.199219999999</v>
      </c>
      <c r="H87" s="13">
        <f t="shared" si="3"/>
        <v>-8.4127642948916836E-3</v>
      </c>
    </row>
    <row r="88" spans="2:8" x14ac:dyDescent="0.3">
      <c r="B88" s="8">
        <v>45660</v>
      </c>
      <c r="C88" s="12">
        <v>732.05</v>
      </c>
      <c r="D88" s="13">
        <f t="shared" si="2"/>
        <v>7.3229731710892754E-2</v>
      </c>
      <c r="G88" s="12">
        <v>24188.650389999999</v>
      </c>
      <c r="H88" s="13">
        <f t="shared" si="3"/>
        <v>1.8460947040426667E-2</v>
      </c>
    </row>
    <row r="89" spans="2:8" x14ac:dyDescent="0.3">
      <c r="B89" s="8">
        <v>45667</v>
      </c>
      <c r="C89" s="12">
        <v>687.2</v>
      </c>
      <c r="D89" s="13">
        <f t="shared" si="2"/>
        <v>-6.1266306946246685E-2</v>
      </c>
      <c r="G89" s="12">
        <v>23526.5</v>
      </c>
      <c r="H89" s="13">
        <f t="shared" si="3"/>
        <v>-2.737442475392271E-2</v>
      </c>
    </row>
    <row r="90" spans="2:8" x14ac:dyDescent="0.3">
      <c r="B90" s="8">
        <v>45674</v>
      </c>
      <c r="C90" s="12">
        <v>644.5</v>
      </c>
      <c r="D90" s="13">
        <f t="shared" si="2"/>
        <v>-6.2136204889406299E-2</v>
      </c>
      <c r="G90" s="12">
        <v>23311.800780000001</v>
      </c>
      <c r="H90" s="13">
        <f t="shared" si="3"/>
        <v>-9.1258461734639029E-3</v>
      </c>
    </row>
    <row r="91" spans="2:8" x14ac:dyDescent="0.3">
      <c r="B91" s="8">
        <v>45681</v>
      </c>
      <c r="C91" s="12">
        <v>616.04999999999995</v>
      </c>
      <c r="D91" s="13">
        <f t="shared" si="2"/>
        <v>-4.4142746314972947E-2</v>
      </c>
      <c r="G91" s="12">
        <v>23205.349610000001</v>
      </c>
      <c r="H91" s="13">
        <f t="shared" si="3"/>
        <v>-4.5664069886581782E-3</v>
      </c>
    </row>
    <row r="92" spans="2:8" x14ac:dyDescent="0.3">
      <c r="B92" s="8">
        <v>45689</v>
      </c>
      <c r="C92" s="12">
        <v>626.85</v>
      </c>
      <c r="D92" s="13">
        <f t="shared" si="2"/>
        <v>1.753104455807164E-2</v>
      </c>
      <c r="G92" s="12">
        <v>23508.400389999999</v>
      </c>
      <c r="H92" s="13">
        <f t="shared" si="3"/>
        <v>1.3059522269356583E-2</v>
      </c>
    </row>
    <row r="93" spans="2:8" x14ac:dyDescent="0.3">
      <c r="B93" s="8">
        <v>45695</v>
      </c>
      <c r="C93" s="12">
        <v>650.15</v>
      </c>
      <c r="D93" s="13">
        <f t="shared" si="2"/>
        <v>3.7169976868469234E-2</v>
      </c>
      <c r="G93" s="12">
        <v>23603.349610000001</v>
      </c>
      <c r="H93" s="13">
        <f t="shared" si="3"/>
        <v>4.0389485641223466E-3</v>
      </c>
    </row>
    <row r="94" spans="2:8" x14ac:dyDescent="0.3">
      <c r="B94" s="8">
        <v>45702</v>
      </c>
      <c r="C94" s="12">
        <v>603.85</v>
      </c>
      <c r="D94" s="13">
        <f t="shared" si="2"/>
        <v>-7.1214335153426012E-2</v>
      </c>
      <c r="G94" s="12">
        <v>23031.400389999999</v>
      </c>
      <c r="H94" s="13">
        <f t="shared" si="3"/>
        <v>-2.4231697172238831E-2</v>
      </c>
    </row>
    <row r="95" spans="2:8" x14ac:dyDescent="0.3">
      <c r="B95" s="8">
        <v>45709</v>
      </c>
      <c r="C95" s="12">
        <v>619.35</v>
      </c>
      <c r="D95" s="13">
        <f t="shared" si="2"/>
        <v>2.5668626314482079E-2</v>
      </c>
      <c r="G95" s="12">
        <v>22913.150389999999</v>
      </c>
      <c r="H95" s="13">
        <f t="shared" si="3"/>
        <v>-5.1342948321693171E-3</v>
      </c>
    </row>
    <row r="96" spans="2:8" x14ac:dyDescent="0.3">
      <c r="B96" s="8">
        <v>45716</v>
      </c>
      <c r="C96" s="12">
        <v>612.70000000000005</v>
      </c>
      <c r="D96" s="13">
        <f t="shared" si="2"/>
        <v>-1.0737063049971685E-2</v>
      </c>
      <c r="G96" s="12">
        <v>22545.050780000001</v>
      </c>
      <c r="H96" s="13">
        <f t="shared" si="3"/>
        <v>-1.6064993409227846E-2</v>
      </c>
    </row>
    <row r="97" spans="2:8" x14ac:dyDescent="0.3">
      <c r="B97" s="8">
        <v>45723</v>
      </c>
      <c r="C97" s="12">
        <v>629.5</v>
      </c>
      <c r="D97" s="13">
        <f t="shared" si="2"/>
        <v>2.7419618083890818E-2</v>
      </c>
      <c r="G97" s="12">
        <v>22544.699219999999</v>
      </c>
      <c r="H97" s="13">
        <f t="shared" si="3"/>
        <v>-1.559366636316728E-5</v>
      </c>
    </row>
    <row r="98" spans="2:8" x14ac:dyDescent="0.3">
      <c r="B98" s="8">
        <v>45729</v>
      </c>
      <c r="C98" s="12">
        <v>605.45000000000005</v>
      </c>
      <c r="D98" s="13">
        <f t="shared" si="2"/>
        <v>-3.8204924543288277E-2</v>
      </c>
      <c r="G98" s="12">
        <v>22470.5</v>
      </c>
      <c r="H98" s="13">
        <f t="shared" si="3"/>
        <v>-3.2912046985383858E-3</v>
      </c>
    </row>
    <row r="99" spans="2:8" x14ac:dyDescent="0.3">
      <c r="B99" s="8">
        <v>45737</v>
      </c>
      <c r="C99" s="12">
        <v>628.25</v>
      </c>
      <c r="D99" s="13">
        <f t="shared" si="2"/>
        <v>3.7657940374927756E-2</v>
      </c>
      <c r="G99" s="12">
        <v>23190.650389999999</v>
      </c>
      <c r="H99" s="13">
        <f t="shared" si="3"/>
        <v>3.2048703411138968E-2</v>
      </c>
    </row>
    <row r="100" spans="2:8" x14ac:dyDescent="0.3">
      <c r="B100" s="8">
        <v>45744</v>
      </c>
      <c r="C100" s="12">
        <v>698.35</v>
      </c>
      <c r="D100" s="13">
        <f t="shared" si="2"/>
        <v>0.11157978511738964</v>
      </c>
      <c r="G100" s="12">
        <v>23591.949219999999</v>
      </c>
      <c r="H100" s="13">
        <f t="shared" si="3"/>
        <v>1.7304337017345794E-2</v>
      </c>
    </row>
    <row r="101" spans="2:8" x14ac:dyDescent="0.3">
      <c r="B101" s="8">
        <v>45751</v>
      </c>
      <c r="C101" s="12">
        <v>649.45000000000005</v>
      </c>
      <c r="D101" s="13">
        <f t="shared" si="2"/>
        <v>-7.0022195174339497E-2</v>
      </c>
      <c r="G101" s="12">
        <v>23250.099610000001</v>
      </c>
      <c r="H101" s="13">
        <f t="shared" si="3"/>
        <v>-1.449009604133078E-2</v>
      </c>
    </row>
    <row r="102" spans="2:8" x14ac:dyDescent="0.3">
      <c r="B102" s="8">
        <v>45758</v>
      </c>
      <c r="C102" s="12">
        <v>649.54999999999995</v>
      </c>
      <c r="D102" s="13">
        <f t="shared" si="2"/>
        <v>1.5397644160430879E-4</v>
      </c>
      <c r="G102" s="12">
        <v>22535.849610000001</v>
      </c>
      <c r="H102" s="13">
        <f t="shared" si="3"/>
        <v>-3.0720298492519005E-2</v>
      </c>
    </row>
    <row r="103" spans="2:8" x14ac:dyDescent="0.3">
      <c r="B103" s="8">
        <v>45764</v>
      </c>
      <c r="C103" s="12">
        <v>664.55</v>
      </c>
      <c r="D103" s="13">
        <f t="shared" si="2"/>
        <v>2.3092910476483652E-2</v>
      </c>
      <c r="G103" s="12">
        <v>23437.199219999999</v>
      </c>
      <c r="H103" s="13">
        <f t="shared" si="3"/>
        <v>3.9996255992054364E-2</v>
      </c>
    </row>
    <row r="104" spans="2:8" x14ac:dyDescent="0.3">
      <c r="B104" s="8">
        <v>45772</v>
      </c>
      <c r="C104" s="12">
        <v>654.65</v>
      </c>
      <c r="D104" s="13">
        <f t="shared" si="2"/>
        <v>-1.4897298924083979E-2</v>
      </c>
      <c r="G104" s="12">
        <v>24246.699219999999</v>
      </c>
      <c r="H104" s="13">
        <f t="shared" si="3"/>
        <v>3.4539109916735145E-2</v>
      </c>
    </row>
    <row r="105" spans="2:8" x14ac:dyDescent="0.3">
      <c r="B105" s="8">
        <v>45779</v>
      </c>
      <c r="C105" s="12">
        <v>678.6</v>
      </c>
      <c r="D105" s="13">
        <f t="shared" si="2"/>
        <v>3.6584434430611878E-2</v>
      </c>
      <c r="G105" s="12">
        <v>24335.949219999999</v>
      </c>
      <c r="H105" s="13">
        <f t="shared" si="3"/>
        <v>3.6809133973330077E-3</v>
      </c>
    </row>
    <row r="106" spans="2:8" x14ac:dyDescent="0.3">
      <c r="B106" s="8">
        <v>45786</v>
      </c>
      <c r="C106" s="12">
        <v>664.7</v>
      </c>
      <c r="D106" s="13">
        <f t="shared" si="2"/>
        <v>-2.0483348069554985E-2</v>
      </c>
      <c r="G106" s="12">
        <v>24273.800780000001</v>
      </c>
      <c r="H106" s="13">
        <f t="shared" si="3"/>
        <v>-2.5537709434781952E-3</v>
      </c>
    </row>
    <row r="107" spans="2:8" x14ac:dyDescent="0.3">
      <c r="B107" s="8">
        <v>45793</v>
      </c>
      <c r="C107" s="12">
        <v>700.05</v>
      </c>
      <c r="D107" s="13">
        <f t="shared" si="2"/>
        <v>5.3181886565367709E-2</v>
      </c>
      <c r="G107" s="12">
        <v>25062.099610000001</v>
      </c>
      <c r="H107" s="13">
        <f t="shared" si="3"/>
        <v>3.2475294542645639E-2</v>
      </c>
    </row>
    <row r="108" spans="2:8" x14ac:dyDescent="0.3">
      <c r="B108" s="8">
        <v>45800</v>
      </c>
      <c r="C108" s="12">
        <v>719.05</v>
      </c>
      <c r="D108" s="13">
        <f t="shared" si="2"/>
        <v>2.7140918505821121E-2</v>
      </c>
      <c r="G108" s="12">
        <v>24609.699219999999</v>
      </c>
      <c r="H108" s="13">
        <f t="shared" si="3"/>
        <v>-1.8051176758530296E-2</v>
      </c>
    </row>
    <row r="109" spans="2:8" x14ac:dyDescent="0.3">
      <c r="B109" s="8">
        <v>45807</v>
      </c>
      <c r="C109" s="12">
        <v>706.3</v>
      </c>
      <c r="D109" s="13">
        <f t="shared" si="2"/>
        <v>-1.7731729365134563E-2</v>
      </c>
      <c r="G109" s="12">
        <v>24833.599610000001</v>
      </c>
      <c r="H109" s="13">
        <f t="shared" si="3"/>
        <v>9.0980547140553369E-3</v>
      </c>
    </row>
    <row r="110" spans="2:8" x14ac:dyDescent="0.3">
      <c r="B110" s="8"/>
    </row>
    <row r="111" spans="2:8" x14ac:dyDescent="0.3">
      <c r="B111" s="8"/>
    </row>
    <row r="112" spans="2:8" x14ac:dyDescent="0.3">
      <c r="B112" s="8"/>
    </row>
  </sheetData>
  <mergeCells count="4">
    <mergeCell ref="B3:H3"/>
    <mergeCell ref="B5:D5"/>
    <mergeCell ref="G5:H5"/>
    <mergeCell ref="J5:K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BB57B-4E82-45CA-BBD2-3D37E65A3589}">
  <dimension ref="B3:U112"/>
  <sheetViews>
    <sheetView showGridLines="0" topLeftCell="D1" workbookViewId="0">
      <selection activeCell="J25" sqref="J25"/>
    </sheetView>
  </sheetViews>
  <sheetFormatPr defaultRowHeight="14.4" x14ac:dyDescent="0.3"/>
  <cols>
    <col min="1" max="1" width="1.88671875" customWidth="1"/>
    <col min="2" max="2" width="10.33203125" bestFit="1" customWidth="1"/>
    <col min="3" max="3" width="17" customWidth="1"/>
    <col min="7" max="7" width="14.6640625" customWidth="1"/>
    <col min="10" max="10" width="17.5546875" bestFit="1" customWidth="1"/>
    <col min="13" max="13" width="16.6640625" bestFit="1" customWidth="1"/>
    <col min="14" max="14" width="19.21875" bestFit="1" customWidth="1"/>
  </cols>
  <sheetData>
    <row r="3" spans="2:14" x14ac:dyDescent="0.3">
      <c r="B3" s="18" t="s">
        <v>50</v>
      </c>
      <c r="C3" s="18"/>
      <c r="D3" s="18"/>
      <c r="E3" s="18"/>
      <c r="F3" s="18"/>
      <c r="G3" s="18"/>
      <c r="H3" s="18"/>
    </row>
    <row r="5" spans="2:14" x14ac:dyDescent="0.3">
      <c r="B5" s="17" t="s">
        <v>61</v>
      </c>
      <c r="C5" s="17"/>
      <c r="D5" s="17"/>
      <c r="G5" s="17" t="s">
        <v>55</v>
      </c>
      <c r="H5" s="17"/>
      <c r="J5" s="17" t="s">
        <v>63</v>
      </c>
      <c r="K5" s="17"/>
      <c r="M5" t="s">
        <v>69</v>
      </c>
      <c r="N5" s="19">
        <f>SLOPE(D9:D109,H9:H109)</f>
        <v>0.59166256013890972</v>
      </c>
    </row>
    <row r="6" spans="2:14" x14ac:dyDescent="0.3">
      <c r="J6" t="s">
        <v>64</v>
      </c>
      <c r="K6" s="19">
        <f>N8</f>
        <v>0.59166256013890972</v>
      </c>
      <c r="M6" t="s">
        <v>70</v>
      </c>
      <c r="N6" s="19">
        <f>_xlfn.COVARIANCE.S(H9:H109,D9:D109)/_xlfn.VAR.S(H9:H109)</f>
        <v>0.59166256013890961</v>
      </c>
    </row>
    <row r="7" spans="2:14" x14ac:dyDescent="0.3">
      <c r="B7" s="10" t="s">
        <v>51</v>
      </c>
      <c r="C7" s="11" t="s">
        <v>52</v>
      </c>
      <c r="D7" s="11" t="s">
        <v>53</v>
      </c>
      <c r="G7" s="11" t="s">
        <v>56</v>
      </c>
      <c r="H7" s="11" t="s">
        <v>53</v>
      </c>
      <c r="J7" t="s">
        <v>67</v>
      </c>
      <c r="K7" s="13">
        <v>0.75</v>
      </c>
    </row>
    <row r="8" spans="2:14" x14ac:dyDescent="0.3">
      <c r="B8" s="8">
        <v>45100</v>
      </c>
      <c r="C8" s="12">
        <v>973.18856118366</v>
      </c>
      <c r="G8" s="12">
        <v>18665.5</v>
      </c>
      <c r="J8" t="s">
        <v>65</v>
      </c>
      <c r="K8" s="13">
        <v>0.25</v>
      </c>
      <c r="M8" t="s">
        <v>71</v>
      </c>
      <c r="N8" s="19">
        <f>N31</f>
        <v>0.59166256013890972</v>
      </c>
    </row>
    <row r="9" spans="2:14" x14ac:dyDescent="0.3">
      <c r="B9" s="8">
        <v>45107</v>
      </c>
      <c r="C9" s="12">
        <v>998.31992133955498</v>
      </c>
      <c r="D9" s="13">
        <f>C9/C8-1</f>
        <v>2.5823731554477369E-2</v>
      </c>
      <c r="G9" s="12">
        <v>19189.05</v>
      </c>
      <c r="H9" s="13">
        <f>G9/G8-1</f>
        <v>2.8049074495727355E-2</v>
      </c>
      <c r="J9" t="s">
        <v>66</v>
      </c>
      <c r="K9">
        <v>1</v>
      </c>
    </row>
    <row r="10" spans="2:14" x14ac:dyDescent="0.3">
      <c r="B10" s="8">
        <v>45114</v>
      </c>
      <c r="C10" s="12">
        <v>1003.92652614928</v>
      </c>
      <c r="D10" s="13">
        <f t="shared" ref="D10:D73" si="0">C10/C9-1</f>
        <v>5.6160401990195119E-3</v>
      </c>
      <c r="G10" s="12">
        <v>19331.8</v>
      </c>
      <c r="H10" s="13">
        <f t="shared" ref="H10:H73" si="1">G10/G9-1</f>
        <v>7.4391384669902916E-3</v>
      </c>
    </row>
    <row r="11" spans="2:14" x14ac:dyDescent="0.3">
      <c r="B11" s="8">
        <v>45121</v>
      </c>
      <c r="C11" s="12">
        <v>1014.00857865801</v>
      </c>
      <c r="D11" s="13">
        <f t="shared" si="0"/>
        <v>1.0042619899089056E-2</v>
      </c>
      <c r="G11" s="12">
        <v>19564.5</v>
      </c>
      <c r="H11" s="13">
        <f t="shared" si="1"/>
        <v>1.2037161567986399E-2</v>
      </c>
      <c r="J11" s="24" t="s">
        <v>68</v>
      </c>
      <c r="K11" s="25">
        <f>(K6*K7)+(K8*K9)</f>
        <v>0.69374692010418226</v>
      </c>
    </row>
    <row r="12" spans="2:14" x14ac:dyDescent="0.3">
      <c r="B12" s="8">
        <v>45128</v>
      </c>
      <c r="C12" s="12">
        <v>1040.13073343466</v>
      </c>
      <c r="D12" s="13">
        <f t="shared" si="0"/>
        <v>2.5761275916641013E-2</v>
      </c>
      <c r="G12" s="12">
        <v>19745</v>
      </c>
      <c r="H12" s="13">
        <f t="shared" si="1"/>
        <v>9.225893838329613E-3</v>
      </c>
    </row>
    <row r="13" spans="2:14" x14ac:dyDescent="0.3">
      <c r="B13" s="8">
        <v>45135</v>
      </c>
      <c r="C13" s="12">
        <v>1167.89740010424</v>
      </c>
      <c r="D13" s="13">
        <f t="shared" si="0"/>
        <v>0.12283712283712278</v>
      </c>
      <c r="G13" s="12">
        <v>19646.05</v>
      </c>
      <c r="H13" s="13">
        <f t="shared" si="1"/>
        <v>-5.0113952899468739E-3</v>
      </c>
    </row>
    <row r="14" spans="2:14" x14ac:dyDescent="0.3">
      <c r="B14" s="8">
        <v>45142</v>
      </c>
      <c r="C14" s="12">
        <v>1199.5787737953001</v>
      </c>
      <c r="D14" s="13">
        <f t="shared" si="0"/>
        <v>2.7126846663270587E-2</v>
      </c>
      <c r="G14" s="12">
        <v>19517</v>
      </c>
      <c r="H14" s="13">
        <f t="shared" si="1"/>
        <v>-6.568750461288575E-3</v>
      </c>
      <c r="M14" t="s">
        <v>72</v>
      </c>
    </row>
    <row r="15" spans="2:14" ht="15" thickBot="1" x14ac:dyDescent="0.35">
      <c r="B15" s="8">
        <v>45149</v>
      </c>
      <c r="C15" s="12">
        <v>1239.68868195816</v>
      </c>
      <c r="D15" s="13">
        <f t="shared" si="0"/>
        <v>3.3436660467038637E-2</v>
      </c>
      <c r="G15" s="12">
        <v>19428.3</v>
      </c>
      <c r="H15" s="13">
        <f t="shared" si="1"/>
        <v>-4.5447558538710409E-3</v>
      </c>
    </row>
    <row r="16" spans="2:14" x14ac:dyDescent="0.3">
      <c r="B16" s="8">
        <v>45156</v>
      </c>
      <c r="C16" s="12">
        <v>1226.00470834512</v>
      </c>
      <c r="D16" s="13">
        <f t="shared" si="0"/>
        <v>-1.1038233882578852E-2</v>
      </c>
      <c r="G16" s="12">
        <v>19310.150000000001</v>
      </c>
      <c r="H16" s="13">
        <f t="shared" si="1"/>
        <v>-6.0813349598265454E-3</v>
      </c>
      <c r="M16" s="23" t="s">
        <v>73</v>
      </c>
      <c r="N16" s="23"/>
    </row>
    <row r="17" spans="2:21" x14ac:dyDescent="0.3">
      <c r="B17" s="8">
        <v>45163</v>
      </c>
      <c r="C17" s="12">
        <v>1199.23171649352</v>
      </c>
      <c r="D17" s="13">
        <f t="shared" si="0"/>
        <v>-2.1837593011970191E-2</v>
      </c>
      <c r="G17" s="12">
        <v>19265.8</v>
      </c>
      <c r="H17" s="13">
        <f t="shared" si="1"/>
        <v>-2.2967196008317758E-3</v>
      </c>
      <c r="M17" s="20" t="s">
        <v>74</v>
      </c>
      <c r="N17" s="20">
        <v>0.33133282132135783</v>
      </c>
    </row>
    <row r="18" spans="2:21" x14ac:dyDescent="0.3">
      <c r="B18" s="8">
        <v>45170</v>
      </c>
      <c r="C18" s="12">
        <v>1234.92903896232</v>
      </c>
      <c r="D18" s="13">
        <f t="shared" si="0"/>
        <v>2.9766826525549739E-2</v>
      </c>
      <c r="G18" s="12">
        <v>19435.3</v>
      </c>
      <c r="H18" s="13">
        <f t="shared" si="1"/>
        <v>8.7979736112697715E-3</v>
      </c>
      <c r="M18" s="20" t="s">
        <v>75</v>
      </c>
      <c r="N18" s="20">
        <v>0.10978143848477084</v>
      </c>
    </row>
    <row r="19" spans="2:21" x14ac:dyDescent="0.3">
      <c r="B19" s="8">
        <v>45177</v>
      </c>
      <c r="C19" s="12">
        <v>1234.1357651296701</v>
      </c>
      <c r="D19" s="13">
        <f t="shared" si="0"/>
        <v>-6.4236389915683922E-4</v>
      </c>
      <c r="G19" s="12">
        <v>19819.95</v>
      </c>
      <c r="H19" s="13">
        <f t="shared" si="1"/>
        <v>1.9791307569216876E-2</v>
      </c>
      <c r="M19" s="20" t="s">
        <v>76</v>
      </c>
      <c r="N19" s="20">
        <v>0.10078933180279884</v>
      </c>
    </row>
    <row r="20" spans="2:21" x14ac:dyDescent="0.3">
      <c r="B20" s="8">
        <v>45184</v>
      </c>
      <c r="C20" s="12">
        <v>1225.1122752834001</v>
      </c>
      <c r="D20" s="13">
        <f t="shared" si="0"/>
        <v>-7.3115860517354303E-3</v>
      </c>
      <c r="G20" s="12">
        <v>20192.349999999999</v>
      </c>
      <c r="H20" s="13">
        <f t="shared" si="1"/>
        <v>1.8789149316723597E-2</v>
      </c>
      <c r="M20" s="20" t="s">
        <v>77</v>
      </c>
      <c r="N20" s="20">
        <v>2.8470951501644012E-2</v>
      </c>
    </row>
    <row r="21" spans="2:21" ht="15" thickBot="1" x14ac:dyDescent="0.35">
      <c r="B21" s="8">
        <v>45191</v>
      </c>
      <c r="C21" s="12">
        <v>1175.9292976597201</v>
      </c>
      <c r="D21" s="13">
        <f t="shared" si="0"/>
        <v>-4.0145690004046997E-2</v>
      </c>
      <c r="G21" s="12">
        <v>19674.25</v>
      </c>
      <c r="H21" s="13">
        <f t="shared" si="1"/>
        <v>-2.5658231954180599E-2</v>
      </c>
      <c r="M21" s="21" t="s">
        <v>78</v>
      </c>
      <c r="N21" s="21">
        <v>101</v>
      </c>
    </row>
    <row r="22" spans="2:21" x14ac:dyDescent="0.3">
      <c r="B22" s="8">
        <v>45198</v>
      </c>
      <c r="C22" s="12">
        <v>1176.1771957324199</v>
      </c>
      <c r="D22" s="13">
        <f t="shared" si="0"/>
        <v>2.1081035500447598E-4</v>
      </c>
      <c r="G22" s="12">
        <v>19638.3</v>
      </c>
      <c r="H22" s="13">
        <f t="shared" si="1"/>
        <v>-1.8272615220402688E-3</v>
      </c>
    </row>
    <row r="23" spans="2:21" ht="15" thickBot="1" x14ac:dyDescent="0.35">
      <c r="B23" s="8">
        <v>45205</v>
      </c>
      <c r="C23" s="12">
        <v>1153.2218342004001</v>
      </c>
      <c r="D23" s="13">
        <f t="shared" si="0"/>
        <v>-1.9516924503646171E-2</v>
      </c>
      <c r="G23" s="12">
        <v>19653.5</v>
      </c>
      <c r="H23" s="13">
        <f t="shared" si="1"/>
        <v>7.7399774929598486E-4</v>
      </c>
      <c r="M23" t="s">
        <v>79</v>
      </c>
    </row>
    <row r="24" spans="2:21" x14ac:dyDescent="0.3">
      <c r="B24" s="8">
        <v>45212</v>
      </c>
      <c r="C24" s="12">
        <v>1157.9318975817</v>
      </c>
      <c r="D24" s="13">
        <f t="shared" si="0"/>
        <v>4.0842648323300423E-3</v>
      </c>
      <c r="G24" s="12">
        <v>19751.05</v>
      </c>
      <c r="H24" s="13">
        <f t="shared" si="1"/>
        <v>4.9634925076957881E-3</v>
      </c>
      <c r="M24" s="22"/>
      <c r="N24" s="22" t="s">
        <v>84</v>
      </c>
      <c r="O24" s="22" t="s">
        <v>85</v>
      </c>
      <c r="P24" s="22" t="s">
        <v>86</v>
      </c>
      <c r="Q24" s="22" t="s">
        <v>87</v>
      </c>
      <c r="R24" s="22" t="s">
        <v>88</v>
      </c>
    </row>
    <row r="25" spans="2:21" x14ac:dyDescent="0.3">
      <c r="B25" s="8">
        <v>45219</v>
      </c>
      <c r="C25" s="12">
        <v>1190.1090674181601</v>
      </c>
      <c r="D25" s="13">
        <f t="shared" si="0"/>
        <v>2.7788482123742186E-2</v>
      </c>
      <c r="G25" s="12">
        <v>19542.650000000001</v>
      </c>
      <c r="H25" s="13">
        <f t="shared" si="1"/>
        <v>-1.0551337776978809E-2</v>
      </c>
      <c r="M25" s="20" t="s">
        <v>80</v>
      </c>
      <c r="N25" s="20">
        <v>1</v>
      </c>
      <c r="O25" s="20">
        <v>9.8962675815004592E-3</v>
      </c>
      <c r="P25" s="20">
        <v>9.8962675815004592E-3</v>
      </c>
      <c r="Q25" s="20">
        <v>12.208645022513817</v>
      </c>
      <c r="R25" s="20">
        <v>7.1297835279384575E-4</v>
      </c>
    </row>
    <row r="26" spans="2:21" x14ac:dyDescent="0.3">
      <c r="B26" s="8">
        <v>45226</v>
      </c>
      <c r="C26" s="12">
        <v>1164.3772474719001</v>
      </c>
      <c r="D26" s="13">
        <f t="shared" si="0"/>
        <v>-2.1621396433927687E-2</v>
      </c>
      <c r="G26" s="12">
        <v>19047.25</v>
      </c>
      <c r="H26" s="13">
        <f t="shared" si="1"/>
        <v>-2.5349683896503383E-2</v>
      </c>
      <c r="M26" s="20" t="s">
        <v>81</v>
      </c>
      <c r="N26" s="20">
        <v>99</v>
      </c>
      <c r="O26" s="20">
        <v>8.0248912861487581E-2</v>
      </c>
      <c r="P26" s="20">
        <v>8.1059507940896551E-4</v>
      </c>
      <c r="Q26" s="20"/>
      <c r="R26" s="20"/>
    </row>
    <row r="27" spans="2:21" ht="15" thickBot="1" x14ac:dyDescent="0.35">
      <c r="B27" s="8">
        <v>45233</v>
      </c>
      <c r="C27" s="12">
        <v>1196.2073600065701</v>
      </c>
      <c r="D27" s="13">
        <f t="shared" si="0"/>
        <v>2.7336597828392595E-2</v>
      </c>
      <c r="G27" s="12">
        <v>19230.599999999999</v>
      </c>
      <c r="H27" s="13">
        <f t="shared" si="1"/>
        <v>9.6260615049414966E-3</v>
      </c>
      <c r="M27" s="21" t="s">
        <v>82</v>
      </c>
      <c r="N27" s="21">
        <v>100</v>
      </c>
      <c r="O27" s="21">
        <v>9.014518044298804E-2</v>
      </c>
      <c r="P27" s="21"/>
      <c r="Q27" s="21"/>
      <c r="R27" s="21"/>
    </row>
    <row r="28" spans="2:21" ht="15" thickBot="1" x14ac:dyDescent="0.35">
      <c r="B28" s="8">
        <v>45240</v>
      </c>
      <c r="C28" s="12">
        <v>1229.67359982108</v>
      </c>
      <c r="D28" s="13">
        <f t="shared" si="0"/>
        <v>2.7976955278327331E-2</v>
      </c>
      <c r="G28" s="12">
        <v>19425.349999999999</v>
      </c>
      <c r="H28" s="13">
        <f t="shared" si="1"/>
        <v>1.0127089118384225E-2</v>
      </c>
    </row>
    <row r="29" spans="2:21" x14ac:dyDescent="0.3">
      <c r="B29" s="8">
        <v>45247</v>
      </c>
      <c r="C29" s="12">
        <v>1238.8954081255199</v>
      </c>
      <c r="D29" s="13">
        <f t="shared" si="0"/>
        <v>7.4993952100637085E-3</v>
      </c>
      <c r="G29" s="12">
        <v>19731.8</v>
      </c>
      <c r="H29" s="13">
        <f t="shared" si="1"/>
        <v>1.5775777527818002E-2</v>
      </c>
      <c r="M29" s="22"/>
      <c r="N29" s="22" t="s">
        <v>89</v>
      </c>
      <c r="O29" s="22" t="s">
        <v>77</v>
      </c>
      <c r="P29" s="22" t="s">
        <v>90</v>
      </c>
      <c r="Q29" s="22" t="s">
        <v>91</v>
      </c>
      <c r="R29" s="22" t="s">
        <v>92</v>
      </c>
      <c r="S29" s="22" t="s">
        <v>93</v>
      </c>
      <c r="T29" s="22" t="s">
        <v>94</v>
      </c>
      <c r="U29" s="22" t="s">
        <v>95</v>
      </c>
    </row>
    <row r="30" spans="2:21" x14ac:dyDescent="0.3">
      <c r="B30" s="8">
        <v>45254</v>
      </c>
      <c r="C30" s="12">
        <v>1188.5720993674199</v>
      </c>
      <c r="D30" s="13">
        <f t="shared" si="0"/>
        <v>-4.0619497358732159E-2</v>
      </c>
      <c r="G30" s="12">
        <v>19794.7</v>
      </c>
      <c r="H30" s="13">
        <f t="shared" si="1"/>
        <v>3.1877476966115648E-3</v>
      </c>
      <c r="M30" s="20" t="s">
        <v>83</v>
      </c>
      <c r="N30" s="20">
        <v>2.7466779842726576E-3</v>
      </c>
      <c r="O30" s="20">
        <v>2.8772814551600748E-3</v>
      </c>
      <c r="P30" s="20">
        <v>0.95460872600655911</v>
      </c>
      <c r="Q30" s="20">
        <v>0.34210073505783611</v>
      </c>
      <c r="R30" s="20">
        <v>-2.962472653541195E-3</v>
      </c>
      <c r="S30" s="20">
        <v>8.4558286220865093E-3</v>
      </c>
      <c r="T30" s="20">
        <v>-2.962472653541195E-3</v>
      </c>
      <c r="U30" s="20">
        <v>8.4558286220865093E-3</v>
      </c>
    </row>
    <row r="31" spans="2:21" ht="15" thickBot="1" x14ac:dyDescent="0.35">
      <c r="B31" s="8">
        <v>45261</v>
      </c>
      <c r="C31" s="12">
        <v>1195.56282501756</v>
      </c>
      <c r="D31" s="13">
        <f t="shared" si="0"/>
        <v>5.8816168189212981E-3</v>
      </c>
      <c r="G31" s="12">
        <v>20267.900000000001</v>
      </c>
      <c r="H31" s="13">
        <f t="shared" si="1"/>
        <v>2.3905388816198414E-2</v>
      </c>
      <c r="M31" s="21" t="s">
        <v>96</v>
      </c>
      <c r="N31" s="21">
        <v>0.59166256013890972</v>
      </c>
      <c r="O31" s="21">
        <v>0.16933251360922189</v>
      </c>
      <c r="P31" s="21">
        <v>3.4940871515338308</v>
      </c>
      <c r="Q31" s="21">
        <v>7.1297835279385529E-4</v>
      </c>
      <c r="R31" s="21">
        <v>0.25567011618075408</v>
      </c>
      <c r="S31" s="21">
        <v>0.92765500409706536</v>
      </c>
      <c r="T31" s="21">
        <v>0.25567011618075408</v>
      </c>
      <c r="U31" s="21">
        <v>0.92765500409706536</v>
      </c>
    </row>
    <row r="32" spans="2:21" x14ac:dyDescent="0.3">
      <c r="B32" s="8">
        <v>45268</v>
      </c>
      <c r="C32" s="12">
        <v>1208.8501617142799</v>
      </c>
      <c r="D32" s="13">
        <f t="shared" si="0"/>
        <v>1.1113875756821656E-2</v>
      </c>
      <c r="G32" s="12">
        <v>20969.400000000001</v>
      </c>
      <c r="H32" s="13">
        <f t="shared" si="1"/>
        <v>3.4611380557433069E-2</v>
      </c>
    </row>
    <row r="33" spans="2:8" x14ac:dyDescent="0.3">
      <c r="B33" s="8">
        <v>45275</v>
      </c>
      <c r="C33" s="12">
        <v>1196.9510542246801</v>
      </c>
      <c r="D33" s="13">
        <f t="shared" si="0"/>
        <v>-9.8433270445409393E-3</v>
      </c>
      <c r="G33" s="12">
        <v>21456.65</v>
      </c>
      <c r="H33" s="13">
        <f t="shared" si="1"/>
        <v>2.3236239472755438E-2</v>
      </c>
    </row>
    <row r="34" spans="2:8" x14ac:dyDescent="0.3">
      <c r="B34" s="8">
        <v>45282</v>
      </c>
      <c r="C34" s="12">
        <v>1225.2114345124801</v>
      </c>
      <c r="D34" s="13">
        <f t="shared" si="0"/>
        <v>2.3610305691326383E-2</v>
      </c>
      <c r="G34" s="12">
        <v>21349.4</v>
      </c>
      <c r="H34" s="13">
        <f t="shared" si="1"/>
        <v>-4.9984503638732525E-3</v>
      </c>
    </row>
    <row r="35" spans="2:8" x14ac:dyDescent="0.3">
      <c r="B35" s="8">
        <v>45289</v>
      </c>
      <c r="C35" s="12">
        <v>1235.8214720240301</v>
      </c>
      <c r="D35" s="13">
        <f t="shared" si="0"/>
        <v>8.6597604402638417E-3</v>
      </c>
      <c r="G35" s="12">
        <v>21731.4</v>
      </c>
      <c r="H35" s="13">
        <f t="shared" si="1"/>
        <v>1.7892774504201459E-2</v>
      </c>
    </row>
    <row r="36" spans="2:8" x14ac:dyDescent="0.3">
      <c r="B36" s="8">
        <v>45296</v>
      </c>
      <c r="C36" s="12">
        <v>1276.0801190305201</v>
      </c>
      <c r="D36" s="13">
        <f t="shared" si="0"/>
        <v>3.2576426221624377E-2</v>
      </c>
      <c r="G36" s="12">
        <v>21710.799999999999</v>
      </c>
      <c r="H36" s="13">
        <f t="shared" si="1"/>
        <v>-9.479370864280412E-4</v>
      </c>
    </row>
    <row r="37" spans="2:8" x14ac:dyDescent="0.3">
      <c r="B37" s="8">
        <v>45303</v>
      </c>
      <c r="C37" s="12">
        <v>1297.0027163663999</v>
      </c>
      <c r="D37" s="13">
        <f t="shared" si="0"/>
        <v>1.6395990364441504E-2</v>
      </c>
      <c r="G37" s="12">
        <v>21894.55</v>
      </c>
      <c r="H37" s="13">
        <f t="shared" si="1"/>
        <v>8.4635296718684749E-3</v>
      </c>
    </row>
    <row r="38" spans="2:8" x14ac:dyDescent="0.3">
      <c r="B38" s="8">
        <v>45311</v>
      </c>
      <c r="C38" s="12">
        <v>1305.1833527655001</v>
      </c>
      <c r="D38" s="13">
        <f t="shared" si="0"/>
        <v>6.307339449541427E-3</v>
      </c>
      <c r="G38" s="12">
        <v>21622.400000000001</v>
      </c>
      <c r="H38" s="13">
        <f t="shared" si="1"/>
        <v>-1.2430033958222397E-2</v>
      </c>
    </row>
    <row r="39" spans="2:8" x14ac:dyDescent="0.3">
      <c r="B39" s="8">
        <v>45316</v>
      </c>
      <c r="C39" s="12">
        <v>1358.1343810942201</v>
      </c>
      <c r="D39" s="13">
        <f t="shared" si="0"/>
        <v>4.0569800569800529E-2</v>
      </c>
      <c r="G39" s="12">
        <v>21352.6</v>
      </c>
      <c r="H39" s="13">
        <f t="shared" si="1"/>
        <v>-1.2477800799171379E-2</v>
      </c>
    </row>
    <row r="40" spans="2:8" x14ac:dyDescent="0.3">
      <c r="B40" s="8">
        <v>45324</v>
      </c>
      <c r="C40" s="12">
        <v>1380.9410037826201</v>
      </c>
      <c r="D40" s="13">
        <f t="shared" si="0"/>
        <v>1.6792611251049472E-2</v>
      </c>
      <c r="G40" s="12">
        <v>21853.8</v>
      </c>
      <c r="H40" s="13">
        <f t="shared" si="1"/>
        <v>2.3472551352060167E-2</v>
      </c>
    </row>
    <row r="41" spans="2:8" x14ac:dyDescent="0.3">
      <c r="B41" s="8">
        <v>45331</v>
      </c>
      <c r="C41" s="12">
        <v>1427.6450006793</v>
      </c>
      <c r="D41" s="13">
        <f t="shared" si="0"/>
        <v>3.3820414318026737E-2</v>
      </c>
      <c r="G41" s="12">
        <v>21782.5</v>
      </c>
      <c r="H41" s="13">
        <f t="shared" si="1"/>
        <v>-3.2625904876955047E-3</v>
      </c>
    </row>
    <row r="42" spans="2:8" x14ac:dyDescent="0.3">
      <c r="B42" s="8">
        <v>45338</v>
      </c>
      <c r="C42" s="12">
        <v>1428.58701335556</v>
      </c>
      <c r="D42" s="13">
        <f t="shared" si="0"/>
        <v>6.5983677721836997E-4</v>
      </c>
      <c r="G42" s="12">
        <v>22040.7</v>
      </c>
      <c r="H42" s="13">
        <f t="shared" si="1"/>
        <v>1.1853552163433978E-2</v>
      </c>
    </row>
    <row r="43" spans="2:8" x14ac:dyDescent="0.3">
      <c r="B43" s="8">
        <v>45345</v>
      </c>
      <c r="C43" s="12">
        <v>1454.0709352291201</v>
      </c>
      <c r="D43" s="13">
        <f t="shared" si="0"/>
        <v>1.7838550704518674E-2</v>
      </c>
      <c r="G43" s="12">
        <v>22212.7</v>
      </c>
      <c r="H43" s="13">
        <f t="shared" si="1"/>
        <v>7.8037448901351336E-3</v>
      </c>
    </row>
    <row r="44" spans="2:8" x14ac:dyDescent="0.3">
      <c r="B44" s="8">
        <v>45353</v>
      </c>
      <c r="C44" s="12">
        <v>1469.8372526528401</v>
      </c>
      <c r="D44" s="13">
        <f t="shared" si="0"/>
        <v>1.0842880523731502E-2</v>
      </c>
      <c r="G44" s="12">
        <v>22338.75</v>
      </c>
      <c r="H44" s="13">
        <f t="shared" si="1"/>
        <v>5.6746816010659895E-3</v>
      </c>
    </row>
    <row r="45" spans="2:8" x14ac:dyDescent="0.3">
      <c r="B45" s="8">
        <v>45358</v>
      </c>
      <c r="C45" s="12">
        <v>1470.6801061000201</v>
      </c>
      <c r="D45" s="13">
        <f t="shared" si="0"/>
        <v>5.7343317816904715E-4</v>
      </c>
      <c r="G45" s="12">
        <v>22493.55</v>
      </c>
      <c r="H45" s="13">
        <f t="shared" si="1"/>
        <v>6.929662581836471E-3</v>
      </c>
    </row>
    <row r="46" spans="2:8" x14ac:dyDescent="0.3">
      <c r="B46" s="8">
        <v>45366</v>
      </c>
      <c r="C46" s="12">
        <v>1475.5389083249399</v>
      </c>
      <c r="D46" s="13">
        <f t="shared" si="0"/>
        <v>3.303779118767336E-3</v>
      </c>
      <c r="G46" s="12">
        <v>22023.35</v>
      </c>
      <c r="H46" s="13">
        <f t="shared" si="1"/>
        <v>-2.0903770191899484E-2</v>
      </c>
    </row>
    <row r="47" spans="2:8" x14ac:dyDescent="0.3">
      <c r="B47" s="8">
        <v>45373</v>
      </c>
      <c r="C47" s="12">
        <v>1468.7960807474999</v>
      </c>
      <c r="D47" s="13">
        <f t="shared" si="0"/>
        <v>-4.5697389200631822E-3</v>
      </c>
      <c r="G47" s="12">
        <v>22096.75</v>
      </c>
      <c r="H47" s="13">
        <f t="shared" si="1"/>
        <v>3.3328262957270649E-3</v>
      </c>
    </row>
    <row r="48" spans="2:8" x14ac:dyDescent="0.3">
      <c r="B48" s="8">
        <v>45379</v>
      </c>
      <c r="C48" s="12">
        <v>1484.3640797130599</v>
      </c>
      <c r="D48" s="13">
        <f t="shared" si="0"/>
        <v>1.0599156118143549E-2</v>
      </c>
      <c r="G48" s="12">
        <v>22326.9</v>
      </c>
      <c r="H48" s="13">
        <f t="shared" si="1"/>
        <v>1.0415558849152129E-2</v>
      </c>
    </row>
    <row r="49" spans="2:8" x14ac:dyDescent="0.3">
      <c r="B49" s="8">
        <v>45387</v>
      </c>
      <c r="C49" s="12">
        <v>1437.21386628552</v>
      </c>
      <c r="D49" s="13">
        <f t="shared" si="0"/>
        <v>-3.1764587995591009E-2</v>
      </c>
      <c r="G49" s="12">
        <v>22513.7</v>
      </c>
      <c r="H49" s="13">
        <f t="shared" si="1"/>
        <v>8.3665891816597782E-3</v>
      </c>
    </row>
    <row r="50" spans="2:8" x14ac:dyDescent="0.3">
      <c r="B50" s="8">
        <v>45394</v>
      </c>
      <c r="C50" s="12">
        <v>1385.0561117894399</v>
      </c>
      <c r="D50" s="13">
        <f t="shared" si="0"/>
        <v>-3.6290878984407415E-2</v>
      </c>
      <c r="G50" s="12">
        <v>22519.400389999999</v>
      </c>
      <c r="H50" s="13">
        <f t="shared" si="1"/>
        <v>2.5319649813226874E-4</v>
      </c>
    </row>
    <row r="51" spans="2:8" x14ac:dyDescent="0.3">
      <c r="B51" s="8">
        <v>45401</v>
      </c>
      <c r="C51" s="12">
        <v>1334.4353253441</v>
      </c>
      <c r="D51" s="13">
        <f t="shared" si="0"/>
        <v>-3.654782359679265E-2</v>
      </c>
      <c r="G51" s="12">
        <v>22147</v>
      </c>
      <c r="H51" s="13">
        <f t="shared" si="1"/>
        <v>-1.6536869701262891E-2</v>
      </c>
    </row>
    <row r="52" spans="2:8" x14ac:dyDescent="0.3">
      <c r="B52" s="8">
        <v>45408</v>
      </c>
      <c r="C52" s="12">
        <v>1397.30227658082</v>
      </c>
      <c r="D52" s="13">
        <f t="shared" si="0"/>
        <v>4.7111276240014988E-2</v>
      </c>
      <c r="G52" s="12">
        <v>22419.949219999999</v>
      </c>
      <c r="H52" s="13">
        <f t="shared" si="1"/>
        <v>1.2324433106063903E-2</v>
      </c>
    </row>
    <row r="53" spans="2:8" x14ac:dyDescent="0.3">
      <c r="B53" s="8">
        <v>45415</v>
      </c>
      <c r="C53" s="12">
        <v>1412.7711163173001</v>
      </c>
      <c r="D53" s="13">
        <f t="shared" si="0"/>
        <v>1.1070503495014705E-2</v>
      </c>
      <c r="G53" s="12">
        <v>22475.849610000001</v>
      </c>
      <c r="H53" s="13">
        <f t="shared" si="1"/>
        <v>2.4933325874858525E-3</v>
      </c>
    </row>
    <row r="54" spans="2:8" x14ac:dyDescent="0.3">
      <c r="B54" s="8">
        <v>45422</v>
      </c>
      <c r="C54" s="12">
        <v>1328.2874531411301</v>
      </c>
      <c r="D54" s="13">
        <f t="shared" si="0"/>
        <v>-5.9799964906130931E-2</v>
      </c>
      <c r="G54" s="12">
        <v>22055.199219999999</v>
      </c>
      <c r="H54" s="13">
        <f t="shared" si="1"/>
        <v>-1.871566135648306E-2</v>
      </c>
    </row>
    <row r="55" spans="2:8" x14ac:dyDescent="0.3">
      <c r="B55" s="8">
        <v>45430</v>
      </c>
      <c r="C55" s="12">
        <v>1392.24515589774</v>
      </c>
      <c r="D55" s="13">
        <f t="shared" si="0"/>
        <v>4.8150498301676281E-2</v>
      </c>
      <c r="G55" s="12">
        <v>22464.800780000001</v>
      </c>
      <c r="H55" s="13">
        <f t="shared" si="1"/>
        <v>1.8571655413956556E-2</v>
      </c>
    </row>
    <row r="56" spans="2:8" x14ac:dyDescent="0.3">
      <c r="B56" s="8">
        <v>45436</v>
      </c>
      <c r="C56" s="12">
        <v>1473.9523606596599</v>
      </c>
      <c r="D56" s="13">
        <f t="shared" si="0"/>
        <v>5.868736868345148E-2</v>
      </c>
      <c r="G56" s="12">
        <v>22957.099610000001</v>
      </c>
      <c r="H56" s="13">
        <f t="shared" si="1"/>
        <v>2.1914230836993953E-2</v>
      </c>
    </row>
    <row r="57" spans="2:8" x14ac:dyDescent="0.3">
      <c r="B57" s="8">
        <v>45443</v>
      </c>
      <c r="C57" s="12">
        <v>1435.0323632457601</v>
      </c>
      <c r="D57" s="13">
        <f t="shared" si="0"/>
        <v>-2.64051935820242E-2</v>
      </c>
      <c r="G57" s="12">
        <v>22530.699219999999</v>
      </c>
      <c r="H57" s="13">
        <f t="shared" si="1"/>
        <v>-1.8573791865862055E-2</v>
      </c>
    </row>
    <row r="58" spans="2:8" x14ac:dyDescent="0.3">
      <c r="B58" s="8">
        <v>45450</v>
      </c>
      <c r="C58" s="12">
        <v>1484.6615574002999</v>
      </c>
      <c r="D58" s="13">
        <f t="shared" si="0"/>
        <v>3.4584024322830142E-2</v>
      </c>
      <c r="G58" s="12">
        <v>23290.150389999999</v>
      </c>
      <c r="H58" s="13">
        <f t="shared" si="1"/>
        <v>3.3707394634510557E-2</v>
      </c>
    </row>
    <row r="59" spans="2:8" x14ac:dyDescent="0.3">
      <c r="B59" s="8">
        <v>45457</v>
      </c>
      <c r="C59" s="12">
        <v>1551.5940370292999</v>
      </c>
      <c r="D59" s="13">
        <f t="shared" si="0"/>
        <v>4.5082651527800888E-2</v>
      </c>
      <c r="G59" s="12">
        <v>23465.599610000001</v>
      </c>
      <c r="H59" s="13">
        <f t="shared" si="1"/>
        <v>7.5331939494618361E-3</v>
      </c>
    </row>
    <row r="60" spans="2:8" x14ac:dyDescent="0.3">
      <c r="B60" s="8">
        <v>45464</v>
      </c>
      <c r="C60" s="12">
        <v>1528.5890958827399</v>
      </c>
      <c r="D60" s="13">
        <f t="shared" si="0"/>
        <v>-1.4826649624540611E-2</v>
      </c>
      <c r="G60" s="12">
        <v>23501.099610000001</v>
      </c>
      <c r="H60" s="13">
        <f t="shared" si="1"/>
        <v>1.5128528820917975E-3</v>
      </c>
    </row>
    <row r="61" spans="2:8" x14ac:dyDescent="0.3">
      <c r="B61" s="8">
        <v>45471</v>
      </c>
      <c r="C61" s="12">
        <v>1468.3498642166301</v>
      </c>
      <c r="D61" s="13">
        <f t="shared" si="0"/>
        <v>-3.9408387661775457E-2</v>
      </c>
      <c r="G61" s="12">
        <v>24010.599610000001</v>
      </c>
      <c r="H61" s="13">
        <f t="shared" si="1"/>
        <v>2.1679836622759519E-2</v>
      </c>
    </row>
    <row r="62" spans="2:8" x14ac:dyDescent="0.3">
      <c r="B62" s="8">
        <v>45478</v>
      </c>
      <c r="C62" s="12">
        <v>1497.20519987892</v>
      </c>
      <c r="D62" s="13">
        <f t="shared" si="0"/>
        <v>1.9651539708272603E-2</v>
      </c>
      <c r="G62" s="12">
        <v>24323.849610000001</v>
      </c>
      <c r="H62" s="13">
        <f t="shared" si="1"/>
        <v>1.3046321420042251E-2</v>
      </c>
    </row>
    <row r="63" spans="2:8" x14ac:dyDescent="0.3">
      <c r="B63" s="8">
        <v>45485</v>
      </c>
      <c r="C63" s="12">
        <v>1499.3371233041401</v>
      </c>
      <c r="D63" s="13">
        <f t="shared" si="0"/>
        <v>1.4239353599576621E-3</v>
      </c>
      <c r="G63" s="12">
        <v>24502.150389999999</v>
      </c>
      <c r="H63" s="13">
        <f t="shared" si="1"/>
        <v>7.3302862358881615E-3</v>
      </c>
    </row>
    <row r="64" spans="2:8" x14ac:dyDescent="0.3">
      <c r="B64" s="8">
        <v>45492</v>
      </c>
      <c r="C64" s="12">
        <v>1473.0103479833999</v>
      </c>
      <c r="D64" s="13">
        <f t="shared" si="0"/>
        <v>-1.7558943156641749E-2</v>
      </c>
      <c r="G64" s="12">
        <v>24530.900389999999</v>
      </c>
      <c r="H64" s="13">
        <f t="shared" si="1"/>
        <v>1.1733664001889466E-3</v>
      </c>
    </row>
    <row r="65" spans="2:8" x14ac:dyDescent="0.3">
      <c r="B65" s="8">
        <v>45499</v>
      </c>
      <c r="C65" s="12">
        <v>1561.7578580100001</v>
      </c>
      <c r="D65" s="13">
        <f t="shared" si="0"/>
        <v>6.0249074385728907E-2</v>
      </c>
      <c r="G65" s="12">
        <v>24834.849610000001</v>
      </c>
      <c r="H65" s="13">
        <f t="shared" si="1"/>
        <v>1.2390463259306594E-2</v>
      </c>
    </row>
    <row r="66" spans="2:8" x14ac:dyDescent="0.3">
      <c r="B66" s="8">
        <v>45506</v>
      </c>
      <c r="C66" s="12">
        <v>1528.8</v>
      </c>
      <c r="D66" s="13">
        <f t="shared" si="0"/>
        <v>-2.1103052461663441E-2</v>
      </c>
      <c r="G66" s="12">
        <v>24717.699219999999</v>
      </c>
      <c r="H66" s="13">
        <f t="shared" si="1"/>
        <v>-4.7171773471432754E-3</v>
      </c>
    </row>
    <row r="67" spans="2:8" x14ac:dyDescent="0.3">
      <c r="B67" s="8">
        <v>45513</v>
      </c>
      <c r="C67" s="12">
        <v>1574.75</v>
      </c>
      <c r="D67" s="13">
        <f t="shared" si="0"/>
        <v>3.0056253270539068E-2</v>
      </c>
      <c r="G67" s="12">
        <v>24367.5</v>
      </c>
      <c r="H67" s="13">
        <f t="shared" si="1"/>
        <v>-1.41679537760796E-2</v>
      </c>
    </row>
    <row r="68" spans="2:8" x14ac:dyDescent="0.3">
      <c r="B68" s="8">
        <v>45520</v>
      </c>
      <c r="C68" s="12">
        <v>1576.1</v>
      </c>
      <c r="D68" s="13">
        <f t="shared" si="0"/>
        <v>8.5727893316400738E-4</v>
      </c>
      <c r="G68" s="12">
        <v>24541.150389999999</v>
      </c>
      <c r="H68" s="13">
        <f t="shared" si="1"/>
        <v>7.1263112752641966E-3</v>
      </c>
    </row>
    <row r="69" spans="2:8" x14ac:dyDescent="0.3">
      <c r="B69" s="8">
        <v>45527</v>
      </c>
      <c r="C69" s="12">
        <v>1574.55</v>
      </c>
      <c r="D69" s="13">
        <f t="shared" si="0"/>
        <v>-9.8344013704709798E-4</v>
      </c>
      <c r="G69" s="12">
        <v>24823.150389999999</v>
      </c>
      <c r="H69" s="13">
        <f t="shared" si="1"/>
        <v>1.1490903870378766E-2</v>
      </c>
    </row>
    <row r="70" spans="2:8" x14ac:dyDescent="0.3">
      <c r="B70" s="8">
        <v>45534</v>
      </c>
      <c r="C70" s="12">
        <v>1654.9</v>
      </c>
      <c r="D70" s="13">
        <f t="shared" si="0"/>
        <v>5.1030453145343158E-2</v>
      </c>
      <c r="G70" s="12">
        <v>25235.900389999999</v>
      </c>
      <c r="H70" s="13">
        <f t="shared" si="1"/>
        <v>1.6627623549599013E-2</v>
      </c>
    </row>
    <row r="71" spans="2:8" x14ac:dyDescent="0.3">
      <c r="B71" s="8">
        <v>45541</v>
      </c>
      <c r="C71" s="12">
        <v>1611.05</v>
      </c>
      <c r="D71" s="13">
        <f t="shared" si="0"/>
        <v>-2.649706930932394E-2</v>
      </c>
      <c r="G71" s="12">
        <v>24852.150389999999</v>
      </c>
      <c r="H71" s="13">
        <f t="shared" si="1"/>
        <v>-1.5206511123814104E-2</v>
      </c>
    </row>
    <row r="72" spans="2:8" x14ac:dyDescent="0.3">
      <c r="B72" s="8">
        <v>45548</v>
      </c>
      <c r="C72" s="12">
        <v>1659.7</v>
      </c>
      <c r="D72" s="13">
        <f t="shared" si="0"/>
        <v>3.019769715403009E-2</v>
      </c>
      <c r="G72" s="12">
        <v>25356.5</v>
      </c>
      <c r="H72" s="13">
        <f t="shared" si="1"/>
        <v>2.0294002816067858E-2</v>
      </c>
    </row>
    <row r="73" spans="2:8" x14ac:dyDescent="0.3">
      <c r="B73" s="8">
        <v>45555</v>
      </c>
      <c r="C73" s="12">
        <v>1638.65</v>
      </c>
      <c r="D73" s="13">
        <f t="shared" si="0"/>
        <v>-1.2683015002711295E-2</v>
      </c>
      <c r="G73" s="12">
        <v>25790.949219999999</v>
      </c>
      <c r="H73" s="13">
        <f t="shared" si="1"/>
        <v>1.7133643050105452E-2</v>
      </c>
    </row>
    <row r="74" spans="2:8" x14ac:dyDescent="0.3">
      <c r="B74" s="8">
        <v>45562</v>
      </c>
      <c r="C74" s="12">
        <v>1672.5</v>
      </c>
      <c r="D74" s="13">
        <f t="shared" ref="D74:D109" si="2">C74/C73-1</f>
        <v>2.0657248344673862E-2</v>
      </c>
      <c r="G74" s="12">
        <v>26178.949219999999</v>
      </c>
      <c r="H74" s="13">
        <f t="shared" ref="H74:H109" si="3">G74/G73-1</f>
        <v>1.5044037219813511E-2</v>
      </c>
    </row>
    <row r="75" spans="2:8" x14ac:dyDescent="0.3">
      <c r="B75" s="8">
        <v>45569</v>
      </c>
      <c r="C75" s="12">
        <v>1623.3</v>
      </c>
      <c r="D75" s="13">
        <f t="shared" si="2"/>
        <v>-2.9417040358744373E-2</v>
      </c>
      <c r="G75" s="12">
        <v>25014.599610000001</v>
      </c>
      <c r="H75" s="13">
        <f t="shared" si="3"/>
        <v>-4.4476560163479228E-2</v>
      </c>
    </row>
    <row r="76" spans="2:8" x14ac:dyDescent="0.3">
      <c r="B76" s="8">
        <v>45576</v>
      </c>
      <c r="C76" s="12">
        <v>1595.75</v>
      </c>
      <c r="D76" s="13">
        <f t="shared" si="2"/>
        <v>-1.6971601059569963E-2</v>
      </c>
      <c r="G76" s="12">
        <v>24964.25</v>
      </c>
      <c r="H76" s="13">
        <f t="shared" si="3"/>
        <v>-2.0128089509724445E-3</v>
      </c>
    </row>
    <row r="77" spans="2:8" x14ac:dyDescent="0.3">
      <c r="B77" s="8">
        <v>45583</v>
      </c>
      <c r="C77" s="12">
        <v>1551.7</v>
      </c>
      <c r="D77" s="13">
        <f t="shared" si="2"/>
        <v>-2.7604574651417746E-2</v>
      </c>
      <c r="G77" s="12">
        <v>24854.050780000001</v>
      </c>
      <c r="H77" s="13">
        <f t="shared" si="3"/>
        <v>-4.414281222147598E-3</v>
      </c>
    </row>
    <row r="78" spans="2:8" x14ac:dyDescent="0.3">
      <c r="B78" s="8">
        <v>45590</v>
      </c>
      <c r="C78" s="12">
        <v>1488.9</v>
      </c>
      <c r="D78" s="13">
        <f t="shared" si="2"/>
        <v>-4.0471740671521483E-2</v>
      </c>
      <c r="G78" s="12">
        <v>24180.800780000001</v>
      </c>
      <c r="H78" s="13">
        <f t="shared" si="3"/>
        <v>-2.7088139714503301E-2</v>
      </c>
    </row>
    <row r="79" spans="2:8" x14ac:dyDescent="0.3">
      <c r="B79" s="8">
        <v>45597</v>
      </c>
      <c r="C79" s="12">
        <v>1559.55</v>
      </c>
      <c r="D79" s="13">
        <f t="shared" si="2"/>
        <v>4.7451138424340122E-2</v>
      </c>
      <c r="G79" s="12">
        <v>24304.349610000001</v>
      </c>
      <c r="H79" s="13">
        <f t="shared" si="3"/>
        <v>5.1093771097185936E-3</v>
      </c>
    </row>
    <row r="80" spans="2:8" x14ac:dyDescent="0.3">
      <c r="B80" s="8">
        <v>45604</v>
      </c>
      <c r="C80" s="12">
        <v>1592.6</v>
      </c>
      <c r="D80" s="13">
        <f t="shared" si="2"/>
        <v>2.1192010515853843E-2</v>
      </c>
      <c r="G80" s="12">
        <v>24148.199219999999</v>
      </c>
      <c r="H80" s="13">
        <f t="shared" si="3"/>
        <v>-6.424791961343157E-3</v>
      </c>
    </row>
    <row r="81" spans="2:8" x14ac:dyDescent="0.3">
      <c r="B81" s="8">
        <v>45610</v>
      </c>
      <c r="C81" s="12">
        <v>1499.75</v>
      </c>
      <c r="D81" s="13">
        <f t="shared" si="2"/>
        <v>-5.8300891623759843E-2</v>
      </c>
      <c r="G81" s="12">
        <v>23555.5</v>
      </c>
      <c r="H81" s="13">
        <f t="shared" si="3"/>
        <v>-2.4544240943196849E-2</v>
      </c>
    </row>
    <row r="82" spans="2:8" x14ac:dyDescent="0.3">
      <c r="B82" s="8">
        <v>45618</v>
      </c>
      <c r="C82" s="12">
        <v>1486.5</v>
      </c>
      <c r="D82" s="13">
        <f t="shared" si="2"/>
        <v>-8.8348058009668495E-3</v>
      </c>
      <c r="G82" s="12">
        <v>23349.900389999999</v>
      </c>
      <c r="H82" s="13">
        <f t="shared" si="3"/>
        <v>-8.7283059158158594E-3</v>
      </c>
    </row>
    <row r="83" spans="2:8" x14ac:dyDescent="0.3">
      <c r="B83" s="8">
        <v>45625</v>
      </c>
      <c r="C83" s="12">
        <v>1533.9</v>
      </c>
      <c r="D83" s="13">
        <f t="shared" si="2"/>
        <v>3.1886982845610534E-2</v>
      </c>
      <c r="G83" s="12">
        <v>23914.150389999999</v>
      </c>
      <c r="H83" s="13">
        <f t="shared" si="3"/>
        <v>2.4164985313669618E-2</v>
      </c>
    </row>
    <row r="84" spans="2:8" x14ac:dyDescent="0.3">
      <c r="B84" s="8">
        <v>45632</v>
      </c>
      <c r="C84" s="12">
        <v>1477.4</v>
      </c>
      <c r="D84" s="13">
        <f t="shared" si="2"/>
        <v>-3.6834213442858088E-2</v>
      </c>
      <c r="G84" s="12">
        <v>24708.400389999999</v>
      </c>
      <c r="H84" s="13">
        <f t="shared" si="3"/>
        <v>3.3212553531992706E-2</v>
      </c>
    </row>
    <row r="85" spans="2:8" x14ac:dyDescent="0.3">
      <c r="B85" s="8">
        <v>45639</v>
      </c>
      <c r="C85" s="12">
        <v>1447.3</v>
      </c>
      <c r="D85" s="13">
        <f t="shared" si="2"/>
        <v>-2.0373629348856226E-2</v>
      </c>
      <c r="G85" s="12">
        <v>24548.699219999999</v>
      </c>
      <c r="H85" s="13">
        <f t="shared" si="3"/>
        <v>-6.4634362192315109E-3</v>
      </c>
    </row>
    <row r="86" spans="2:8" x14ac:dyDescent="0.3">
      <c r="B86" s="8">
        <v>45646</v>
      </c>
      <c r="C86" s="12">
        <v>1472.05</v>
      </c>
      <c r="D86" s="13">
        <f t="shared" si="2"/>
        <v>1.7100808401851797E-2</v>
      </c>
      <c r="G86" s="12">
        <v>23951.699219999999</v>
      </c>
      <c r="H86" s="13">
        <f t="shared" si="3"/>
        <v>-2.4319007481814703E-2</v>
      </c>
    </row>
    <row r="87" spans="2:8" x14ac:dyDescent="0.3">
      <c r="B87" s="8">
        <v>45653</v>
      </c>
      <c r="C87" s="12">
        <v>1506.6</v>
      </c>
      <c r="D87" s="13">
        <f t="shared" si="2"/>
        <v>2.3470670153866946E-2</v>
      </c>
      <c r="G87" s="12">
        <v>23750.199219999999</v>
      </c>
      <c r="H87" s="13">
        <f t="shared" si="3"/>
        <v>-8.4127642948916836E-3</v>
      </c>
    </row>
    <row r="88" spans="2:8" x14ac:dyDescent="0.3">
      <c r="B88" s="8">
        <v>45660</v>
      </c>
      <c r="C88" s="12">
        <v>1511.25</v>
      </c>
      <c r="D88" s="13">
        <f t="shared" si="2"/>
        <v>3.0864197530864335E-3</v>
      </c>
      <c r="G88" s="12">
        <v>24188.650389999999</v>
      </c>
      <c r="H88" s="13">
        <f t="shared" si="3"/>
        <v>1.8460947040426667E-2</v>
      </c>
    </row>
    <row r="89" spans="2:8" x14ac:dyDescent="0.3">
      <c r="B89" s="8">
        <v>45667</v>
      </c>
      <c r="C89" s="12">
        <v>1468.8</v>
      </c>
      <c r="D89" s="13">
        <f t="shared" si="2"/>
        <v>-2.8089330024813952E-2</v>
      </c>
      <c r="G89" s="12">
        <v>23526.5</v>
      </c>
      <c r="H89" s="13">
        <f t="shared" si="3"/>
        <v>-2.737442475392271E-2</v>
      </c>
    </row>
    <row r="90" spans="2:8" x14ac:dyDescent="0.3">
      <c r="B90" s="8">
        <v>45674</v>
      </c>
      <c r="C90" s="12">
        <v>1442.3</v>
      </c>
      <c r="D90" s="13">
        <f t="shared" si="2"/>
        <v>-1.8041938997821361E-2</v>
      </c>
      <c r="G90" s="12">
        <v>23311.800780000001</v>
      </c>
      <c r="H90" s="13">
        <f t="shared" si="3"/>
        <v>-9.1258461734639029E-3</v>
      </c>
    </row>
    <row r="91" spans="2:8" x14ac:dyDescent="0.3">
      <c r="B91" s="8">
        <v>45681</v>
      </c>
      <c r="C91" s="12">
        <v>1411.4</v>
      </c>
      <c r="D91" s="13">
        <f t="shared" si="2"/>
        <v>-2.1424114261942684E-2</v>
      </c>
      <c r="G91" s="12">
        <v>23205.349610000001</v>
      </c>
      <c r="H91" s="13">
        <f t="shared" si="3"/>
        <v>-4.5664069886581782E-3</v>
      </c>
    </row>
    <row r="92" spans="2:8" x14ac:dyDescent="0.3">
      <c r="B92" s="8">
        <v>45689</v>
      </c>
      <c r="C92" s="12">
        <v>1439.5</v>
      </c>
      <c r="D92" s="13">
        <f t="shared" si="2"/>
        <v>1.9909309905058681E-2</v>
      </c>
      <c r="G92" s="12">
        <v>23508.400389999999</v>
      </c>
      <c r="H92" s="13">
        <f t="shared" si="3"/>
        <v>1.3059522269356583E-2</v>
      </c>
    </row>
    <row r="93" spans="2:8" x14ac:dyDescent="0.3">
      <c r="B93" s="8">
        <v>45695</v>
      </c>
      <c r="C93" s="12">
        <v>1472.25</v>
      </c>
      <c r="D93" s="13">
        <f t="shared" si="2"/>
        <v>2.2750955192775368E-2</v>
      </c>
      <c r="G93" s="12">
        <v>23603.349610000001</v>
      </c>
      <c r="H93" s="13">
        <f t="shared" si="3"/>
        <v>4.0389485641223466E-3</v>
      </c>
    </row>
    <row r="94" spans="2:8" x14ac:dyDescent="0.3">
      <c r="B94" s="8">
        <v>45702</v>
      </c>
      <c r="C94" s="12">
        <v>1459.45</v>
      </c>
      <c r="D94" s="13">
        <f t="shared" si="2"/>
        <v>-8.6941755815928001E-3</v>
      </c>
      <c r="G94" s="12">
        <v>23031.400389999999</v>
      </c>
      <c r="H94" s="13">
        <f t="shared" si="3"/>
        <v>-2.4231697172238831E-2</v>
      </c>
    </row>
    <row r="95" spans="2:8" x14ac:dyDescent="0.3">
      <c r="B95" s="8">
        <v>45709</v>
      </c>
      <c r="C95" s="12">
        <v>1475.75</v>
      </c>
      <c r="D95" s="13">
        <f t="shared" si="2"/>
        <v>1.1168590907533638E-2</v>
      </c>
      <c r="G95" s="12">
        <v>22913.150389999999</v>
      </c>
      <c r="H95" s="13">
        <f t="shared" si="3"/>
        <v>-5.1342948321693171E-3</v>
      </c>
    </row>
    <row r="96" spans="2:8" x14ac:dyDescent="0.3">
      <c r="B96" s="8">
        <v>45716</v>
      </c>
      <c r="C96" s="12">
        <v>1407.5</v>
      </c>
      <c r="D96" s="13">
        <f t="shared" si="2"/>
        <v>-4.6247670675927499E-2</v>
      </c>
      <c r="G96" s="12">
        <v>22545.050780000001</v>
      </c>
      <c r="H96" s="13">
        <f t="shared" si="3"/>
        <v>-1.6064993409227846E-2</v>
      </c>
    </row>
    <row r="97" spans="2:8" x14ac:dyDescent="0.3">
      <c r="B97" s="8">
        <v>45723</v>
      </c>
      <c r="C97" s="12">
        <v>1458.45</v>
      </c>
      <c r="D97" s="13">
        <f t="shared" si="2"/>
        <v>3.6198934280639472E-2</v>
      </c>
      <c r="G97" s="12">
        <v>22544.699219999999</v>
      </c>
      <c r="H97" s="13">
        <f t="shared" si="3"/>
        <v>-1.559366636316728E-5</v>
      </c>
    </row>
    <row r="98" spans="2:8" x14ac:dyDescent="0.3">
      <c r="B98" s="8">
        <v>45729</v>
      </c>
      <c r="C98" s="12">
        <v>1461.9</v>
      </c>
      <c r="D98" s="13">
        <f t="shared" si="2"/>
        <v>2.3655250437109032E-3</v>
      </c>
      <c r="G98" s="12">
        <v>22470.5</v>
      </c>
      <c r="H98" s="13">
        <f t="shared" si="3"/>
        <v>-3.2912046985383858E-3</v>
      </c>
    </row>
    <row r="99" spans="2:8" x14ac:dyDescent="0.3">
      <c r="B99" s="8">
        <v>45737</v>
      </c>
      <c r="C99" s="12">
        <v>1523.85</v>
      </c>
      <c r="D99" s="13">
        <f t="shared" si="2"/>
        <v>4.2376359532115604E-2</v>
      </c>
      <c r="G99" s="12">
        <v>23190.650389999999</v>
      </c>
      <c r="H99" s="13">
        <f t="shared" si="3"/>
        <v>3.2048703411138968E-2</v>
      </c>
    </row>
    <row r="100" spans="2:8" x14ac:dyDescent="0.3">
      <c r="B100" s="8">
        <v>45744</v>
      </c>
      <c r="C100" s="12">
        <v>1442.2</v>
      </c>
      <c r="D100" s="13">
        <f t="shared" si="2"/>
        <v>-5.3581389244348077E-2</v>
      </c>
      <c r="G100" s="12">
        <v>23591.949219999999</v>
      </c>
      <c r="H100" s="13">
        <f t="shared" si="3"/>
        <v>1.7304337017345794E-2</v>
      </c>
    </row>
    <row r="101" spans="2:8" x14ac:dyDescent="0.3">
      <c r="B101" s="8">
        <v>45751</v>
      </c>
      <c r="C101" s="12">
        <v>1415.25</v>
      </c>
      <c r="D101" s="13">
        <f t="shared" si="2"/>
        <v>-1.8686728609069503E-2</v>
      </c>
      <c r="G101" s="12">
        <v>23250.099610000001</v>
      </c>
      <c r="H101" s="13">
        <f t="shared" si="3"/>
        <v>-1.449009604133078E-2</v>
      </c>
    </row>
    <row r="102" spans="2:8" x14ac:dyDescent="0.3">
      <c r="B102" s="8">
        <v>45758</v>
      </c>
      <c r="C102" s="12">
        <v>1463.05</v>
      </c>
      <c r="D102" s="13">
        <f t="shared" si="2"/>
        <v>3.3774951422010258E-2</v>
      </c>
      <c r="G102" s="12">
        <v>22535.849610000001</v>
      </c>
      <c r="H102" s="13">
        <f t="shared" si="3"/>
        <v>-3.0720298492519005E-2</v>
      </c>
    </row>
    <row r="103" spans="2:8" x14ac:dyDescent="0.3">
      <c r="B103" s="8">
        <v>45764</v>
      </c>
      <c r="C103" s="12">
        <v>1515.2</v>
      </c>
      <c r="D103" s="13">
        <f t="shared" si="2"/>
        <v>3.5644714808106492E-2</v>
      </c>
      <c r="G103" s="12">
        <v>23437.199219999999</v>
      </c>
      <c r="H103" s="13">
        <f t="shared" si="3"/>
        <v>3.9996255992054364E-2</v>
      </c>
    </row>
    <row r="104" spans="2:8" x14ac:dyDescent="0.3">
      <c r="B104" s="8">
        <v>45772</v>
      </c>
      <c r="C104" s="12">
        <v>1525.9</v>
      </c>
      <c r="D104" s="13">
        <f t="shared" si="2"/>
        <v>7.0617740232312709E-3</v>
      </c>
      <c r="G104" s="12">
        <v>24246.699219999999</v>
      </c>
      <c r="H104" s="13">
        <f t="shared" si="3"/>
        <v>3.4539109916735145E-2</v>
      </c>
    </row>
    <row r="105" spans="2:8" x14ac:dyDescent="0.3">
      <c r="B105" s="8">
        <v>45779</v>
      </c>
      <c r="C105" s="12">
        <v>1525.6</v>
      </c>
      <c r="D105" s="13">
        <f t="shared" si="2"/>
        <v>-1.9660528212872563E-4</v>
      </c>
      <c r="G105" s="12">
        <v>24335.949219999999</v>
      </c>
      <c r="H105" s="13">
        <f t="shared" si="3"/>
        <v>3.6809133973330077E-3</v>
      </c>
    </row>
    <row r="106" spans="2:8" x14ac:dyDescent="0.3">
      <c r="B106" s="8">
        <v>45786</v>
      </c>
      <c r="C106" s="12">
        <v>1480</v>
      </c>
      <c r="D106" s="13">
        <f t="shared" si="2"/>
        <v>-2.9889879391714724E-2</v>
      </c>
      <c r="G106" s="12">
        <v>24273.800780000001</v>
      </c>
      <c r="H106" s="13">
        <f t="shared" si="3"/>
        <v>-2.5537709434781952E-3</v>
      </c>
    </row>
    <row r="107" spans="2:8" x14ac:dyDescent="0.3">
      <c r="B107" s="8">
        <v>45793</v>
      </c>
      <c r="C107" s="12">
        <v>1499.9</v>
      </c>
      <c r="D107" s="13">
        <f t="shared" si="2"/>
        <v>1.3445945945945947E-2</v>
      </c>
      <c r="G107" s="12">
        <v>25062.099610000001</v>
      </c>
      <c r="H107" s="13">
        <f t="shared" si="3"/>
        <v>3.2475294542645639E-2</v>
      </c>
    </row>
    <row r="108" spans="2:8" x14ac:dyDescent="0.3">
      <c r="B108" s="8">
        <v>45800</v>
      </c>
      <c r="C108" s="12">
        <v>1484.2</v>
      </c>
      <c r="D108" s="13">
        <f t="shared" si="2"/>
        <v>-1.046736449096608E-2</v>
      </c>
      <c r="G108" s="12">
        <v>24609.699219999999</v>
      </c>
      <c r="H108" s="13">
        <f t="shared" si="3"/>
        <v>-1.8051176758530296E-2</v>
      </c>
    </row>
    <row r="109" spans="2:8" x14ac:dyDescent="0.3">
      <c r="B109" s="8">
        <v>45807</v>
      </c>
      <c r="C109" s="12">
        <v>1465.7</v>
      </c>
      <c r="D109" s="13">
        <f t="shared" si="2"/>
        <v>-1.246462740870502E-2</v>
      </c>
      <c r="G109" s="12">
        <v>24833.599610000001</v>
      </c>
      <c r="H109" s="13">
        <f t="shared" si="3"/>
        <v>9.0980547140553369E-3</v>
      </c>
    </row>
    <row r="110" spans="2:8" x14ac:dyDescent="0.3">
      <c r="B110" s="8"/>
    </row>
    <row r="111" spans="2:8" x14ac:dyDescent="0.3">
      <c r="B111" s="8"/>
    </row>
    <row r="112" spans="2:8" x14ac:dyDescent="0.3">
      <c r="B112" s="8"/>
    </row>
  </sheetData>
  <mergeCells count="4">
    <mergeCell ref="B3:H3"/>
    <mergeCell ref="B5:D5"/>
    <mergeCell ref="G5:H5"/>
    <mergeCell ref="J5:K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61F21-B6C3-4B5F-B9EE-9AA3C5734DAA}">
  <dimension ref="B3:U112"/>
  <sheetViews>
    <sheetView showGridLines="0" workbookViewId="0">
      <selection activeCell="J15" sqref="J15"/>
    </sheetView>
  </sheetViews>
  <sheetFormatPr defaultRowHeight="14.4" x14ac:dyDescent="0.3"/>
  <cols>
    <col min="1" max="1" width="1.88671875" customWidth="1"/>
    <col min="2" max="2" width="10.33203125" bestFit="1" customWidth="1"/>
    <col min="3" max="3" width="14.5546875" customWidth="1"/>
    <col min="7" max="7" width="13.5546875" customWidth="1"/>
    <col min="10" max="10" width="17.5546875" bestFit="1" customWidth="1"/>
    <col min="13" max="13" width="16.6640625" bestFit="1" customWidth="1"/>
    <col min="14" max="14" width="18.21875" bestFit="1" customWidth="1"/>
  </cols>
  <sheetData>
    <row r="3" spans="2:14" x14ac:dyDescent="0.3">
      <c r="B3" s="18" t="s">
        <v>50</v>
      </c>
      <c r="C3" s="18"/>
      <c r="D3" s="18"/>
      <c r="E3" s="18"/>
      <c r="F3" s="18"/>
      <c r="G3" s="18"/>
      <c r="H3" s="18"/>
    </row>
    <row r="5" spans="2:14" x14ac:dyDescent="0.3">
      <c r="B5" s="17" t="s">
        <v>54</v>
      </c>
      <c r="C5" s="17"/>
      <c r="D5" s="17"/>
      <c r="G5" s="17" t="s">
        <v>55</v>
      </c>
      <c r="H5" s="17"/>
      <c r="J5" s="17" t="s">
        <v>63</v>
      </c>
      <c r="K5" s="17"/>
      <c r="M5" t="s">
        <v>69</v>
      </c>
      <c r="N5" s="19">
        <f>SLOPE(D9:D109,H9:H109)</f>
        <v>0.9384527059008998</v>
      </c>
    </row>
    <row r="6" spans="2:14" x14ac:dyDescent="0.3">
      <c r="J6" t="s">
        <v>64</v>
      </c>
      <c r="K6" s="19">
        <f>N8</f>
        <v>0.9384527059008998</v>
      </c>
      <c r="M6" t="s">
        <v>70</v>
      </c>
      <c r="N6" s="19">
        <f>_xlfn.COVARIANCE.S(D9:D109,H9:H109)/_xlfn.VAR.S(H9:H109)</f>
        <v>0.93845270590089958</v>
      </c>
    </row>
    <row r="7" spans="2:14" x14ac:dyDescent="0.3">
      <c r="B7" s="10" t="s">
        <v>51</v>
      </c>
      <c r="C7" s="11" t="s">
        <v>52</v>
      </c>
      <c r="D7" s="11" t="s">
        <v>53</v>
      </c>
      <c r="G7" s="11" t="s">
        <v>56</v>
      </c>
      <c r="H7" s="11" t="s">
        <v>53</v>
      </c>
      <c r="J7" t="s">
        <v>67</v>
      </c>
      <c r="K7" s="13">
        <v>0.75</v>
      </c>
    </row>
    <row r="8" spans="2:14" x14ac:dyDescent="0.3">
      <c r="B8" s="8">
        <v>45100</v>
      </c>
      <c r="C8" s="12">
        <v>1382.549771295</v>
      </c>
      <c r="G8" s="12">
        <v>18665.5</v>
      </c>
      <c r="J8" t="s">
        <v>65</v>
      </c>
      <c r="K8" s="13">
        <v>0.25</v>
      </c>
      <c r="M8" t="s">
        <v>71</v>
      </c>
      <c r="N8" s="19">
        <f>N31</f>
        <v>0.9384527059008998</v>
      </c>
    </row>
    <row r="9" spans="2:14" x14ac:dyDescent="0.3">
      <c r="B9" s="8">
        <v>45107</v>
      </c>
      <c r="C9" s="12">
        <v>1489.3831627132499</v>
      </c>
      <c r="D9" s="13">
        <f>C9/C8-1</f>
        <v>7.727272727272716E-2</v>
      </c>
      <c r="G9" s="12">
        <v>19189.05</v>
      </c>
      <c r="H9" s="13">
        <f>G9/G8-1</f>
        <v>2.8049074495727355E-2</v>
      </c>
      <c r="J9" t="s">
        <v>66</v>
      </c>
      <c r="K9">
        <v>1</v>
      </c>
    </row>
    <row r="10" spans="2:14" x14ac:dyDescent="0.3">
      <c r="B10" s="8">
        <v>45114</v>
      </c>
      <c r="C10" s="12">
        <v>1449.63236301187</v>
      </c>
      <c r="D10" s="13">
        <f t="shared" ref="D10:D73" si="0">C10/C9-1</f>
        <v>-2.6689438081846428E-2</v>
      </c>
      <c r="G10" s="12">
        <v>19331.8</v>
      </c>
      <c r="H10" s="13">
        <f t="shared" ref="H10:H73" si="1">G10/G9-1</f>
        <v>7.4391384669902916E-3</v>
      </c>
    </row>
    <row r="11" spans="2:14" x14ac:dyDescent="0.3">
      <c r="B11" s="8">
        <v>45121</v>
      </c>
      <c r="C11" s="12">
        <v>1432.8243084329999</v>
      </c>
      <c r="D11" s="13">
        <f t="shared" si="0"/>
        <v>-1.1594701531047691E-2</v>
      </c>
      <c r="G11" s="12">
        <v>19564.5</v>
      </c>
      <c r="H11" s="13">
        <f t="shared" si="1"/>
        <v>1.2037161567986399E-2</v>
      </c>
      <c r="J11" s="24" t="s">
        <v>68</v>
      </c>
      <c r="K11" s="25">
        <f>(K6*K7)+(K8*K9)</f>
        <v>0.95383952942567485</v>
      </c>
    </row>
    <row r="12" spans="2:14" x14ac:dyDescent="0.3">
      <c r="B12" s="8">
        <v>45128</v>
      </c>
      <c r="C12" s="12">
        <v>1386.9388181879999</v>
      </c>
      <c r="D12" s="13">
        <f t="shared" si="0"/>
        <v>-3.2024505708716289E-2</v>
      </c>
      <c r="G12" s="12">
        <v>19745</v>
      </c>
      <c r="H12" s="13">
        <f t="shared" si="1"/>
        <v>9.225893838329613E-3</v>
      </c>
    </row>
    <row r="13" spans="2:14" x14ac:dyDescent="0.3">
      <c r="B13" s="8">
        <v>45135</v>
      </c>
      <c r="C13" s="12">
        <v>1387.0884447866199</v>
      </c>
      <c r="D13" s="13">
        <f t="shared" si="0"/>
        <v>1.0788262370176049E-4</v>
      </c>
      <c r="G13" s="12">
        <v>19646.05</v>
      </c>
      <c r="H13" s="13">
        <f t="shared" si="1"/>
        <v>-5.0113952899468739E-3</v>
      </c>
    </row>
    <row r="14" spans="2:14" x14ac:dyDescent="0.3">
      <c r="B14" s="8">
        <v>45142</v>
      </c>
      <c r="C14" s="12">
        <v>1355.8663612068699</v>
      </c>
      <c r="D14" s="13">
        <f t="shared" si="0"/>
        <v>-2.2509079141347033E-2</v>
      </c>
      <c r="G14" s="12">
        <v>19517</v>
      </c>
      <c r="H14" s="13">
        <f t="shared" si="1"/>
        <v>-6.568750461288575E-3</v>
      </c>
      <c r="M14" t="s">
        <v>72</v>
      </c>
    </row>
    <row r="15" spans="2:14" ht="15" thickBot="1" x14ac:dyDescent="0.35">
      <c r="B15" s="8">
        <v>45149</v>
      </c>
      <c r="C15" s="12">
        <v>1375.8664498897499</v>
      </c>
      <c r="D15" s="13">
        <f t="shared" si="0"/>
        <v>1.4750781681077907E-2</v>
      </c>
      <c r="G15" s="12">
        <v>19428.3</v>
      </c>
      <c r="H15" s="13">
        <f t="shared" si="1"/>
        <v>-4.5447558538710409E-3</v>
      </c>
    </row>
    <row r="16" spans="2:14" x14ac:dyDescent="0.3">
      <c r="B16" s="8">
        <v>45156</v>
      </c>
      <c r="C16" s="12">
        <v>1333.92112674187</v>
      </c>
      <c r="D16" s="13">
        <f t="shared" si="0"/>
        <v>-3.048647864859344E-2</v>
      </c>
      <c r="G16" s="12">
        <v>19310.150000000001</v>
      </c>
      <c r="H16" s="13">
        <f t="shared" si="1"/>
        <v>-6.0813349598265454E-3</v>
      </c>
      <c r="M16" s="23" t="s">
        <v>73</v>
      </c>
      <c r="N16" s="23"/>
    </row>
    <row r="17" spans="2:21" x14ac:dyDescent="0.3">
      <c r="B17" s="8">
        <v>45163</v>
      </c>
      <c r="C17" s="12">
        <v>1319.0083424122499</v>
      </c>
      <c r="D17" s="13">
        <f t="shared" si="0"/>
        <v>-1.1179659749482207E-2</v>
      </c>
      <c r="G17" s="12">
        <v>19265.8</v>
      </c>
      <c r="H17" s="13">
        <f t="shared" si="1"/>
        <v>-2.2967196008317758E-3</v>
      </c>
      <c r="M17" s="20" t="s">
        <v>74</v>
      </c>
      <c r="N17" s="20">
        <v>0.39928066243905602</v>
      </c>
    </row>
    <row r="18" spans="2:21" x14ac:dyDescent="0.3">
      <c r="B18" s="8">
        <v>45170</v>
      </c>
      <c r="C18" s="12">
        <v>1359.5072751067501</v>
      </c>
      <c r="D18" s="13">
        <f t="shared" si="0"/>
        <v>3.0704076230809951E-2</v>
      </c>
      <c r="G18" s="12">
        <v>19435.3</v>
      </c>
      <c r="H18" s="13">
        <f t="shared" si="1"/>
        <v>8.7979736112697715E-3</v>
      </c>
      <c r="M18" s="20" t="s">
        <v>75</v>
      </c>
      <c r="N18" s="20">
        <v>0.15942504739777139</v>
      </c>
    </row>
    <row r="19" spans="2:21" x14ac:dyDescent="0.3">
      <c r="B19" s="8">
        <v>45177</v>
      </c>
      <c r="C19" s="12">
        <v>1416.8641379129999</v>
      </c>
      <c r="D19" s="13">
        <f t="shared" si="0"/>
        <v>4.2189448969109922E-2</v>
      </c>
      <c r="G19" s="12">
        <v>19819.95</v>
      </c>
      <c r="H19" s="13">
        <f t="shared" si="1"/>
        <v>1.9791307569216876E-2</v>
      </c>
      <c r="M19" s="20" t="s">
        <v>76</v>
      </c>
      <c r="N19" s="20">
        <v>0.15093439131088018</v>
      </c>
    </row>
    <row r="20" spans="2:21" x14ac:dyDescent="0.3">
      <c r="B20" s="8">
        <v>45184</v>
      </c>
      <c r="C20" s="12">
        <v>1473.1237389959999</v>
      </c>
      <c r="D20" s="13">
        <f t="shared" si="0"/>
        <v>3.9707124753590506E-2</v>
      </c>
      <c r="G20" s="12">
        <v>20192.349999999999</v>
      </c>
      <c r="H20" s="13">
        <f t="shared" si="1"/>
        <v>1.8789149316723597E-2</v>
      </c>
      <c r="M20" s="20" t="s">
        <v>77</v>
      </c>
      <c r="N20" s="20">
        <v>3.6413830385245059E-2</v>
      </c>
    </row>
    <row r="21" spans="2:21" ht="15" thickBot="1" x14ac:dyDescent="0.35">
      <c r="B21" s="8">
        <v>45191</v>
      </c>
      <c r="C21" s="12">
        <v>1414.22073467062</v>
      </c>
      <c r="D21" s="13">
        <f t="shared" si="0"/>
        <v>-3.9985102925247151E-2</v>
      </c>
      <c r="G21" s="12">
        <v>19674.25</v>
      </c>
      <c r="H21" s="13">
        <f t="shared" si="1"/>
        <v>-2.5658231954180599E-2</v>
      </c>
      <c r="M21" s="21" t="s">
        <v>78</v>
      </c>
      <c r="N21" s="21">
        <v>101</v>
      </c>
    </row>
    <row r="22" spans="2:21" x14ac:dyDescent="0.3">
      <c r="B22" s="8">
        <v>45198</v>
      </c>
      <c r="C22" s="12">
        <v>1456.1660578184999</v>
      </c>
      <c r="D22" s="13">
        <f t="shared" si="0"/>
        <v>2.965967201552111E-2</v>
      </c>
      <c r="G22" s="12">
        <v>19638.3</v>
      </c>
      <c r="H22" s="13">
        <f t="shared" si="1"/>
        <v>-1.8272615220402688E-3</v>
      </c>
    </row>
    <row r="23" spans="2:21" ht="15" thickBot="1" x14ac:dyDescent="0.35">
      <c r="B23" s="8">
        <v>45205</v>
      </c>
      <c r="C23" s="12">
        <v>1467.3880527153699</v>
      </c>
      <c r="D23" s="13">
        <f t="shared" si="0"/>
        <v>7.7065351417968664E-3</v>
      </c>
      <c r="G23" s="12">
        <v>19653.5</v>
      </c>
      <c r="H23" s="13">
        <f t="shared" si="1"/>
        <v>7.7399774929598486E-4</v>
      </c>
      <c r="M23" t="s">
        <v>79</v>
      </c>
    </row>
    <row r="24" spans="2:21" x14ac:dyDescent="0.3">
      <c r="B24" s="8">
        <v>45212</v>
      </c>
      <c r="C24" s="12">
        <v>1554.520608648</v>
      </c>
      <c r="D24" s="13">
        <f t="shared" si="0"/>
        <v>5.9379354882570512E-2</v>
      </c>
      <c r="G24" s="12">
        <v>19751.05</v>
      </c>
      <c r="H24" s="13">
        <f t="shared" si="1"/>
        <v>4.9634925076957881E-3</v>
      </c>
      <c r="M24" s="22"/>
      <c r="N24" s="22" t="s">
        <v>84</v>
      </c>
      <c r="O24" s="22" t="s">
        <v>85</v>
      </c>
      <c r="P24" s="22" t="s">
        <v>86</v>
      </c>
      <c r="Q24" s="22" t="s">
        <v>87</v>
      </c>
      <c r="R24" s="22" t="s">
        <v>88</v>
      </c>
    </row>
    <row r="25" spans="2:21" x14ac:dyDescent="0.3">
      <c r="B25" s="8">
        <v>45219</v>
      </c>
      <c r="C25" s="12">
        <v>1503.0989342538701</v>
      </c>
      <c r="D25" s="13">
        <f t="shared" si="0"/>
        <v>-3.3078798767970263E-2</v>
      </c>
      <c r="G25" s="12">
        <v>19542.650000000001</v>
      </c>
      <c r="H25" s="13">
        <f t="shared" si="1"/>
        <v>-1.0551337776978809E-2</v>
      </c>
      <c r="M25" s="20" t="s">
        <v>80</v>
      </c>
      <c r="N25" s="20">
        <v>1</v>
      </c>
      <c r="O25" s="20">
        <v>2.4897058197470123E-2</v>
      </c>
      <c r="P25" s="20">
        <v>2.4897058197470123E-2</v>
      </c>
      <c r="Q25" s="20">
        <v>18.776528664717581</v>
      </c>
      <c r="R25" s="20">
        <v>3.5315321493235289E-5</v>
      </c>
    </row>
    <row r="26" spans="2:21" x14ac:dyDescent="0.3">
      <c r="B26" s="8">
        <v>45226</v>
      </c>
      <c r="C26" s="12">
        <v>1380.9038787101199</v>
      </c>
      <c r="D26" s="13">
        <f t="shared" si="0"/>
        <v>-8.1295417592992414E-2</v>
      </c>
      <c r="G26" s="12">
        <v>19047.25</v>
      </c>
      <c r="H26" s="13">
        <f t="shared" si="1"/>
        <v>-2.5349683896503383E-2</v>
      </c>
      <c r="M26" s="20" t="s">
        <v>81</v>
      </c>
      <c r="N26" s="20">
        <v>99</v>
      </c>
      <c r="O26" s="20">
        <v>0.13127073728921423</v>
      </c>
      <c r="P26" s="20">
        <v>1.3259670433253964E-3</v>
      </c>
      <c r="Q26" s="20"/>
      <c r="R26" s="20"/>
    </row>
    <row r="27" spans="2:21" ht="15" thickBot="1" x14ac:dyDescent="0.35">
      <c r="B27" s="8">
        <v>45233</v>
      </c>
      <c r="C27" s="12">
        <v>1468.78456763587</v>
      </c>
      <c r="D27" s="13">
        <f t="shared" si="0"/>
        <v>6.3639975439737428E-2</v>
      </c>
      <c r="G27" s="12">
        <v>19230.599999999999</v>
      </c>
      <c r="H27" s="13">
        <f t="shared" si="1"/>
        <v>9.6260615049414966E-3</v>
      </c>
      <c r="M27" s="21" t="s">
        <v>82</v>
      </c>
      <c r="N27" s="21">
        <v>100</v>
      </c>
      <c r="O27" s="21">
        <v>0.15616779548668436</v>
      </c>
      <c r="P27" s="21"/>
      <c r="Q27" s="21"/>
      <c r="R27" s="21"/>
    </row>
    <row r="28" spans="2:21" ht="15" thickBot="1" x14ac:dyDescent="0.35">
      <c r="B28" s="8">
        <v>45240</v>
      </c>
      <c r="C28" s="12">
        <v>1620.85506737175</v>
      </c>
      <c r="D28" s="13">
        <f t="shared" si="0"/>
        <v>0.10353492478522575</v>
      </c>
      <c r="G28" s="12">
        <v>19425.349999999999</v>
      </c>
      <c r="H28" s="13">
        <f t="shared" si="1"/>
        <v>1.0127089118384225E-2</v>
      </c>
    </row>
    <row r="29" spans="2:21" x14ac:dyDescent="0.3">
      <c r="B29" s="8">
        <v>45247</v>
      </c>
      <c r="C29" s="12">
        <v>1617.4</v>
      </c>
      <c r="D29" s="13">
        <f t="shared" si="0"/>
        <v>-2.1316325199589592E-3</v>
      </c>
      <c r="G29" s="12">
        <v>19731.8</v>
      </c>
      <c r="H29" s="13">
        <f t="shared" si="1"/>
        <v>1.5775777527818002E-2</v>
      </c>
      <c r="M29" s="22"/>
      <c r="N29" s="22" t="s">
        <v>89</v>
      </c>
      <c r="O29" s="22" t="s">
        <v>77</v>
      </c>
      <c r="P29" s="22" t="s">
        <v>90</v>
      </c>
      <c r="Q29" s="22" t="s">
        <v>91</v>
      </c>
      <c r="R29" s="22" t="s">
        <v>92</v>
      </c>
      <c r="S29" s="22" t="s">
        <v>93</v>
      </c>
      <c r="T29" s="22" t="s">
        <v>94</v>
      </c>
      <c r="U29" s="22" t="s">
        <v>95</v>
      </c>
    </row>
    <row r="30" spans="2:21" x14ac:dyDescent="0.3">
      <c r="B30" s="8">
        <v>45254</v>
      </c>
      <c r="C30" s="12">
        <v>1658.2</v>
      </c>
      <c r="D30" s="13">
        <f t="shared" si="0"/>
        <v>2.522567082972671E-2</v>
      </c>
      <c r="G30" s="12">
        <v>19794.7</v>
      </c>
      <c r="H30" s="13">
        <f t="shared" si="1"/>
        <v>3.1877476966115648E-3</v>
      </c>
      <c r="M30" s="20" t="s">
        <v>83</v>
      </c>
      <c r="N30" s="20">
        <v>-8.6728136209311951E-5</v>
      </c>
      <c r="O30" s="20">
        <v>3.6799907749047339E-3</v>
      </c>
      <c r="P30" s="20">
        <v>-2.3567487397181622E-2</v>
      </c>
      <c r="Q30" s="20">
        <v>0.98124504386258371</v>
      </c>
      <c r="R30" s="20">
        <v>-7.3886282134569183E-3</v>
      </c>
      <c r="S30" s="20">
        <v>7.2151719410382936E-3</v>
      </c>
      <c r="T30" s="20">
        <v>-7.3886282134569183E-3</v>
      </c>
      <c r="U30" s="20">
        <v>7.2151719410382936E-3</v>
      </c>
    </row>
    <row r="31" spans="2:21" ht="15" thickBot="1" x14ac:dyDescent="0.35">
      <c r="B31" s="8">
        <v>45261</v>
      </c>
      <c r="C31" s="12">
        <v>1688.1</v>
      </c>
      <c r="D31" s="13">
        <f t="shared" si="0"/>
        <v>1.8031600530695746E-2</v>
      </c>
      <c r="G31" s="12">
        <v>20267.900000000001</v>
      </c>
      <c r="H31" s="13">
        <f t="shared" si="1"/>
        <v>2.3905388816198414E-2</v>
      </c>
      <c r="M31" s="21" t="s">
        <v>96</v>
      </c>
      <c r="N31" s="21">
        <v>0.9384527059008998</v>
      </c>
      <c r="O31" s="21">
        <v>0.2165732124870276</v>
      </c>
      <c r="P31" s="21">
        <v>4.3331892025063423</v>
      </c>
      <c r="Q31" s="21">
        <v>3.5315321493235675E-5</v>
      </c>
      <c r="R31" s="21">
        <v>0.50872446642461266</v>
      </c>
      <c r="S31" s="21">
        <v>1.3681809453771869</v>
      </c>
      <c r="T31" s="21">
        <v>0.50872446642461266</v>
      </c>
      <c r="U31" s="21">
        <v>1.3681809453771869</v>
      </c>
    </row>
    <row r="32" spans="2:21" x14ac:dyDescent="0.3">
      <c r="B32" s="8">
        <v>45268</v>
      </c>
      <c r="C32" s="12">
        <v>1653.7</v>
      </c>
      <c r="D32" s="13">
        <f t="shared" si="0"/>
        <v>-2.0377939695515601E-2</v>
      </c>
      <c r="G32" s="12">
        <v>20969.400000000001</v>
      </c>
      <c r="H32" s="13">
        <f t="shared" si="1"/>
        <v>3.4611380557433069E-2</v>
      </c>
    </row>
    <row r="33" spans="2:8" x14ac:dyDescent="0.3">
      <c r="B33" s="8">
        <v>45275</v>
      </c>
      <c r="C33" s="12">
        <v>1617.5</v>
      </c>
      <c r="D33" s="13">
        <f t="shared" si="0"/>
        <v>-2.1890306585233166E-2</v>
      </c>
      <c r="G33" s="12">
        <v>21456.65</v>
      </c>
      <c r="H33" s="13">
        <f t="shared" si="1"/>
        <v>2.3236239472755438E-2</v>
      </c>
    </row>
    <row r="34" spans="2:8" x14ac:dyDescent="0.3">
      <c r="B34" s="8">
        <v>45282</v>
      </c>
      <c r="C34" s="12">
        <v>1714.55</v>
      </c>
      <c r="D34" s="13">
        <f t="shared" si="0"/>
        <v>6.0000000000000053E-2</v>
      </c>
      <c r="G34" s="12">
        <v>21349.4</v>
      </c>
      <c r="H34" s="13">
        <f t="shared" si="1"/>
        <v>-4.9984503638732525E-3</v>
      </c>
    </row>
    <row r="35" spans="2:8" x14ac:dyDescent="0.3">
      <c r="B35" s="8">
        <v>45289</v>
      </c>
      <c r="C35" s="12">
        <v>1678.15</v>
      </c>
      <c r="D35" s="13">
        <f t="shared" si="0"/>
        <v>-2.1230060365693526E-2</v>
      </c>
      <c r="G35" s="12">
        <v>21731.4</v>
      </c>
      <c r="H35" s="13">
        <f t="shared" si="1"/>
        <v>1.7892774504201459E-2</v>
      </c>
    </row>
    <row r="36" spans="2:8" x14ac:dyDescent="0.3">
      <c r="B36" s="8">
        <v>45296</v>
      </c>
      <c r="C36" s="12">
        <v>1674.45</v>
      </c>
      <c r="D36" s="13">
        <f t="shared" si="0"/>
        <v>-2.2048088669069932E-3</v>
      </c>
      <c r="G36" s="12">
        <v>21710.799999999999</v>
      </c>
      <c r="H36" s="13">
        <f t="shared" si="1"/>
        <v>-9.479370864280412E-4</v>
      </c>
    </row>
    <row r="37" spans="2:8" x14ac:dyDescent="0.3">
      <c r="B37" s="8">
        <v>45303</v>
      </c>
      <c r="C37" s="12">
        <v>1503.8</v>
      </c>
      <c r="D37" s="13">
        <f t="shared" si="0"/>
        <v>-0.10191406133357228</v>
      </c>
      <c r="G37" s="12">
        <v>21894.55</v>
      </c>
      <c r="H37" s="13">
        <f t="shared" si="1"/>
        <v>8.4635296718684749E-3</v>
      </c>
    </row>
    <row r="38" spans="2:8" x14ac:dyDescent="0.3">
      <c r="B38" s="8">
        <v>45311</v>
      </c>
      <c r="C38" s="12">
        <v>1582.6</v>
      </c>
      <c r="D38" s="13">
        <f t="shared" si="0"/>
        <v>5.2400585184199988E-2</v>
      </c>
      <c r="G38" s="12">
        <v>21622.400000000001</v>
      </c>
      <c r="H38" s="13">
        <f t="shared" si="1"/>
        <v>-1.2430033958222397E-2</v>
      </c>
    </row>
    <row r="39" spans="2:8" x14ac:dyDescent="0.3">
      <c r="B39" s="8">
        <v>45316</v>
      </c>
      <c r="C39" s="12">
        <v>1558.65</v>
      </c>
      <c r="D39" s="13">
        <f t="shared" si="0"/>
        <v>-1.5133324908378487E-2</v>
      </c>
      <c r="G39" s="12">
        <v>21352.6</v>
      </c>
      <c r="H39" s="13">
        <f t="shared" si="1"/>
        <v>-1.2477800799171379E-2</v>
      </c>
    </row>
    <row r="40" spans="2:8" x14ac:dyDescent="0.3">
      <c r="B40" s="8">
        <v>45324</v>
      </c>
      <c r="C40" s="12">
        <v>1637.25</v>
      </c>
      <c r="D40" s="13">
        <f t="shared" si="0"/>
        <v>5.0428255220864138E-2</v>
      </c>
      <c r="G40" s="12">
        <v>21853.8</v>
      </c>
      <c r="H40" s="13">
        <f t="shared" si="1"/>
        <v>2.3472551352060167E-2</v>
      </c>
    </row>
    <row r="41" spans="2:8" x14ac:dyDescent="0.3">
      <c r="B41" s="8">
        <v>45331</v>
      </c>
      <c r="C41" s="12">
        <v>1643.85</v>
      </c>
      <c r="D41" s="13">
        <f t="shared" si="0"/>
        <v>4.0311497938616547E-3</v>
      </c>
      <c r="G41" s="12">
        <v>21782.5</v>
      </c>
      <c r="H41" s="13">
        <f t="shared" si="1"/>
        <v>-3.2625904876955047E-3</v>
      </c>
    </row>
    <row r="42" spans="2:8" x14ac:dyDescent="0.3">
      <c r="B42" s="8">
        <v>45338</v>
      </c>
      <c r="C42" s="12">
        <v>1785.9</v>
      </c>
      <c r="D42" s="13">
        <f t="shared" si="0"/>
        <v>8.6412993886303635E-2</v>
      </c>
      <c r="G42" s="12">
        <v>22040.7</v>
      </c>
      <c r="H42" s="13">
        <f t="shared" si="1"/>
        <v>1.1853552163433978E-2</v>
      </c>
    </row>
    <row r="43" spans="2:8" x14ac:dyDescent="0.3">
      <c r="B43" s="8">
        <v>45345</v>
      </c>
      <c r="C43" s="12">
        <v>1748.3</v>
      </c>
      <c r="D43" s="13">
        <f t="shared" si="0"/>
        <v>-2.1053810403718121E-2</v>
      </c>
      <c r="G43" s="12">
        <v>22212.7</v>
      </c>
      <c r="H43" s="13">
        <f t="shared" si="1"/>
        <v>7.8037448901351336E-3</v>
      </c>
    </row>
    <row r="44" spans="2:8" x14ac:dyDescent="0.3">
      <c r="B44" s="8">
        <v>45353</v>
      </c>
      <c r="C44" s="12">
        <v>1699.05</v>
      </c>
      <c r="D44" s="13">
        <f t="shared" si="0"/>
        <v>-2.8170222501858966E-2</v>
      </c>
      <c r="G44" s="12">
        <v>22338.75</v>
      </c>
      <c r="H44" s="13">
        <f t="shared" si="1"/>
        <v>5.6746816010659895E-3</v>
      </c>
    </row>
    <row r="45" spans="2:8" x14ac:dyDescent="0.3">
      <c r="B45" s="8">
        <v>45358</v>
      </c>
      <c r="C45" s="12">
        <v>1632.75</v>
      </c>
      <c r="D45" s="13">
        <f t="shared" si="0"/>
        <v>-3.9021806303522477E-2</v>
      </c>
      <c r="G45" s="12">
        <v>22493.55</v>
      </c>
      <c r="H45" s="13">
        <f t="shared" si="1"/>
        <v>6.929662581836471E-3</v>
      </c>
    </row>
    <row r="46" spans="2:8" x14ac:dyDescent="0.3">
      <c r="B46" s="8">
        <v>45366</v>
      </c>
      <c r="C46" s="12">
        <v>1593.95</v>
      </c>
      <c r="D46" s="13">
        <f t="shared" si="0"/>
        <v>-2.3763589036900901E-2</v>
      </c>
      <c r="G46" s="12">
        <v>22023.35</v>
      </c>
      <c r="H46" s="13">
        <f t="shared" si="1"/>
        <v>-2.0903770191899484E-2</v>
      </c>
    </row>
    <row r="47" spans="2:8" x14ac:dyDescent="0.3">
      <c r="B47" s="8">
        <v>45373</v>
      </c>
      <c r="C47" s="12">
        <v>1601.95</v>
      </c>
      <c r="D47" s="13">
        <f t="shared" si="0"/>
        <v>5.0189780106026927E-3</v>
      </c>
      <c r="G47" s="12">
        <v>22096.75</v>
      </c>
      <c r="H47" s="13">
        <f t="shared" si="1"/>
        <v>3.3328262957270649E-3</v>
      </c>
    </row>
    <row r="48" spans="2:8" x14ac:dyDescent="0.3">
      <c r="B48" s="8">
        <v>45379</v>
      </c>
      <c r="C48" s="12">
        <v>1723.6</v>
      </c>
      <c r="D48" s="13">
        <f t="shared" si="0"/>
        <v>7.5938699709728663E-2</v>
      </c>
      <c r="G48" s="12">
        <v>22326.9</v>
      </c>
      <c r="H48" s="13">
        <f t="shared" si="1"/>
        <v>1.0415558849152129E-2</v>
      </c>
    </row>
    <row r="49" spans="2:8" x14ac:dyDescent="0.3">
      <c r="B49" s="8">
        <v>45387</v>
      </c>
      <c r="C49" s="12">
        <v>1714.75</v>
      </c>
      <c r="D49" s="13">
        <f t="shared" si="0"/>
        <v>-5.1346019958226075E-3</v>
      </c>
      <c r="G49" s="12">
        <v>22513.7</v>
      </c>
      <c r="H49" s="13">
        <f t="shared" si="1"/>
        <v>8.3665891816597782E-3</v>
      </c>
    </row>
    <row r="50" spans="2:8" x14ac:dyDescent="0.3">
      <c r="B50" s="8">
        <v>45394</v>
      </c>
      <c r="C50" s="12">
        <v>1841.45</v>
      </c>
      <c r="D50" s="13">
        <f t="shared" si="0"/>
        <v>7.3888321912815247E-2</v>
      </c>
      <c r="G50" s="12">
        <v>22519.400389999999</v>
      </c>
      <c r="H50" s="13">
        <f t="shared" si="1"/>
        <v>2.5319649813226874E-4</v>
      </c>
    </row>
    <row r="51" spans="2:8" x14ac:dyDescent="0.3">
      <c r="B51" s="8">
        <v>45401</v>
      </c>
      <c r="C51" s="12">
        <v>1739.65</v>
      </c>
      <c r="D51" s="13">
        <f t="shared" si="0"/>
        <v>-5.5282521925656414E-2</v>
      </c>
      <c r="G51" s="12">
        <v>22147</v>
      </c>
      <c r="H51" s="13">
        <f t="shared" si="1"/>
        <v>-1.6536869701262891E-2</v>
      </c>
    </row>
    <row r="52" spans="2:8" x14ac:dyDescent="0.3">
      <c r="B52" s="8">
        <v>45408</v>
      </c>
      <c r="C52" s="12">
        <v>1805.05</v>
      </c>
      <c r="D52" s="13">
        <f t="shared" si="0"/>
        <v>3.7593768861552634E-2</v>
      </c>
      <c r="G52" s="12">
        <v>22419.949219999999</v>
      </c>
      <c r="H52" s="13">
        <f t="shared" si="1"/>
        <v>1.2324433106063903E-2</v>
      </c>
    </row>
    <row r="53" spans="2:8" x14ac:dyDescent="0.3">
      <c r="B53" s="8">
        <v>45415</v>
      </c>
      <c r="C53" s="12">
        <v>1790.4</v>
      </c>
      <c r="D53" s="13">
        <f t="shared" si="0"/>
        <v>-8.1161186670728469E-3</v>
      </c>
      <c r="G53" s="12">
        <v>22475.849610000001</v>
      </c>
      <c r="H53" s="13">
        <f t="shared" si="1"/>
        <v>2.4933325874858525E-3</v>
      </c>
    </row>
    <row r="54" spans="2:8" x14ac:dyDescent="0.3">
      <c r="B54" s="8">
        <v>45422</v>
      </c>
      <c r="C54" s="12">
        <v>1747.85</v>
      </c>
      <c r="D54" s="13">
        <f t="shared" si="0"/>
        <v>-2.3765638963360258E-2</v>
      </c>
      <c r="G54" s="12">
        <v>22055.199219999999</v>
      </c>
      <c r="H54" s="13">
        <f t="shared" si="1"/>
        <v>-1.871566135648306E-2</v>
      </c>
    </row>
    <row r="55" spans="2:8" x14ac:dyDescent="0.3">
      <c r="B55" s="8">
        <v>45430</v>
      </c>
      <c r="C55" s="12">
        <v>1840.6</v>
      </c>
      <c r="D55" s="13">
        <f t="shared" si="0"/>
        <v>5.3065194381668901E-2</v>
      </c>
      <c r="G55" s="12">
        <v>22464.800780000001</v>
      </c>
      <c r="H55" s="13">
        <f t="shared" si="1"/>
        <v>1.8571655413956556E-2</v>
      </c>
    </row>
    <row r="56" spans="2:8" x14ac:dyDescent="0.3">
      <c r="B56" s="8">
        <v>45436</v>
      </c>
      <c r="C56" s="12">
        <v>1970.75</v>
      </c>
      <c r="D56" s="13">
        <f t="shared" si="0"/>
        <v>7.0710637835488477E-2</v>
      </c>
      <c r="G56" s="12">
        <v>22957.099610000001</v>
      </c>
      <c r="H56" s="13">
        <f t="shared" si="1"/>
        <v>2.1914230836993953E-2</v>
      </c>
    </row>
    <row r="57" spans="2:8" x14ac:dyDescent="0.3">
      <c r="B57" s="8">
        <v>45443</v>
      </c>
      <c r="C57" s="12">
        <v>1906.65</v>
      </c>
      <c r="D57" s="13">
        <f t="shared" si="0"/>
        <v>-3.2525688189775415E-2</v>
      </c>
      <c r="G57" s="12">
        <v>22530.699219999999</v>
      </c>
      <c r="H57" s="13">
        <f t="shared" si="1"/>
        <v>-1.8573791865862055E-2</v>
      </c>
    </row>
    <row r="58" spans="2:8" x14ac:dyDescent="0.3">
      <c r="B58" s="8">
        <v>45450</v>
      </c>
      <c r="C58" s="12">
        <v>2002.2</v>
      </c>
      <c r="D58" s="13">
        <f t="shared" si="0"/>
        <v>5.0114074423727395E-2</v>
      </c>
      <c r="G58" s="12">
        <v>23290.150389999999</v>
      </c>
      <c r="H58" s="13">
        <f t="shared" si="1"/>
        <v>3.3707394634510557E-2</v>
      </c>
    </row>
    <row r="59" spans="2:8" x14ac:dyDescent="0.3">
      <c r="B59" s="8">
        <v>45457</v>
      </c>
      <c r="C59" s="12">
        <v>1958.2</v>
      </c>
      <c r="D59" s="13">
        <f t="shared" si="0"/>
        <v>-2.1975826590750147E-2</v>
      </c>
      <c r="G59" s="12">
        <v>23465.599610000001</v>
      </c>
      <c r="H59" s="13">
        <f t="shared" si="1"/>
        <v>7.5331939494618361E-3</v>
      </c>
    </row>
    <row r="60" spans="2:8" x14ac:dyDescent="0.3">
      <c r="B60" s="8">
        <v>45464</v>
      </c>
      <c r="C60" s="12">
        <v>1940</v>
      </c>
      <c r="D60" s="13">
        <f t="shared" si="0"/>
        <v>-9.2942498212644775E-3</v>
      </c>
      <c r="G60" s="12">
        <v>23501.099610000001</v>
      </c>
      <c r="H60" s="13">
        <f t="shared" si="1"/>
        <v>1.5128528820917975E-3</v>
      </c>
    </row>
    <row r="61" spans="2:8" x14ac:dyDescent="0.3">
      <c r="B61" s="8">
        <v>45471</v>
      </c>
      <c r="C61" s="12">
        <v>1978.05</v>
      </c>
      <c r="D61" s="13">
        <f t="shared" si="0"/>
        <v>1.9613402061855689E-2</v>
      </c>
      <c r="G61" s="12">
        <v>24010.599610000001</v>
      </c>
      <c r="H61" s="13">
        <f t="shared" si="1"/>
        <v>2.1679836622759519E-2</v>
      </c>
    </row>
    <row r="62" spans="2:8" x14ac:dyDescent="0.3">
      <c r="B62" s="8">
        <v>45478</v>
      </c>
      <c r="C62" s="12">
        <v>2037.9</v>
      </c>
      <c r="D62" s="13">
        <f t="shared" si="0"/>
        <v>3.0257071358155807E-2</v>
      </c>
      <c r="G62" s="12">
        <v>24323.849610000001</v>
      </c>
      <c r="H62" s="13">
        <f t="shared" si="1"/>
        <v>1.3046321420042251E-2</v>
      </c>
    </row>
    <row r="63" spans="2:8" x14ac:dyDescent="0.3">
      <c r="B63" s="8">
        <v>45485</v>
      </c>
      <c r="C63" s="12">
        <v>2053.5500000000002</v>
      </c>
      <c r="D63" s="13">
        <f t="shared" si="0"/>
        <v>7.6794739683008206E-3</v>
      </c>
      <c r="G63" s="12">
        <v>24502.150389999999</v>
      </c>
      <c r="H63" s="13">
        <f t="shared" si="1"/>
        <v>7.3302862358881615E-3</v>
      </c>
    </row>
    <row r="64" spans="2:8" x14ac:dyDescent="0.3">
      <c r="B64" s="8">
        <v>45492</v>
      </c>
      <c r="C64" s="12">
        <v>1977.95</v>
      </c>
      <c r="D64" s="13">
        <f t="shared" si="0"/>
        <v>-3.6814297192666379E-2</v>
      </c>
      <c r="G64" s="12">
        <v>24530.900389999999</v>
      </c>
      <c r="H64" s="13">
        <f t="shared" si="1"/>
        <v>1.1733664001889466E-3</v>
      </c>
    </row>
    <row r="65" spans="2:8" x14ac:dyDescent="0.3">
      <c r="B65" s="8">
        <v>45499</v>
      </c>
      <c r="C65" s="12">
        <v>2121.4</v>
      </c>
      <c r="D65" s="13">
        <f t="shared" si="0"/>
        <v>7.2524583533456477E-2</v>
      </c>
      <c r="G65" s="12">
        <v>24834.849610000001</v>
      </c>
      <c r="H65" s="13">
        <f t="shared" si="1"/>
        <v>1.2390463259306594E-2</v>
      </c>
    </row>
    <row r="66" spans="2:8" x14ac:dyDescent="0.3">
      <c r="B66" s="8">
        <v>45506</v>
      </c>
      <c r="C66" s="12">
        <v>2083.85</v>
      </c>
      <c r="D66" s="13">
        <f t="shared" si="0"/>
        <v>-1.7700575091920467E-2</v>
      </c>
      <c r="G66" s="12">
        <v>24717.699219999999</v>
      </c>
      <c r="H66" s="13">
        <f t="shared" si="1"/>
        <v>-4.7171773471432754E-3</v>
      </c>
    </row>
    <row r="67" spans="2:8" x14ac:dyDescent="0.3">
      <c r="B67" s="8">
        <v>45513</v>
      </c>
      <c r="C67" s="12">
        <v>2058</v>
      </c>
      <c r="D67" s="13">
        <f t="shared" si="0"/>
        <v>-1.2404923578952398E-2</v>
      </c>
      <c r="G67" s="12">
        <v>24367.5</v>
      </c>
      <c r="H67" s="13">
        <f t="shared" si="1"/>
        <v>-1.41679537760796E-2</v>
      </c>
    </row>
    <row r="68" spans="2:8" x14ac:dyDescent="0.3">
      <c r="B68" s="8">
        <v>45520</v>
      </c>
      <c r="C68" s="12">
        <v>2071.9</v>
      </c>
      <c r="D68" s="13">
        <f t="shared" si="0"/>
        <v>6.7541302235181178E-3</v>
      </c>
      <c r="G68" s="12">
        <v>24541.150389999999</v>
      </c>
      <c r="H68" s="13">
        <f t="shared" si="1"/>
        <v>7.1263112752641966E-3</v>
      </c>
    </row>
    <row r="69" spans="2:8" x14ac:dyDescent="0.3">
      <c r="B69" s="8">
        <v>45527</v>
      </c>
      <c r="C69" s="12">
        <v>2065.25</v>
      </c>
      <c r="D69" s="13">
        <f t="shared" si="0"/>
        <v>-3.2096143636276553E-3</v>
      </c>
      <c r="G69" s="12">
        <v>24823.150389999999</v>
      </c>
      <c r="H69" s="13">
        <f t="shared" si="1"/>
        <v>1.1490903870378766E-2</v>
      </c>
    </row>
    <row r="70" spans="2:8" x14ac:dyDescent="0.3">
      <c r="B70" s="8">
        <v>45534</v>
      </c>
      <c r="C70" s="12">
        <v>2139.8000000000002</v>
      </c>
      <c r="D70" s="13">
        <f t="shared" si="0"/>
        <v>3.6097324779082562E-2</v>
      </c>
      <c r="G70" s="12">
        <v>25235.900389999999</v>
      </c>
      <c r="H70" s="13">
        <f t="shared" si="1"/>
        <v>1.6627623549599013E-2</v>
      </c>
    </row>
    <row r="71" spans="2:8" x14ac:dyDescent="0.3">
      <c r="B71" s="8">
        <v>45541</v>
      </c>
      <c r="C71" s="12">
        <v>2139.3000000000002</v>
      </c>
      <c r="D71" s="13">
        <f t="shared" si="0"/>
        <v>-2.3366669782221017E-4</v>
      </c>
      <c r="G71" s="12">
        <v>24852.150389999999</v>
      </c>
      <c r="H71" s="13">
        <f t="shared" si="1"/>
        <v>-1.5206511123814104E-2</v>
      </c>
    </row>
    <row r="72" spans="2:8" x14ac:dyDescent="0.3">
      <c r="B72" s="8">
        <v>45548</v>
      </c>
      <c r="C72" s="12">
        <v>2177.5500000000002</v>
      </c>
      <c r="D72" s="13">
        <f t="shared" si="0"/>
        <v>1.7879680269246911E-2</v>
      </c>
      <c r="G72" s="12">
        <v>25356.5</v>
      </c>
      <c r="H72" s="13">
        <f t="shared" si="1"/>
        <v>2.0294002816067858E-2</v>
      </c>
    </row>
    <row r="73" spans="2:8" x14ac:dyDescent="0.3">
      <c r="B73" s="8">
        <v>45555</v>
      </c>
      <c r="C73" s="12">
        <v>2110.5</v>
      </c>
      <c r="D73" s="13">
        <f t="shared" si="0"/>
        <v>-3.0791485844182787E-2</v>
      </c>
      <c r="G73" s="12">
        <v>25790.949219999999</v>
      </c>
      <c r="H73" s="13">
        <f t="shared" si="1"/>
        <v>1.7133643050105452E-2</v>
      </c>
    </row>
    <row r="74" spans="2:8" x14ac:dyDescent="0.3">
      <c r="B74" s="8">
        <v>45562</v>
      </c>
      <c r="C74" s="12">
        <v>2183.1999999999998</v>
      </c>
      <c r="D74" s="13">
        <f t="shared" ref="D74:D109" si="2">C74/C73-1</f>
        <v>3.4446813551290978E-2</v>
      </c>
      <c r="G74" s="12">
        <v>26178.949219999999</v>
      </c>
      <c r="H74" s="13">
        <f t="shared" ref="H74:H109" si="3">G74/G73-1</f>
        <v>1.5044037219813511E-2</v>
      </c>
    </row>
    <row r="75" spans="2:8" x14ac:dyDescent="0.3">
      <c r="B75" s="8">
        <v>45569</v>
      </c>
      <c r="C75" s="12">
        <v>2234.85</v>
      </c>
      <c r="D75" s="13">
        <f t="shared" si="2"/>
        <v>2.3657933308904422E-2</v>
      </c>
      <c r="G75" s="12">
        <v>25014.599610000001</v>
      </c>
      <c r="H75" s="13">
        <f t="shared" si="3"/>
        <v>-4.4476560163479228E-2</v>
      </c>
    </row>
    <row r="76" spans="2:8" x14ac:dyDescent="0.3">
      <c r="B76" s="8">
        <v>45576</v>
      </c>
      <c r="C76" s="12">
        <v>2274.0500000000002</v>
      </c>
      <c r="D76" s="13">
        <f t="shared" si="2"/>
        <v>1.7540327091303709E-2</v>
      </c>
      <c r="G76" s="12">
        <v>24964.25</v>
      </c>
      <c r="H76" s="13">
        <f t="shared" si="3"/>
        <v>-2.0128089509724445E-3</v>
      </c>
    </row>
    <row r="77" spans="2:8" x14ac:dyDescent="0.3">
      <c r="B77" s="8">
        <v>45583</v>
      </c>
      <c r="C77" s="12">
        <v>2205.65</v>
      </c>
      <c r="D77" s="13">
        <f t="shared" si="2"/>
        <v>-3.0078494316307935E-2</v>
      </c>
      <c r="G77" s="12">
        <v>24854.050780000001</v>
      </c>
      <c r="H77" s="13">
        <f t="shared" si="3"/>
        <v>-4.414281222147598E-3</v>
      </c>
    </row>
    <row r="78" spans="2:8" x14ac:dyDescent="0.3">
      <c r="B78" s="8">
        <v>45590</v>
      </c>
      <c r="C78" s="12">
        <v>2105.5500000000002</v>
      </c>
      <c r="D78" s="13">
        <f t="shared" si="2"/>
        <v>-4.5383447056423276E-2</v>
      </c>
      <c r="G78" s="12">
        <v>24180.800780000001</v>
      </c>
      <c r="H78" s="13">
        <f t="shared" si="3"/>
        <v>-2.7088139714503301E-2</v>
      </c>
    </row>
    <row r="79" spans="2:8" x14ac:dyDescent="0.3">
      <c r="B79" s="8">
        <v>45597</v>
      </c>
      <c r="C79" s="12">
        <v>2147.1999999999998</v>
      </c>
      <c r="D79" s="13">
        <f t="shared" si="2"/>
        <v>1.9781054831279121E-2</v>
      </c>
      <c r="G79" s="12">
        <v>24304.349610000001</v>
      </c>
      <c r="H79" s="13">
        <f t="shared" si="3"/>
        <v>5.1093771097185936E-3</v>
      </c>
    </row>
    <row r="80" spans="2:8" x14ac:dyDescent="0.3">
      <c r="B80" s="8">
        <v>45604</v>
      </c>
      <c r="C80" s="12">
        <v>2115.4499999999998</v>
      </c>
      <c r="D80" s="13">
        <f t="shared" si="2"/>
        <v>-1.4786698956780975E-2</v>
      </c>
      <c r="G80" s="12">
        <v>24148.199219999999</v>
      </c>
      <c r="H80" s="13">
        <f t="shared" si="3"/>
        <v>-6.424791961343157E-3</v>
      </c>
    </row>
    <row r="81" spans="2:8" x14ac:dyDescent="0.3">
      <c r="B81" s="8">
        <v>45610</v>
      </c>
      <c r="C81" s="12">
        <v>2032.2</v>
      </c>
      <c r="D81" s="13">
        <f t="shared" si="2"/>
        <v>-3.9353329078919308E-2</v>
      </c>
      <c r="G81" s="12">
        <v>23555.5</v>
      </c>
      <c r="H81" s="13">
        <f t="shared" si="3"/>
        <v>-2.4544240943196849E-2</v>
      </c>
    </row>
    <row r="82" spans="2:8" x14ac:dyDescent="0.3">
      <c r="B82" s="8">
        <v>45618</v>
      </c>
      <c r="C82" s="12">
        <v>2061.85</v>
      </c>
      <c r="D82" s="13">
        <f t="shared" si="2"/>
        <v>1.4590099399665268E-2</v>
      </c>
      <c r="G82" s="12">
        <v>23349.900389999999</v>
      </c>
      <c r="H82" s="13">
        <f t="shared" si="3"/>
        <v>-8.7283059158158594E-3</v>
      </c>
    </row>
    <row r="83" spans="2:8" x14ac:dyDescent="0.3">
      <c r="B83" s="8">
        <v>45625</v>
      </c>
      <c r="C83" s="12">
        <v>2141.6</v>
      </c>
      <c r="D83" s="13">
        <f t="shared" si="2"/>
        <v>3.8678856366854975E-2</v>
      </c>
      <c r="G83" s="12">
        <v>23914.150389999999</v>
      </c>
      <c r="H83" s="13">
        <f t="shared" si="3"/>
        <v>2.4164985313669618E-2</v>
      </c>
    </row>
    <row r="84" spans="2:8" x14ac:dyDescent="0.3">
      <c r="B84" s="8">
        <v>45632</v>
      </c>
      <c r="C84" s="12">
        <v>2135.5</v>
      </c>
      <c r="D84" s="13">
        <f t="shared" si="2"/>
        <v>-2.8483376914456571E-3</v>
      </c>
      <c r="G84" s="12">
        <v>24708.400389999999</v>
      </c>
      <c r="H84" s="13">
        <f t="shared" si="3"/>
        <v>3.3212553531992706E-2</v>
      </c>
    </row>
    <row r="85" spans="2:8" x14ac:dyDescent="0.3">
      <c r="B85" s="8">
        <v>45639</v>
      </c>
      <c r="C85" s="12">
        <v>2224</v>
      </c>
      <c r="D85" s="13">
        <f t="shared" si="2"/>
        <v>4.1442285179114968E-2</v>
      </c>
      <c r="G85" s="12">
        <v>24548.699219999999</v>
      </c>
      <c r="H85" s="13">
        <f t="shared" si="3"/>
        <v>-6.4634362192315109E-3</v>
      </c>
    </row>
    <row r="86" spans="2:8" x14ac:dyDescent="0.3">
      <c r="B86" s="8">
        <v>45646</v>
      </c>
      <c r="C86" s="12">
        <v>2058.0500000000002</v>
      </c>
      <c r="D86" s="13">
        <f t="shared" si="2"/>
        <v>-7.4617805755395561E-2</v>
      </c>
      <c r="G86" s="12">
        <v>23951.699219999999</v>
      </c>
      <c r="H86" s="13">
        <f t="shared" si="3"/>
        <v>-2.4319007481814703E-2</v>
      </c>
    </row>
    <row r="87" spans="2:8" x14ac:dyDescent="0.3">
      <c r="B87" s="8">
        <v>45653</v>
      </c>
      <c r="C87" s="12">
        <v>2058.15</v>
      </c>
      <c r="D87" s="13">
        <f t="shared" si="2"/>
        <v>4.8589684410016432E-5</v>
      </c>
      <c r="G87" s="12">
        <v>23750.199219999999</v>
      </c>
      <c r="H87" s="13">
        <f t="shared" si="3"/>
        <v>-8.4127642948916836E-3</v>
      </c>
    </row>
    <row r="88" spans="2:8" x14ac:dyDescent="0.3">
      <c r="B88" s="8">
        <v>45660</v>
      </c>
      <c r="C88" s="12">
        <v>1997.8</v>
      </c>
      <c r="D88" s="13">
        <f t="shared" si="2"/>
        <v>-2.9322449772854364E-2</v>
      </c>
      <c r="G88" s="12">
        <v>24188.650389999999</v>
      </c>
      <c r="H88" s="13">
        <f t="shared" si="3"/>
        <v>1.8460947040426667E-2</v>
      </c>
    </row>
    <row r="89" spans="2:8" x14ac:dyDescent="0.3">
      <c r="B89" s="8">
        <v>45667</v>
      </c>
      <c r="C89" s="12">
        <v>1953.6</v>
      </c>
      <c r="D89" s="13">
        <f t="shared" si="2"/>
        <v>-2.2124336770447561E-2</v>
      </c>
      <c r="G89" s="12">
        <v>23526.5</v>
      </c>
      <c r="H89" s="13">
        <f t="shared" si="3"/>
        <v>-2.737442475392271E-2</v>
      </c>
    </row>
    <row r="90" spans="2:8" x14ac:dyDescent="0.3">
      <c r="B90" s="8">
        <v>45674</v>
      </c>
      <c r="C90" s="12">
        <v>1890.7</v>
      </c>
      <c r="D90" s="13">
        <f t="shared" si="2"/>
        <v>-3.2196969696969613E-2</v>
      </c>
      <c r="G90" s="12">
        <v>23311.800780000001</v>
      </c>
      <c r="H90" s="13">
        <f t="shared" si="3"/>
        <v>-9.1258461734639029E-3</v>
      </c>
    </row>
    <row r="91" spans="2:8" x14ac:dyDescent="0.3">
      <c r="B91" s="8">
        <v>45681</v>
      </c>
      <c r="C91" s="12">
        <v>1802.2</v>
      </c>
      <c r="D91" s="13">
        <f t="shared" si="2"/>
        <v>-4.6808060506690619E-2</v>
      </c>
      <c r="G91" s="12">
        <v>23205.349610000001</v>
      </c>
      <c r="H91" s="13">
        <f t="shared" si="3"/>
        <v>-4.5664069886581782E-3</v>
      </c>
    </row>
    <row r="92" spans="2:8" x14ac:dyDescent="0.3">
      <c r="B92" s="8">
        <v>45689</v>
      </c>
      <c r="C92" s="12">
        <v>1779.05</v>
      </c>
      <c r="D92" s="13">
        <f t="shared" si="2"/>
        <v>-1.2845411164132736E-2</v>
      </c>
      <c r="G92" s="12">
        <v>23508.400389999999</v>
      </c>
      <c r="H92" s="13">
        <f t="shared" si="3"/>
        <v>1.3059522269356583E-2</v>
      </c>
    </row>
    <row r="93" spans="2:8" x14ac:dyDescent="0.3">
      <c r="B93" s="8">
        <v>45695</v>
      </c>
      <c r="C93" s="12">
        <v>1839.3</v>
      </c>
      <c r="D93" s="13">
        <f t="shared" si="2"/>
        <v>3.386638936511055E-2</v>
      </c>
      <c r="G93" s="12">
        <v>23603.349610000001</v>
      </c>
      <c r="H93" s="13">
        <f t="shared" si="3"/>
        <v>4.0389485641223466E-3</v>
      </c>
    </row>
    <row r="94" spans="2:8" x14ac:dyDescent="0.3">
      <c r="B94" s="8">
        <v>45702</v>
      </c>
      <c r="C94" s="12">
        <v>1681.65</v>
      </c>
      <c r="D94" s="13">
        <f t="shared" si="2"/>
        <v>-8.5711955635295989E-2</v>
      </c>
      <c r="G94" s="12">
        <v>23031.400389999999</v>
      </c>
      <c r="H94" s="13">
        <f t="shared" si="3"/>
        <v>-2.4231697172238831E-2</v>
      </c>
    </row>
    <row r="95" spans="2:8" x14ac:dyDescent="0.3">
      <c r="B95" s="8">
        <v>45709</v>
      </c>
      <c r="C95" s="12">
        <v>1652.5</v>
      </c>
      <c r="D95" s="13">
        <f t="shared" si="2"/>
        <v>-1.7334165849017369E-2</v>
      </c>
      <c r="G95" s="12">
        <v>22913.150389999999</v>
      </c>
      <c r="H95" s="13">
        <f t="shared" si="3"/>
        <v>-5.1342948321693171E-3</v>
      </c>
    </row>
    <row r="96" spans="2:8" x14ac:dyDescent="0.3">
      <c r="B96" s="8">
        <v>45716</v>
      </c>
      <c r="C96" s="12">
        <v>1584.5</v>
      </c>
      <c r="D96" s="13">
        <f t="shared" si="2"/>
        <v>-4.1149773071104345E-2</v>
      </c>
      <c r="G96" s="12">
        <v>22545.050780000001</v>
      </c>
      <c r="H96" s="13">
        <f t="shared" si="3"/>
        <v>-1.6064993409227846E-2</v>
      </c>
    </row>
    <row r="97" spans="2:8" x14ac:dyDescent="0.3">
      <c r="B97" s="8">
        <v>45723</v>
      </c>
      <c r="C97" s="12">
        <v>1650.3</v>
      </c>
      <c r="D97" s="13">
        <f t="shared" si="2"/>
        <v>4.1527295676869747E-2</v>
      </c>
      <c r="G97" s="12">
        <v>22544.699219999999</v>
      </c>
      <c r="H97" s="13">
        <f t="shared" si="3"/>
        <v>-1.559366636316728E-5</v>
      </c>
    </row>
    <row r="98" spans="2:8" x14ac:dyDescent="0.3">
      <c r="B98" s="8">
        <v>45729</v>
      </c>
      <c r="C98" s="12">
        <v>1626.1</v>
      </c>
      <c r="D98" s="13">
        <f t="shared" si="2"/>
        <v>-1.4664000484760353E-2</v>
      </c>
      <c r="G98" s="12">
        <v>22470.5</v>
      </c>
      <c r="H98" s="13">
        <f t="shared" si="3"/>
        <v>-3.2912046985383858E-3</v>
      </c>
    </row>
    <row r="99" spans="2:8" x14ac:dyDescent="0.3">
      <c r="B99" s="8">
        <v>45737</v>
      </c>
      <c r="C99" s="12">
        <v>1596.45</v>
      </c>
      <c r="D99" s="13">
        <f t="shared" si="2"/>
        <v>-1.8233810958735552E-2</v>
      </c>
      <c r="G99" s="12">
        <v>23190.650389999999</v>
      </c>
      <c r="H99" s="13">
        <f t="shared" si="3"/>
        <v>3.2048703411138968E-2</v>
      </c>
    </row>
    <row r="100" spans="2:8" x14ac:dyDescent="0.3">
      <c r="B100" s="8">
        <v>45744</v>
      </c>
      <c r="C100" s="12">
        <v>1564.55</v>
      </c>
      <c r="D100" s="13">
        <f t="shared" si="2"/>
        <v>-1.9981834695731227E-2</v>
      </c>
      <c r="G100" s="12">
        <v>23591.949219999999</v>
      </c>
      <c r="H100" s="13">
        <f t="shared" si="3"/>
        <v>1.7304337017345794E-2</v>
      </c>
    </row>
    <row r="101" spans="2:8" x14ac:dyDescent="0.3">
      <c r="B101" s="8">
        <v>45751</v>
      </c>
      <c r="C101" s="12">
        <v>1550.6</v>
      </c>
      <c r="D101" s="13">
        <f t="shared" si="2"/>
        <v>-8.9163018120226312E-3</v>
      </c>
      <c r="G101" s="12">
        <v>23250.099610000001</v>
      </c>
      <c r="H101" s="13">
        <f t="shared" si="3"/>
        <v>-1.449009604133078E-2</v>
      </c>
    </row>
    <row r="102" spans="2:8" x14ac:dyDescent="0.3">
      <c r="B102" s="8">
        <v>45758</v>
      </c>
      <c r="C102" s="12">
        <v>1601.6</v>
      </c>
      <c r="D102" s="13">
        <f t="shared" si="2"/>
        <v>3.289049400232158E-2</v>
      </c>
      <c r="G102" s="12">
        <v>22535.849610000001</v>
      </c>
      <c r="H102" s="13">
        <f t="shared" si="3"/>
        <v>-3.0720298492519005E-2</v>
      </c>
    </row>
    <row r="103" spans="2:8" x14ac:dyDescent="0.3">
      <c r="B103" s="8">
        <v>45764</v>
      </c>
      <c r="C103" s="12">
        <v>1662.6</v>
      </c>
      <c r="D103" s="13">
        <f t="shared" si="2"/>
        <v>3.8086913086913032E-2</v>
      </c>
      <c r="G103" s="12">
        <v>23437.199219999999</v>
      </c>
      <c r="H103" s="13">
        <f t="shared" si="3"/>
        <v>3.9996255992054364E-2</v>
      </c>
    </row>
    <row r="104" spans="2:8" x14ac:dyDescent="0.3">
      <c r="B104" s="8">
        <v>45772</v>
      </c>
      <c r="C104" s="12">
        <v>1753.1</v>
      </c>
      <c r="D104" s="13">
        <f t="shared" si="2"/>
        <v>5.4432816071213752E-2</v>
      </c>
      <c r="G104" s="12">
        <v>24246.699219999999</v>
      </c>
      <c r="H104" s="13">
        <f t="shared" si="3"/>
        <v>3.4539109916735145E-2</v>
      </c>
    </row>
    <row r="105" spans="2:8" x14ac:dyDescent="0.3">
      <c r="B105" s="8">
        <v>45779</v>
      </c>
      <c r="C105" s="12">
        <v>1694.8</v>
      </c>
      <c r="D105" s="13">
        <f t="shared" si="2"/>
        <v>-3.325537619074781E-2</v>
      </c>
      <c r="G105" s="12">
        <v>24335.949219999999</v>
      </c>
      <c r="H105" s="13">
        <f t="shared" si="3"/>
        <v>3.6809133973330077E-3</v>
      </c>
    </row>
    <row r="106" spans="2:8" x14ac:dyDescent="0.3">
      <c r="B106" s="8">
        <v>45786</v>
      </c>
      <c r="C106" s="12">
        <v>1669.4</v>
      </c>
      <c r="D106" s="13">
        <f t="shared" si="2"/>
        <v>-1.4987019117299938E-2</v>
      </c>
      <c r="G106" s="12">
        <v>24273.800780000001</v>
      </c>
      <c r="H106" s="13">
        <f t="shared" si="3"/>
        <v>-2.5537709434781952E-3</v>
      </c>
    </row>
    <row r="107" spans="2:8" x14ac:dyDescent="0.3">
      <c r="B107" s="8">
        <v>45793</v>
      </c>
      <c r="C107" s="12">
        <v>1648.9</v>
      </c>
      <c r="D107" s="13">
        <f t="shared" si="2"/>
        <v>-1.227986102791423E-2</v>
      </c>
      <c r="G107" s="12">
        <v>25062.099610000001</v>
      </c>
      <c r="H107" s="13">
        <f t="shared" si="3"/>
        <v>3.2475294542645639E-2</v>
      </c>
    </row>
    <row r="108" spans="2:8" x14ac:dyDescent="0.3">
      <c r="B108" s="8">
        <v>45800</v>
      </c>
      <c r="C108" s="12">
        <v>1626.3</v>
      </c>
      <c r="D108" s="13">
        <f t="shared" si="2"/>
        <v>-1.3706107101704279E-2</v>
      </c>
      <c r="G108" s="12">
        <v>24609.699219999999</v>
      </c>
      <c r="H108" s="13">
        <f t="shared" si="3"/>
        <v>-1.8051176758530296E-2</v>
      </c>
    </row>
    <row r="109" spans="2:8" x14ac:dyDescent="0.3">
      <c r="B109" s="8">
        <v>45807</v>
      </c>
      <c r="C109" s="12">
        <v>1680.1</v>
      </c>
      <c r="D109" s="13">
        <f t="shared" si="2"/>
        <v>3.308122732583163E-2</v>
      </c>
      <c r="G109" s="12">
        <v>24833.599610000001</v>
      </c>
      <c r="H109" s="13">
        <f t="shared" si="3"/>
        <v>9.0980547140553369E-3</v>
      </c>
    </row>
    <row r="110" spans="2:8" x14ac:dyDescent="0.3">
      <c r="B110" s="8"/>
    </row>
    <row r="111" spans="2:8" x14ac:dyDescent="0.3">
      <c r="B111" s="8"/>
    </row>
    <row r="112" spans="2:8" x14ac:dyDescent="0.3">
      <c r="B112" s="8"/>
    </row>
  </sheetData>
  <mergeCells count="4">
    <mergeCell ref="B3:H3"/>
    <mergeCell ref="B5:D5"/>
    <mergeCell ref="G5:H5"/>
    <mergeCell ref="J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DCF&gt;</vt:lpstr>
      <vt:lpstr>WACC</vt:lpstr>
      <vt:lpstr>Rm</vt:lpstr>
      <vt:lpstr>Data&gt;</vt:lpstr>
      <vt:lpstr>Beta Calculation - Apollo</vt:lpstr>
      <vt:lpstr>Beta Calculation - Dr Lal</vt:lpstr>
      <vt:lpstr>Beta Calculation - Gland</vt:lpstr>
      <vt:lpstr>Beta Calculation - Sun Pharma </vt:lpstr>
      <vt:lpstr>Beta Calculation - Aurobindo</vt:lpstr>
      <vt:lpstr>Beta Calculation - Biocon </vt:lpstr>
      <vt:lpstr>Beta Calculation - Max Health</vt:lpstr>
      <vt:lpstr>Beta Calculation - Fortis</vt:lpstr>
      <vt:lpstr>Beta Calculation - Cipla</vt:lpstr>
      <vt:lpstr>Beta Calculation - Metropolis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Laptop</dc:creator>
  <cp:lastModifiedBy>Dell Laptop</cp:lastModifiedBy>
  <cp:lastPrinted>2025-06-24T14:26:21Z</cp:lastPrinted>
  <dcterms:created xsi:type="dcterms:W3CDTF">2025-06-23T11:42:52Z</dcterms:created>
  <dcterms:modified xsi:type="dcterms:W3CDTF">2025-06-24T14:26:43Z</dcterms:modified>
</cp:coreProperties>
</file>