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B0B8C240-4E24-477B-9A28-C6FDB45E38DD}" xr6:coauthVersionLast="47" xr6:coauthVersionMax="47" xr10:uidLastSave="{00000000-0000-0000-0000-000000000000}"/>
  <bookViews>
    <workbookView xWindow="11424" yWindow="0" windowWidth="11712" windowHeight="12336" firstSheet="9" activeTab="9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Data&gt;" sheetId="9" r:id="rId5"/>
    <sheet name="Data Sheet" sheetId="6" r:id="rId6"/>
    <sheet name="Financials&gt;" sheetId="7" r:id="rId7"/>
    <sheet name="Historical FS" sheetId="8" r:id="rId8"/>
    <sheet name="Cash Flow Data" sheetId="10" r:id="rId9"/>
    <sheet name="Ratio Analysis" sheetId="11" r:id="rId10"/>
    <sheet name="Forecasting" sheetId="12" r:id="rId11"/>
  </sheets>
  <definedNames>
    <definedName name="UPDATE">'Data Sheet'!$E$1</definedName>
  </definedNames>
  <calcPr calcId="191029" iterate="1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5" i="12" l="1"/>
  <c r="M6" i="12" s="1"/>
  <c r="M7" i="12" s="1"/>
  <c r="M8" i="12" s="1"/>
  <c r="M9" i="12" s="1"/>
  <c r="M10" i="12" s="1"/>
  <c r="M11" i="12" s="1"/>
  <c r="M12" i="12" s="1"/>
  <c r="M13" i="12" s="1"/>
  <c r="M14" i="12" s="1"/>
  <c r="M15" i="12" s="1"/>
  <c r="M16" i="12" s="1"/>
  <c r="M17" i="12" s="1"/>
  <c r="M18" i="12" s="1"/>
  <c r="L5" i="12"/>
  <c r="L6" i="12" s="1"/>
  <c r="L7" i="12" s="1"/>
  <c r="L8" i="12" s="1"/>
  <c r="L9" i="12" s="1"/>
  <c r="L10" i="12" s="1"/>
  <c r="L11" i="12" s="1"/>
  <c r="L12" i="12" s="1"/>
  <c r="L13" i="12" s="1"/>
  <c r="L14" i="12" s="1"/>
  <c r="L15" i="12" s="1"/>
  <c r="L16" i="12" s="1"/>
  <c r="L17" i="12" s="1"/>
  <c r="L18" i="12" s="1"/>
  <c r="L2" i="12"/>
  <c r="G2" i="12"/>
  <c r="H5" i="12"/>
  <c r="H6" i="12" s="1"/>
  <c r="H7" i="12" s="1"/>
  <c r="H8" i="12" s="1"/>
  <c r="H9" i="12" s="1"/>
  <c r="H10" i="12" s="1"/>
  <c r="H11" i="12" s="1"/>
  <c r="H12" i="12" s="1"/>
  <c r="H13" i="12" s="1"/>
  <c r="H14" i="12" s="1"/>
  <c r="H15" i="12" s="1"/>
  <c r="H16" i="12" s="1"/>
  <c r="H17" i="12" s="1"/>
  <c r="H18" i="12" s="1"/>
  <c r="G5" i="12"/>
  <c r="G6" i="12" s="1"/>
  <c r="G7" i="12" s="1"/>
  <c r="G8" i="12" s="1"/>
  <c r="G9" i="12" s="1"/>
  <c r="G10" i="12" s="1"/>
  <c r="G11" i="12" s="1"/>
  <c r="G12" i="12" s="1"/>
  <c r="G13" i="12" s="1"/>
  <c r="G14" i="12" s="1"/>
  <c r="G15" i="12" s="1"/>
  <c r="G16" i="12" s="1"/>
  <c r="G17" i="12" s="1"/>
  <c r="G18" i="12" s="1"/>
  <c r="B2" i="12"/>
  <c r="D4" i="12" a="1"/>
  <c r="D4" i="12" s="1"/>
  <c r="C5" i="12"/>
  <c r="C6" i="12" s="1"/>
  <c r="C7" i="12" s="1"/>
  <c r="C8" i="12" s="1"/>
  <c r="C9" i="12" s="1"/>
  <c r="C10" i="12" s="1"/>
  <c r="C11" i="12" s="1"/>
  <c r="C12" i="12" s="1"/>
  <c r="C13" i="12" s="1"/>
  <c r="C14" i="12" s="1"/>
  <c r="C15" i="12" s="1"/>
  <c r="C16" i="12" s="1"/>
  <c r="C17" i="12" s="1"/>
  <c r="C18" i="12" s="1"/>
  <c r="B5" i="12"/>
  <c r="B6" i="12" s="1"/>
  <c r="B7" i="12" s="1"/>
  <c r="B8" i="12" s="1"/>
  <c r="B9" i="12" s="1"/>
  <c r="B10" i="12" s="1"/>
  <c r="B11" i="12" s="1"/>
  <c r="B12" i="12" s="1"/>
  <c r="B13" i="12" s="1"/>
  <c r="B14" i="12" s="1"/>
  <c r="M35" i="11"/>
  <c r="M34" i="11"/>
  <c r="H30" i="11"/>
  <c r="G30" i="11"/>
  <c r="F30" i="11"/>
  <c r="M29" i="11"/>
  <c r="F29" i="11"/>
  <c r="F35" i="11" s="1"/>
  <c r="E29" i="11"/>
  <c r="E35" i="11" s="1"/>
  <c r="M28" i="11"/>
  <c r="E28" i="11"/>
  <c r="E34" i="11" s="1"/>
  <c r="M27" i="11"/>
  <c r="M33" i="11" s="1"/>
  <c r="L27" i="11"/>
  <c r="L33" i="11" s="1"/>
  <c r="K27" i="11"/>
  <c r="K33" i="11" s="1"/>
  <c r="D29" i="11"/>
  <c r="D28" i="11"/>
  <c r="D27" i="11"/>
  <c r="N21" i="8"/>
  <c r="M21" i="8"/>
  <c r="L21" i="8"/>
  <c r="K21" i="8"/>
  <c r="J21" i="8"/>
  <c r="I21" i="8"/>
  <c r="H21" i="8"/>
  <c r="H22" i="8" s="1"/>
  <c r="G21" i="8"/>
  <c r="F21" i="8"/>
  <c r="E21" i="8"/>
  <c r="D21" i="8"/>
  <c r="B2" i="11"/>
  <c r="M3" i="11"/>
  <c r="L3" i="11"/>
  <c r="K3" i="11"/>
  <c r="J3" i="11"/>
  <c r="I3" i="11"/>
  <c r="H3" i="11"/>
  <c r="G3" i="11"/>
  <c r="F3" i="11"/>
  <c r="E3" i="11"/>
  <c r="D3" i="11"/>
  <c r="M104" i="8"/>
  <c r="L104" i="8"/>
  <c r="K104" i="8"/>
  <c r="J104" i="8"/>
  <c r="I104" i="8"/>
  <c r="H104" i="8"/>
  <c r="G104" i="8"/>
  <c r="F104" i="8"/>
  <c r="E104" i="8"/>
  <c r="D104" i="8"/>
  <c r="M103" i="8"/>
  <c r="L103" i="8"/>
  <c r="K103" i="8"/>
  <c r="J103" i="8"/>
  <c r="I103" i="8"/>
  <c r="H103" i="8"/>
  <c r="G103" i="8"/>
  <c r="F103" i="8"/>
  <c r="E103" i="8"/>
  <c r="D103" i="8"/>
  <c r="M102" i="8"/>
  <c r="L102" i="8"/>
  <c r="K102" i="8"/>
  <c r="J102" i="8"/>
  <c r="I102" i="8"/>
  <c r="H102" i="8"/>
  <c r="G102" i="8"/>
  <c r="F102" i="8"/>
  <c r="E102" i="8"/>
  <c r="D102" i="8"/>
  <c r="M101" i="8"/>
  <c r="L101" i="8"/>
  <c r="K101" i="8"/>
  <c r="J101" i="8"/>
  <c r="I101" i="8"/>
  <c r="H101" i="8"/>
  <c r="G101" i="8"/>
  <c r="F101" i="8"/>
  <c r="E101" i="8"/>
  <c r="D101" i="8"/>
  <c r="M100" i="8"/>
  <c r="L100" i="8"/>
  <c r="K100" i="8"/>
  <c r="J100" i="8"/>
  <c r="I100" i="8"/>
  <c r="H100" i="8"/>
  <c r="G100" i="8"/>
  <c r="F100" i="8"/>
  <c r="E100" i="8"/>
  <c r="D100" i="8"/>
  <c r="M99" i="8"/>
  <c r="L99" i="8"/>
  <c r="K99" i="8"/>
  <c r="J99" i="8"/>
  <c r="I99" i="8"/>
  <c r="H99" i="8"/>
  <c r="G99" i="8"/>
  <c r="F99" i="8"/>
  <c r="E99" i="8"/>
  <c r="D99" i="8"/>
  <c r="M98" i="8"/>
  <c r="L98" i="8"/>
  <c r="K98" i="8"/>
  <c r="J98" i="8"/>
  <c r="I98" i="8"/>
  <c r="H98" i="8"/>
  <c r="G98" i="8"/>
  <c r="F98" i="8"/>
  <c r="E98" i="8"/>
  <c r="D98" i="8"/>
  <c r="M97" i="8"/>
  <c r="L97" i="8"/>
  <c r="K97" i="8"/>
  <c r="J97" i="8"/>
  <c r="I97" i="8"/>
  <c r="H97" i="8"/>
  <c r="G97" i="8"/>
  <c r="F97" i="8"/>
  <c r="E97" i="8"/>
  <c r="D97" i="8"/>
  <c r="M93" i="8"/>
  <c r="L93" i="8"/>
  <c r="K93" i="8"/>
  <c r="J93" i="8"/>
  <c r="I93" i="8"/>
  <c r="H93" i="8"/>
  <c r="G93" i="8"/>
  <c r="F93" i="8"/>
  <c r="E93" i="8"/>
  <c r="D93" i="8"/>
  <c r="M92" i="8"/>
  <c r="L92" i="8"/>
  <c r="K92" i="8"/>
  <c r="J92" i="8"/>
  <c r="I92" i="8"/>
  <c r="H92" i="8"/>
  <c r="G92" i="8"/>
  <c r="F92" i="8"/>
  <c r="E92" i="8"/>
  <c r="D92" i="8"/>
  <c r="M91" i="8"/>
  <c r="L91" i="8"/>
  <c r="K91" i="8"/>
  <c r="J91" i="8"/>
  <c r="I91" i="8"/>
  <c r="H91" i="8"/>
  <c r="G91" i="8"/>
  <c r="F91" i="8"/>
  <c r="E91" i="8"/>
  <c r="D91" i="8"/>
  <c r="M90" i="8"/>
  <c r="L90" i="8"/>
  <c r="K90" i="8"/>
  <c r="J90" i="8"/>
  <c r="I90" i="8"/>
  <c r="H90" i="8"/>
  <c r="G90" i="8"/>
  <c r="F90" i="8"/>
  <c r="E90" i="8"/>
  <c r="D90" i="8"/>
  <c r="M89" i="8"/>
  <c r="L89" i="8"/>
  <c r="K89" i="8"/>
  <c r="J89" i="8"/>
  <c r="I89" i="8"/>
  <c r="H89" i="8"/>
  <c r="G89" i="8"/>
  <c r="F89" i="8"/>
  <c r="E89" i="8"/>
  <c r="D89" i="8"/>
  <c r="M88" i="8"/>
  <c r="L88" i="8"/>
  <c r="K88" i="8"/>
  <c r="J88" i="8"/>
  <c r="I88" i="8"/>
  <c r="H88" i="8"/>
  <c r="G88" i="8"/>
  <c r="F88" i="8"/>
  <c r="E88" i="8"/>
  <c r="D88" i="8"/>
  <c r="M87" i="8"/>
  <c r="L87" i="8"/>
  <c r="K87" i="8"/>
  <c r="J87" i="8"/>
  <c r="I87" i="8"/>
  <c r="H87" i="8"/>
  <c r="G87" i="8"/>
  <c r="F87" i="8"/>
  <c r="E87" i="8"/>
  <c r="D87" i="8"/>
  <c r="M86" i="8"/>
  <c r="L86" i="8"/>
  <c r="K86" i="8"/>
  <c r="J86" i="8"/>
  <c r="I86" i="8"/>
  <c r="H86" i="8"/>
  <c r="G86" i="8"/>
  <c r="F86" i="8"/>
  <c r="E86" i="8"/>
  <c r="D86" i="8"/>
  <c r="M85" i="8"/>
  <c r="L85" i="8"/>
  <c r="K85" i="8"/>
  <c r="J85" i="8"/>
  <c r="I85" i="8"/>
  <c r="H85" i="8"/>
  <c r="G85" i="8"/>
  <c r="F85" i="8"/>
  <c r="E85" i="8"/>
  <c r="D85" i="8"/>
  <c r="M84" i="8"/>
  <c r="L84" i="8"/>
  <c r="K84" i="8"/>
  <c r="J84" i="8"/>
  <c r="I84" i="8"/>
  <c r="H84" i="8"/>
  <c r="G84" i="8"/>
  <c r="F84" i="8"/>
  <c r="E84" i="8"/>
  <c r="D84" i="8"/>
  <c r="M83" i="8"/>
  <c r="L83" i="8"/>
  <c r="K83" i="8"/>
  <c r="J83" i="8"/>
  <c r="I83" i="8"/>
  <c r="H83" i="8"/>
  <c r="G83" i="8"/>
  <c r="F83" i="8"/>
  <c r="E83" i="8"/>
  <c r="D83" i="8"/>
  <c r="M79" i="8"/>
  <c r="L79" i="8"/>
  <c r="K79" i="8"/>
  <c r="J79" i="8"/>
  <c r="I79" i="8"/>
  <c r="H79" i="8"/>
  <c r="G79" i="8"/>
  <c r="F79" i="8"/>
  <c r="E79" i="8"/>
  <c r="M78" i="8"/>
  <c r="L78" i="8"/>
  <c r="K78" i="8"/>
  <c r="J78" i="8"/>
  <c r="I78" i="8"/>
  <c r="H78" i="8"/>
  <c r="G78" i="8"/>
  <c r="F78" i="8"/>
  <c r="E78" i="8"/>
  <c r="M77" i="8"/>
  <c r="L77" i="8"/>
  <c r="K77" i="8"/>
  <c r="J77" i="8"/>
  <c r="I77" i="8"/>
  <c r="H77" i="8"/>
  <c r="G77" i="8"/>
  <c r="F77" i="8"/>
  <c r="E77" i="8"/>
  <c r="M76" i="8"/>
  <c r="L76" i="8"/>
  <c r="K76" i="8"/>
  <c r="J76" i="8"/>
  <c r="I76" i="8"/>
  <c r="H76" i="8"/>
  <c r="G76" i="8"/>
  <c r="F76" i="8"/>
  <c r="E76" i="8"/>
  <c r="M75" i="8"/>
  <c r="L75" i="8"/>
  <c r="K75" i="8"/>
  <c r="J75" i="8"/>
  <c r="I75" i="8"/>
  <c r="H75" i="8"/>
  <c r="G75" i="8"/>
  <c r="F75" i="8"/>
  <c r="E75" i="8"/>
  <c r="M74" i="8"/>
  <c r="L74" i="8"/>
  <c r="K74" i="8"/>
  <c r="J74" i="8"/>
  <c r="I74" i="8"/>
  <c r="H74" i="8"/>
  <c r="G74" i="8"/>
  <c r="F74" i="8"/>
  <c r="E74" i="8"/>
  <c r="M73" i="8"/>
  <c r="L73" i="8"/>
  <c r="K73" i="8"/>
  <c r="J73" i="8"/>
  <c r="I73" i="8"/>
  <c r="H73" i="8"/>
  <c r="G73" i="8"/>
  <c r="F73" i="8"/>
  <c r="E73" i="8"/>
  <c r="M72" i="8"/>
  <c r="L72" i="8"/>
  <c r="K72" i="8"/>
  <c r="J72" i="8"/>
  <c r="I72" i="8"/>
  <c r="H72" i="8"/>
  <c r="G72" i="8"/>
  <c r="F72" i="8"/>
  <c r="E72" i="8"/>
  <c r="D74" i="8"/>
  <c r="D79" i="8"/>
  <c r="D78" i="8"/>
  <c r="D77" i="8"/>
  <c r="D76" i="8"/>
  <c r="D75" i="8"/>
  <c r="D73" i="8"/>
  <c r="D72" i="8"/>
  <c r="M57" i="8"/>
  <c r="L57" i="8"/>
  <c r="K57" i="8"/>
  <c r="J57" i="8"/>
  <c r="I57" i="8"/>
  <c r="H57" i="8"/>
  <c r="G57" i="8"/>
  <c r="F57" i="8"/>
  <c r="E57" i="8"/>
  <c r="D57" i="8"/>
  <c r="M62" i="8"/>
  <c r="L62" i="8"/>
  <c r="K62" i="8"/>
  <c r="J62" i="8"/>
  <c r="I62" i="8"/>
  <c r="H62" i="8"/>
  <c r="G62" i="8"/>
  <c r="F62" i="8"/>
  <c r="E62" i="8"/>
  <c r="D62" i="8"/>
  <c r="M61" i="8"/>
  <c r="L61" i="8"/>
  <c r="K61" i="8"/>
  <c r="J61" i="8"/>
  <c r="I61" i="8"/>
  <c r="H61" i="8"/>
  <c r="G61" i="8"/>
  <c r="F61" i="8"/>
  <c r="E61" i="8"/>
  <c r="D61" i="8"/>
  <c r="M60" i="8"/>
  <c r="L60" i="8"/>
  <c r="K60" i="8"/>
  <c r="J60" i="8"/>
  <c r="I60" i="8"/>
  <c r="H60" i="8"/>
  <c r="H63" i="8" s="1"/>
  <c r="G60" i="8"/>
  <c r="F60" i="8"/>
  <c r="E60" i="8"/>
  <c r="D60" i="8"/>
  <c r="M56" i="8"/>
  <c r="L56" i="8"/>
  <c r="K56" i="8"/>
  <c r="J56" i="8"/>
  <c r="I56" i="8"/>
  <c r="H56" i="8"/>
  <c r="G56" i="8"/>
  <c r="F56" i="8"/>
  <c r="E56" i="8"/>
  <c r="D56" i="8"/>
  <c r="M55" i="8"/>
  <c r="L55" i="8"/>
  <c r="K55" i="8"/>
  <c r="J55" i="8"/>
  <c r="I55" i="8"/>
  <c r="H55" i="8"/>
  <c r="G55" i="8"/>
  <c r="F55" i="8"/>
  <c r="E55" i="8"/>
  <c r="D55" i="8"/>
  <c r="M54" i="8"/>
  <c r="L54" i="8"/>
  <c r="K54" i="8"/>
  <c r="J54" i="8"/>
  <c r="I54" i="8"/>
  <c r="H54" i="8"/>
  <c r="G54" i="8"/>
  <c r="F54" i="8"/>
  <c r="E54" i="8"/>
  <c r="D54" i="8"/>
  <c r="M52" i="8"/>
  <c r="L52" i="8"/>
  <c r="K52" i="8"/>
  <c r="J52" i="8"/>
  <c r="I52" i="8"/>
  <c r="H52" i="8"/>
  <c r="G52" i="8"/>
  <c r="F52" i="8"/>
  <c r="E52" i="8"/>
  <c r="M51" i="8"/>
  <c r="L51" i="8"/>
  <c r="K51" i="8"/>
  <c r="J51" i="8"/>
  <c r="I51" i="8"/>
  <c r="H51" i="8"/>
  <c r="G51" i="8"/>
  <c r="F51" i="8"/>
  <c r="E51" i="8"/>
  <c r="M50" i="8"/>
  <c r="L50" i="8"/>
  <c r="K50" i="8"/>
  <c r="J50" i="8"/>
  <c r="I50" i="8"/>
  <c r="H50" i="8"/>
  <c r="G50" i="8"/>
  <c r="F50" i="8"/>
  <c r="E50" i="8"/>
  <c r="M49" i="8"/>
  <c r="L49" i="8"/>
  <c r="K49" i="8"/>
  <c r="J49" i="8"/>
  <c r="I49" i="8"/>
  <c r="H49" i="8"/>
  <c r="G49" i="8"/>
  <c r="F49" i="8"/>
  <c r="E49" i="8"/>
  <c r="M48" i="8"/>
  <c r="M31" i="11" s="1"/>
  <c r="L48" i="8"/>
  <c r="L31" i="11" s="1"/>
  <c r="K48" i="8"/>
  <c r="K31" i="11" s="1"/>
  <c r="J48" i="8"/>
  <c r="I48" i="8"/>
  <c r="H48" i="8"/>
  <c r="G48" i="8"/>
  <c r="F48" i="8"/>
  <c r="E48" i="8"/>
  <c r="D52" i="8"/>
  <c r="D51" i="8"/>
  <c r="D50" i="8"/>
  <c r="D49" i="8"/>
  <c r="D48" i="8"/>
  <c r="M36" i="8"/>
  <c r="M41" i="8" s="1"/>
  <c r="M9" i="11" s="1"/>
  <c r="L36" i="8"/>
  <c r="L41" i="8" s="1"/>
  <c r="L9" i="11" s="1"/>
  <c r="K36" i="8"/>
  <c r="K41" i="8" s="1"/>
  <c r="J36" i="8"/>
  <c r="J41" i="8" s="1"/>
  <c r="I36" i="8"/>
  <c r="I41" i="8" s="1"/>
  <c r="H36" i="8"/>
  <c r="H41" i="8" s="1"/>
  <c r="G36" i="8"/>
  <c r="G41" i="8" s="1"/>
  <c r="G9" i="11" s="1"/>
  <c r="F36" i="8"/>
  <c r="F41" i="8" s="1"/>
  <c r="E36" i="8"/>
  <c r="E41" i="8" s="1"/>
  <c r="D36" i="8"/>
  <c r="D41" i="8" s="1"/>
  <c r="N30" i="8"/>
  <c r="M30" i="8"/>
  <c r="L30" i="8"/>
  <c r="K30" i="8"/>
  <c r="J30" i="8"/>
  <c r="I30" i="8"/>
  <c r="H30" i="8"/>
  <c r="G30" i="8"/>
  <c r="F30" i="8"/>
  <c r="E30" i="8"/>
  <c r="D30" i="8"/>
  <c r="M24" i="8"/>
  <c r="L24" i="8"/>
  <c r="K24" i="8"/>
  <c r="J24" i="8"/>
  <c r="I24" i="8"/>
  <c r="H24" i="8"/>
  <c r="G24" i="8"/>
  <c r="F24" i="8"/>
  <c r="E24" i="8"/>
  <c r="D24" i="8"/>
  <c r="N24" i="8"/>
  <c r="N14" i="8"/>
  <c r="M14" i="8"/>
  <c r="L14" i="8"/>
  <c r="K14" i="8"/>
  <c r="J14" i="8"/>
  <c r="I14" i="8"/>
  <c r="H14" i="8"/>
  <c r="G14" i="8"/>
  <c r="F14" i="8"/>
  <c r="E14" i="8"/>
  <c r="D14" i="8"/>
  <c r="N8" i="8"/>
  <c r="M8" i="8"/>
  <c r="M12" i="8" s="1"/>
  <c r="M11" i="11" s="1"/>
  <c r="L8" i="8"/>
  <c r="L12" i="8" s="1"/>
  <c r="L11" i="11" s="1"/>
  <c r="K8" i="8"/>
  <c r="K12" i="8" s="1"/>
  <c r="K11" i="11" s="1"/>
  <c r="J8" i="8"/>
  <c r="J12" i="8" s="1"/>
  <c r="J11" i="11" s="1"/>
  <c r="I8" i="8"/>
  <c r="H8" i="8"/>
  <c r="G8" i="8"/>
  <c r="F8" i="8"/>
  <c r="E8" i="8"/>
  <c r="D8" i="8"/>
  <c r="N5" i="8"/>
  <c r="N12" i="8" s="1"/>
  <c r="M5" i="8"/>
  <c r="L5" i="8"/>
  <c r="L28" i="11" s="1"/>
  <c r="L34" i="11" s="1"/>
  <c r="K5" i="8"/>
  <c r="K28" i="11" s="1"/>
  <c r="K34" i="11" s="1"/>
  <c r="J5" i="8"/>
  <c r="J31" i="11" s="1"/>
  <c r="I5" i="8"/>
  <c r="I12" i="8" s="1"/>
  <c r="I11" i="11" s="1"/>
  <c r="H5" i="8"/>
  <c r="H12" i="8" s="1"/>
  <c r="H11" i="11" s="1"/>
  <c r="G5" i="8"/>
  <c r="G12" i="8" s="1"/>
  <c r="G11" i="11" s="1"/>
  <c r="F5" i="8"/>
  <c r="F12" i="8" s="1"/>
  <c r="F11" i="11" s="1"/>
  <c r="E5" i="8"/>
  <c r="E30" i="11" s="1"/>
  <c r="D5" i="8"/>
  <c r="D11" i="11" s="1"/>
  <c r="M3" i="8"/>
  <c r="L3" i="8"/>
  <c r="K3" i="8"/>
  <c r="J3" i="8"/>
  <c r="I3" i="8"/>
  <c r="H3" i="8"/>
  <c r="G3" i="8"/>
  <c r="F3" i="8"/>
  <c r="E3" i="8"/>
  <c r="D3" i="8"/>
  <c r="B2" i="8"/>
  <c r="C6" i="3"/>
  <c r="D6" i="3"/>
  <c r="E6" i="3"/>
  <c r="F6" i="3"/>
  <c r="G6" i="3"/>
  <c r="H6" i="3"/>
  <c r="L6" i="1" s="1"/>
  <c r="I6" i="3"/>
  <c r="J6" i="3"/>
  <c r="J14" i="3" s="1"/>
  <c r="K6" i="3"/>
  <c r="B6" i="3"/>
  <c r="C5" i="1"/>
  <c r="D5" i="1"/>
  <c r="E5" i="1"/>
  <c r="F5" i="1"/>
  <c r="G5" i="1"/>
  <c r="H5" i="1"/>
  <c r="I5" i="1"/>
  <c r="J5" i="1"/>
  <c r="K5" i="1"/>
  <c r="B5" i="1"/>
  <c r="B6" i="1" s="1"/>
  <c r="B19" i="1" s="1"/>
  <c r="F13" i="1"/>
  <c r="G13" i="1"/>
  <c r="B6" i="6"/>
  <c r="C17" i="2"/>
  <c r="D17" i="2"/>
  <c r="E17" i="2"/>
  <c r="F17" i="2"/>
  <c r="G17" i="2"/>
  <c r="H17" i="2"/>
  <c r="I17" i="2"/>
  <c r="J17" i="2"/>
  <c r="J20" i="2" s="1"/>
  <c r="K17" i="2"/>
  <c r="C18" i="2"/>
  <c r="C21" i="2" s="1"/>
  <c r="D18" i="2"/>
  <c r="D21" i="2" s="1"/>
  <c r="E18" i="2"/>
  <c r="F18" i="2"/>
  <c r="G18" i="2"/>
  <c r="H18" i="2"/>
  <c r="I18" i="2"/>
  <c r="J18" i="2"/>
  <c r="K18" i="2"/>
  <c r="K21" i="2" s="1"/>
  <c r="B17" i="2"/>
  <c r="C4" i="2"/>
  <c r="C23" i="2" s="1"/>
  <c r="D4" i="2"/>
  <c r="E4" i="2"/>
  <c r="E5" i="2"/>
  <c r="F4" i="2"/>
  <c r="F23" i="2" s="1"/>
  <c r="G4" i="2"/>
  <c r="H4" i="2"/>
  <c r="I4" i="2"/>
  <c r="I5" i="2"/>
  <c r="J4" i="2"/>
  <c r="J5" i="2"/>
  <c r="J23" i="2" s="1"/>
  <c r="K4" i="2"/>
  <c r="K23" i="2" s="1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C16" i="2" s="1"/>
  <c r="D13" i="2"/>
  <c r="D16" i="2" s="1"/>
  <c r="E13" i="2"/>
  <c r="F13" i="2"/>
  <c r="F16" i="2" s="1"/>
  <c r="G13" i="2"/>
  <c r="H13" i="2"/>
  <c r="I13" i="2"/>
  <c r="J13" i="2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E4" i="3"/>
  <c r="E14" i="3" s="1"/>
  <c r="F4" i="3"/>
  <c r="G4" i="3"/>
  <c r="G14" i="3" s="1"/>
  <c r="H4" i="3"/>
  <c r="L4" i="1" s="1"/>
  <c r="L23" i="1" s="1"/>
  <c r="I4" i="3"/>
  <c r="I14" i="3" s="1"/>
  <c r="J4" i="3"/>
  <c r="K4" i="3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L12" i="1" s="1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E20" i="2" s="1"/>
  <c r="F4" i="1"/>
  <c r="F20" i="2" s="1"/>
  <c r="G4" i="1"/>
  <c r="G6" i="1" s="1"/>
  <c r="G19" i="1" s="1"/>
  <c r="H4" i="1"/>
  <c r="I4" i="1"/>
  <c r="I21" i="2" s="1"/>
  <c r="J4" i="1"/>
  <c r="J21" i="2" s="1"/>
  <c r="K4" i="1"/>
  <c r="K20" i="2" s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C14" i="1" s="1"/>
  <c r="D12" i="1"/>
  <c r="E12" i="1"/>
  <c r="F12" i="1"/>
  <c r="G12" i="1"/>
  <c r="H12" i="1"/>
  <c r="H13" i="1" s="1"/>
  <c r="I12" i="1"/>
  <c r="I13" i="1" s="1"/>
  <c r="J12" i="1"/>
  <c r="J13" i="1" s="1"/>
  <c r="J14" i="1" s="1"/>
  <c r="K12" i="1"/>
  <c r="K13" i="1" s="1"/>
  <c r="K14" i="1" s="1"/>
  <c r="C15" i="1"/>
  <c r="D15" i="1"/>
  <c r="E15" i="1"/>
  <c r="F15" i="1"/>
  <c r="G15" i="1"/>
  <c r="H15" i="1"/>
  <c r="I15" i="1"/>
  <c r="J15" i="1"/>
  <c r="K15" i="1"/>
  <c r="B15" i="1"/>
  <c r="B7" i="1"/>
  <c r="B4" i="1"/>
  <c r="A1" i="1"/>
  <c r="E1" i="6"/>
  <c r="H1" i="1" s="1"/>
  <c r="H16" i="2"/>
  <c r="H23" i="2"/>
  <c r="J6" i="1"/>
  <c r="J19" i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E21" i="2"/>
  <c r="B18" i="2"/>
  <c r="B21" i="2"/>
  <c r="B13" i="2"/>
  <c r="B12" i="2"/>
  <c r="B11" i="2"/>
  <c r="B10" i="2"/>
  <c r="B8" i="2"/>
  <c r="B7" i="2"/>
  <c r="B6" i="2"/>
  <c r="B3" i="2"/>
  <c r="F14" i="3"/>
  <c r="B12" i="3"/>
  <c r="B11" i="3"/>
  <c r="B10" i="3"/>
  <c r="B9" i="3"/>
  <c r="B8" i="3"/>
  <c r="B7" i="3"/>
  <c r="B4" i="3"/>
  <c r="B3" i="3"/>
  <c r="L15" i="1"/>
  <c r="B12" i="1"/>
  <c r="B13" i="1" s="1"/>
  <c r="B11" i="1"/>
  <c r="B10" i="1"/>
  <c r="B9" i="1"/>
  <c r="B8" i="1"/>
  <c r="B3" i="1"/>
  <c r="D20" i="2"/>
  <c r="A1" i="3"/>
  <c r="A1" i="2"/>
  <c r="A1" i="4" s="1"/>
  <c r="H23" i="1"/>
  <c r="M36" i="11" l="1"/>
  <c r="L13" i="1"/>
  <c r="L14" i="1" s="1"/>
  <c r="L25" i="1" s="1"/>
  <c r="I6" i="1"/>
  <c r="I19" i="1" s="1"/>
  <c r="L5" i="1"/>
  <c r="I23" i="1"/>
  <c r="M15" i="8"/>
  <c r="M17" i="11" s="1"/>
  <c r="D30" i="11"/>
  <c r="F28" i="11"/>
  <c r="F34" i="11" s="1"/>
  <c r="I29" i="11"/>
  <c r="I35" i="11" s="1"/>
  <c r="L30" i="11"/>
  <c r="D34" i="11"/>
  <c r="D23" i="2"/>
  <c r="H14" i="3"/>
  <c r="H29" i="11"/>
  <c r="H35" i="11" s="1"/>
  <c r="D33" i="11"/>
  <c r="C20" i="2"/>
  <c r="K16" i="2"/>
  <c r="D31" i="11"/>
  <c r="G28" i="11"/>
  <c r="G34" i="11" s="1"/>
  <c r="J29" i="11"/>
  <c r="J35" i="11" s="1"/>
  <c r="M30" i="11"/>
  <c r="D35" i="11"/>
  <c r="E27" i="11"/>
  <c r="E33" i="11" s="1"/>
  <c r="E36" i="11" s="1"/>
  <c r="H28" i="11"/>
  <c r="H34" i="11" s="1"/>
  <c r="K29" i="11"/>
  <c r="K35" i="11" s="1"/>
  <c r="K36" i="11" s="1"/>
  <c r="E31" i="11"/>
  <c r="L10" i="1"/>
  <c r="K30" i="11"/>
  <c r="G23" i="2"/>
  <c r="H9" i="11"/>
  <c r="E12" i="8"/>
  <c r="E11" i="11" s="1"/>
  <c r="O11" i="11" s="1"/>
  <c r="F27" i="11"/>
  <c r="F33" i="11" s="1"/>
  <c r="I28" i="11"/>
  <c r="I34" i="11" s="1"/>
  <c r="I36" i="11" s="1"/>
  <c r="L29" i="11"/>
  <c r="L35" i="11" s="1"/>
  <c r="L36" i="11" s="1"/>
  <c r="F31" i="11"/>
  <c r="G15" i="8"/>
  <c r="G17" i="11" s="1"/>
  <c r="G80" i="8"/>
  <c r="G27" i="11"/>
  <c r="G33" i="11" s="1"/>
  <c r="J28" i="11"/>
  <c r="J34" i="11" s="1"/>
  <c r="G31" i="11"/>
  <c r="I30" i="11"/>
  <c r="G29" i="11"/>
  <c r="G35" i="11" s="1"/>
  <c r="J30" i="11"/>
  <c r="L11" i="1"/>
  <c r="K6" i="1"/>
  <c r="K19" i="1" s="1"/>
  <c r="H15" i="8"/>
  <c r="H17" i="11" s="1"/>
  <c r="H27" i="11"/>
  <c r="H33" i="11" s="1"/>
  <c r="H31" i="11"/>
  <c r="E1" i="3"/>
  <c r="E23" i="2"/>
  <c r="G14" i="1"/>
  <c r="H25" i="8"/>
  <c r="H18" i="11" s="1"/>
  <c r="I27" i="11"/>
  <c r="I33" i="11" s="1"/>
  <c r="I31" i="11"/>
  <c r="E1" i="2"/>
  <c r="F14" i="1"/>
  <c r="J27" i="11"/>
  <c r="J33" i="11" s="1"/>
  <c r="B15" i="12"/>
  <c r="D13" i="12"/>
  <c r="D12" i="12"/>
  <c r="D11" i="12"/>
  <c r="D10" i="12"/>
  <c r="D9" i="12"/>
  <c r="D8" i="12"/>
  <c r="D7" i="12"/>
  <c r="D6" i="12"/>
  <c r="D5" i="12"/>
  <c r="J9" i="11"/>
  <c r="K9" i="11"/>
  <c r="G63" i="8"/>
  <c r="L58" i="8"/>
  <c r="F80" i="8"/>
  <c r="H80" i="8"/>
  <c r="I63" i="8"/>
  <c r="G94" i="8"/>
  <c r="E105" i="8"/>
  <c r="G105" i="8"/>
  <c r="D58" i="8"/>
  <c r="J63" i="8"/>
  <c r="H94" i="8"/>
  <c r="F94" i="8"/>
  <c r="K80" i="8"/>
  <c r="I105" i="8"/>
  <c r="M105" i="8"/>
  <c r="D94" i="8"/>
  <c r="E58" i="8"/>
  <c r="G58" i="8"/>
  <c r="K63" i="8"/>
  <c r="E94" i="8"/>
  <c r="N25" i="8"/>
  <c r="F9" i="11"/>
  <c r="F58" i="8"/>
  <c r="L63" i="8"/>
  <c r="L65" i="8" s="1"/>
  <c r="L67" i="8" s="1"/>
  <c r="D80" i="8"/>
  <c r="I80" i="8"/>
  <c r="L80" i="8"/>
  <c r="M63" i="8"/>
  <c r="J80" i="8"/>
  <c r="D105" i="8"/>
  <c r="H58" i="8"/>
  <c r="H65" i="8" s="1"/>
  <c r="H67" i="8" s="1"/>
  <c r="G107" i="8"/>
  <c r="I9" i="11"/>
  <c r="I58" i="8"/>
  <c r="I65" i="8" s="1"/>
  <c r="I67" i="8" s="1"/>
  <c r="K58" i="8"/>
  <c r="M58" i="8"/>
  <c r="E63" i="8"/>
  <c r="I94" i="8"/>
  <c r="M94" i="8"/>
  <c r="F105" i="8"/>
  <c r="G22" i="8"/>
  <c r="G25" i="8"/>
  <c r="G18" i="11" s="1"/>
  <c r="J58" i="8"/>
  <c r="D63" i="8"/>
  <c r="F63" i="8"/>
  <c r="M80" i="8"/>
  <c r="J94" i="8"/>
  <c r="L94" i="8"/>
  <c r="L107" i="8" s="1"/>
  <c r="K94" i="8"/>
  <c r="H105" i="8"/>
  <c r="L105" i="8"/>
  <c r="F6" i="8"/>
  <c r="F5" i="11" s="1"/>
  <c r="G11" i="8"/>
  <c r="G17" i="8" s="1"/>
  <c r="I15" i="8"/>
  <c r="I17" i="11" s="1"/>
  <c r="J105" i="8"/>
  <c r="H6" i="8"/>
  <c r="H5" i="11" s="1"/>
  <c r="E80" i="8"/>
  <c r="K105" i="8"/>
  <c r="E9" i="11"/>
  <c r="H107" i="8"/>
  <c r="I107" i="8"/>
  <c r="I25" i="8"/>
  <c r="I18" i="11" s="1"/>
  <c r="N6" i="8"/>
  <c r="J22" i="8"/>
  <c r="J25" i="8"/>
  <c r="J18" i="11" s="1"/>
  <c r="K25" i="8"/>
  <c r="K18" i="11" s="1"/>
  <c r="J15" i="8"/>
  <c r="J17" i="11" s="1"/>
  <c r="G6" i="8"/>
  <c r="G5" i="11" s="1"/>
  <c r="H11" i="8"/>
  <c r="H17" i="8" s="1"/>
  <c r="E25" i="8"/>
  <c r="E18" i="11" s="1"/>
  <c r="M25" i="8"/>
  <c r="M18" i="11" s="1"/>
  <c r="F22" i="8"/>
  <c r="H9" i="8"/>
  <c r="M9" i="8"/>
  <c r="J11" i="8"/>
  <c r="J17" i="8" s="1"/>
  <c r="D18" i="11"/>
  <c r="M22" i="8"/>
  <c r="L22" i="8"/>
  <c r="I11" i="8"/>
  <c r="I17" i="8" s="1"/>
  <c r="F25" i="8"/>
  <c r="F18" i="11" s="1"/>
  <c r="D17" i="11"/>
  <c r="E9" i="8"/>
  <c r="F15" i="8"/>
  <c r="F17" i="11" s="1"/>
  <c r="G9" i="8"/>
  <c r="I6" i="8"/>
  <c r="I5" i="11" s="1"/>
  <c r="I9" i="8"/>
  <c r="L25" i="8"/>
  <c r="L18" i="11" s="1"/>
  <c r="J9" i="8"/>
  <c r="K6" i="8"/>
  <c r="K5" i="11" s="1"/>
  <c r="F9" i="8"/>
  <c r="N9" i="8"/>
  <c r="N22" i="8"/>
  <c r="K11" i="8"/>
  <c r="K17" i="8" s="1"/>
  <c r="K15" i="8"/>
  <c r="K17" i="11" s="1"/>
  <c r="L11" i="8"/>
  <c r="L17" i="8" s="1"/>
  <c r="L15" i="8"/>
  <c r="L17" i="11" s="1"/>
  <c r="E5" i="11"/>
  <c r="E22" i="8"/>
  <c r="L6" i="8"/>
  <c r="L5" i="11" s="1"/>
  <c r="E11" i="8"/>
  <c r="E17" i="8" s="1"/>
  <c r="E15" i="8"/>
  <c r="E17" i="11" s="1"/>
  <c r="I22" i="8"/>
  <c r="M6" i="8"/>
  <c r="M5" i="11" s="1"/>
  <c r="F11" i="8"/>
  <c r="F17" i="8" s="1"/>
  <c r="K9" i="8"/>
  <c r="M11" i="8"/>
  <c r="M17" i="8" s="1"/>
  <c r="L9" i="8"/>
  <c r="N11" i="8"/>
  <c r="N17" i="8" s="1"/>
  <c r="N18" i="8" s="1"/>
  <c r="N15" i="8"/>
  <c r="J6" i="8"/>
  <c r="J5" i="11" s="1"/>
  <c r="D11" i="8"/>
  <c r="D17" i="8" s="1"/>
  <c r="K22" i="8"/>
  <c r="N11" i="1"/>
  <c r="M11" i="1"/>
  <c r="B14" i="1"/>
  <c r="L19" i="1"/>
  <c r="L24" i="1" s="1"/>
  <c r="G20" i="2"/>
  <c r="D6" i="1"/>
  <c r="D19" i="1" s="1"/>
  <c r="J16" i="2"/>
  <c r="G16" i="2"/>
  <c r="D13" i="1"/>
  <c r="E13" i="1" s="1"/>
  <c r="E14" i="1" s="1"/>
  <c r="I25" i="1" s="1"/>
  <c r="E24" i="2"/>
  <c r="L7" i="1"/>
  <c r="D14" i="3"/>
  <c r="D24" i="2"/>
  <c r="F21" i="2"/>
  <c r="K24" i="2"/>
  <c r="B14" i="3"/>
  <c r="G21" i="2"/>
  <c r="E6" i="1"/>
  <c r="E19" i="1" s="1"/>
  <c r="I14" i="1"/>
  <c r="K25" i="1" s="1"/>
  <c r="M25" i="1" s="1"/>
  <c r="M14" i="1" s="1"/>
  <c r="C24" i="2"/>
  <c r="I23" i="2"/>
  <c r="J23" i="1"/>
  <c r="H21" i="2"/>
  <c r="B23" i="2"/>
  <c r="H14" i="1"/>
  <c r="C6" i="1"/>
  <c r="C19" i="1" s="1"/>
  <c r="H24" i="1" s="1"/>
  <c r="L8" i="1"/>
  <c r="N8" i="1" s="1"/>
  <c r="J24" i="2"/>
  <c r="B20" i="2"/>
  <c r="K14" i="3"/>
  <c r="I24" i="2"/>
  <c r="H24" i="2"/>
  <c r="B16" i="2"/>
  <c r="G24" i="2"/>
  <c r="K24" i="1"/>
  <c r="L9" i="1"/>
  <c r="M9" i="1" s="1"/>
  <c r="E16" i="2"/>
  <c r="F24" i="2"/>
  <c r="J25" i="1"/>
  <c r="I20" i="2"/>
  <c r="H20" i="2"/>
  <c r="K23" i="1"/>
  <c r="M23" i="1" s="1"/>
  <c r="M4" i="1" s="1"/>
  <c r="H6" i="1"/>
  <c r="H19" i="1" s="1"/>
  <c r="J24" i="1" s="1"/>
  <c r="F6" i="1"/>
  <c r="F19" i="1" s="1"/>
  <c r="E1" i="4"/>
  <c r="N9" i="1" l="1"/>
  <c r="M24" i="1"/>
  <c r="F6" i="11"/>
  <c r="F18" i="8"/>
  <c r="F12" i="11" s="1"/>
  <c r="F25" i="11"/>
  <c r="F21" i="11"/>
  <c r="F13" i="11"/>
  <c r="F19" i="11" s="1"/>
  <c r="O17" i="11"/>
  <c r="P17" i="11"/>
  <c r="H18" i="8"/>
  <c r="H12" i="11" s="1"/>
  <c r="H25" i="11"/>
  <c r="H21" i="11"/>
  <c r="H13" i="11"/>
  <c r="H19" i="11" s="1"/>
  <c r="M107" i="8"/>
  <c r="M40" i="11"/>
  <c r="M38" i="11"/>
  <c r="G38" i="11"/>
  <c r="G40" i="11"/>
  <c r="O33" i="11"/>
  <c r="P33" i="11"/>
  <c r="E38" i="11"/>
  <c r="E39" i="11"/>
  <c r="E40" i="11"/>
  <c r="I24" i="1"/>
  <c r="I18" i="8"/>
  <c r="I12" i="11" s="1"/>
  <c r="I25" i="11"/>
  <c r="I21" i="11"/>
  <c r="I13" i="11"/>
  <c r="I19" i="11" s="1"/>
  <c r="O27" i="11"/>
  <c r="H36" i="11"/>
  <c r="O28" i="11"/>
  <c r="P27" i="11"/>
  <c r="O35" i="11"/>
  <c r="P35" i="11"/>
  <c r="O34" i="11"/>
  <c r="P34" i="11"/>
  <c r="D36" i="11"/>
  <c r="D21" i="11"/>
  <c r="I4" i="12" a="1"/>
  <c r="D13" i="11"/>
  <c r="D12" i="11"/>
  <c r="D25" i="11"/>
  <c r="O18" i="11"/>
  <c r="P18" i="11"/>
  <c r="G27" i="8"/>
  <c r="G18" i="8"/>
  <c r="G12" i="11" s="1"/>
  <c r="G25" i="11"/>
  <c r="G21" i="11"/>
  <c r="G13" i="11"/>
  <c r="G19" i="11" s="1"/>
  <c r="J40" i="11"/>
  <c r="J38" i="11"/>
  <c r="J25" i="11"/>
  <c r="J21" i="11"/>
  <c r="J13" i="11"/>
  <c r="J19" i="11" s="1"/>
  <c r="J18" i="8"/>
  <c r="J12" i="11" s="1"/>
  <c r="H39" i="11"/>
  <c r="H38" i="11"/>
  <c r="H40" i="11"/>
  <c r="E6" i="11"/>
  <c r="E13" i="11"/>
  <c r="E19" i="11" s="1"/>
  <c r="E18" i="8"/>
  <c r="E12" i="11" s="1"/>
  <c r="E25" i="11"/>
  <c r="E21" i="11"/>
  <c r="P5" i="11"/>
  <c r="O5" i="11"/>
  <c r="L40" i="11"/>
  <c r="L39" i="11"/>
  <c r="L38" i="11"/>
  <c r="F38" i="11"/>
  <c r="F40" i="11"/>
  <c r="E9" i="12"/>
  <c r="G36" i="11"/>
  <c r="F36" i="11"/>
  <c r="M8" i="1"/>
  <c r="I39" i="11"/>
  <c r="I40" i="11"/>
  <c r="I38" i="11"/>
  <c r="O31" i="11"/>
  <c r="P31" i="11"/>
  <c r="O30" i="11"/>
  <c r="P30" i="11"/>
  <c r="P11" i="11"/>
  <c r="L25" i="11"/>
  <c r="L21" i="11"/>
  <c r="L13" i="11"/>
  <c r="L19" i="11" s="1"/>
  <c r="L18" i="8"/>
  <c r="L12" i="11" s="1"/>
  <c r="D40" i="11"/>
  <c r="D39" i="11"/>
  <c r="D38" i="11"/>
  <c r="K40" i="11"/>
  <c r="K38" i="11"/>
  <c r="J36" i="11"/>
  <c r="M25" i="11"/>
  <c r="M13" i="11"/>
  <c r="M19" i="11" s="1"/>
  <c r="M21" i="11"/>
  <c r="M18" i="8"/>
  <c r="M12" i="11" s="1"/>
  <c r="K25" i="11"/>
  <c r="K21" i="11"/>
  <c r="K13" i="11"/>
  <c r="K19" i="11" s="1"/>
  <c r="K18" i="8"/>
  <c r="K12" i="11" s="1"/>
  <c r="P9" i="11"/>
  <c r="O9" i="11"/>
  <c r="P29" i="11"/>
  <c r="P28" i="11"/>
  <c r="O29" i="11"/>
  <c r="E12" i="12"/>
  <c r="E13" i="12"/>
  <c r="E10" i="12"/>
  <c r="E6" i="12"/>
  <c r="E7" i="12"/>
  <c r="D14" i="12"/>
  <c r="E14" i="12" s="1"/>
  <c r="E8" i="12"/>
  <c r="E11" i="12"/>
  <c r="B16" i="12"/>
  <c r="D15" i="12"/>
  <c r="E107" i="8"/>
  <c r="K107" i="8"/>
  <c r="F65" i="8"/>
  <c r="F67" i="8" s="1"/>
  <c r="D107" i="8"/>
  <c r="G65" i="8"/>
  <c r="G67" i="8" s="1"/>
  <c r="E65" i="8"/>
  <c r="E67" i="8" s="1"/>
  <c r="F107" i="8"/>
  <c r="J65" i="8"/>
  <c r="J67" i="8" s="1"/>
  <c r="G19" i="8"/>
  <c r="H6" i="11"/>
  <c r="M6" i="11"/>
  <c r="D65" i="8"/>
  <c r="D67" i="8" s="1"/>
  <c r="J107" i="8"/>
  <c r="K65" i="8"/>
  <c r="K67" i="8" s="1"/>
  <c r="J6" i="11"/>
  <c r="M65" i="8"/>
  <c r="M67" i="8" s="1"/>
  <c r="I6" i="11"/>
  <c r="H27" i="8"/>
  <c r="K6" i="11"/>
  <c r="I19" i="8"/>
  <c r="I27" i="8"/>
  <c r="H19" i="8"/>
  <c r="J19" i="8"/>
  <c r="L6" i="11"/>
  <c r="J27" i="8"/>
  <c r="G6" i="11"/>
  <c r="E19" i="8"/>
  <c r="E27" i="8"/>
  <c r="G28" i="8"/>
  <c r="G14" i="11" s="1"/>
  <c r="G33" i="8"/>
  <c r="G23" i="11" s="1"/>
  <c r="M27" i="8"/>
  <c r="M19" i="8"/>
  <c r="G31" i="8"/>
  <c r="D27" i="8"/>
  <c r="N27" i="8"/>
  <c r="N19" i="8"/>
  <c r="L27" i="8"/>
  <c r="L19" i="8"/>
  <c r="K27" i="8"/>
  <c r="K19" i="8"/>
  <c r="F19" i="8"/>
  <c r="F27" i="8"/>
  <c r="G7" i="11" s="1"/>
  <c r="D14" i="1"/>
  <c r="H25" i="1" s="1"/>
  <c r="N25" i="1" s="1"/>
  <c r="N14" i="1" s="1"/>
  <c r="N24" i="1"/>
  <c r="N23" i="1"/>
  <c r="N4" i="1" s="1"/>
  <c r="M6" i="1"/>
  <c r="M10" i="1" s="1"/>
  <c r="M12" i="1" s="1"/>
  <c r="M13" i="1" s="1"/>
  <c r="M15" i="1" s="1"/>
  <c r="K39" i="11" l="1"/>
  <c r="P38" i="11"/>
  <c r="O38" i="11"/>
  <c r="P25" i="11"/>
  <c r="O25" i="11"/>
  <c r="P40" i="11"/>
  <c r="O40" i="11"/>
  <c r="O12" i="11"/>
  <c r="P12" i="11"/>
  <c r="G39" i="11"/>
  <c r="O13" i="11"/>
  <c r="D19" i="11"/>
  <c r="P13" i="11"/>
  <c r="N6" i="1"/>
  <c r="N10" i="1" s="1"/>
  <c r="N12" i="1" s="1"/>
  <c r="N13" i="1" s="1"/>
  <c r="I4" i="12"/>
  <c r="I6" i="12"/>
  <c r="I7" i="12"/>
  <c r="J7" i="12" s="1"/>
  <c r="I9" i="12"/>
  <c r="J9" i="12" s="1"/>
  <c r="I5" i="12"/>
  <c r="I13" i="12"/>
  <c r="J13" i="12" s="1"/>
  <c r="I10" i="12"/>
  <c r="I8" i="12"/>
  <c r="I12" i="12"/>
  <c r="I11" i="12"/>
  <c r="J11" i="12" s="1"/>
  <c r="M39" i="11"/>
  <c r="J39" i="11"/>
  <c r="P21" i="11"/>
  <c r="O21" i="11"/>
  <c r="P36" i="11"/>
  <c r="O36" i="11"/>
  <c r="P6" i="11"/>
  <c r="O6" i="11"/>
  <c r="F39" i="11"/>
  <c r="P39" i="11" s="1"/>
  <c r="B17" i="12"/>
  <c r="D16" i="12"/>
  <c r="E16" i="12" s="1"/>
  <c r="E15" i="12"/>
  <c r="K7" i="11"/>
  <c r="M7" i="11"/>
  <c r="L7" i="11"/>
  <c r="E7" i="11"/>
  <c r="J28" i="8"/>
  <c r="J14" i="11" s="1"/>
  <c r="J7" i="11"/>
  <c r="I31" i="8"/>
  <c r="I7" i="11"/>
  <c r="I28" i="8"/>
  <c r="I14" i="11" s="1"/>
  <c r="I33" i="8"/>
  <c r="I23" i="11" s="1"/>
  <c r="J31" i="8"/>
  <c r="H7" i="11"/>
  <c r="H28" i="8"/>
  <c r="H14" i="11" s="1"/>
  <c r="H31" i="8"/>
  <c r="H33" i="8"/>
  <c r="H23" i="11" s="1"/>
  <c r="F7" i="11"/>
  <c r="J33" i="8"/>
  <c r="J23" i="11" s="1"/>
  <c r="F28" i="8"/>
  <c r="F14" i="11" s="1"/>
  <c r="F31" i="8"/>
  <c r="F33" i="8"/>
  <c r="F23" i="11" s="1"/>
  <c r="K28" i="8"/>
  <c r="K14" i="11" s="1"/>
  <c r="K31" i="8"/>
  <c r="K33" i="8"/>
  <c r="G38" i="8"/>
  <c r="G34" i="8"/>
  <c r="G15" i="11" s="1"/>
  <c r="L28" i="8"/>
  <c r="L14" i="11" s="1"/>
  <c r="L33" i="8"/>
  <c r="L23" i="11" s="1"/>
  <c r="L31" i="8"/>
  <c r="N33" i="8"/>
  <c r="N28" i="8"/>
  <c r="N31" i="8"/>
  <c r="E28" i="8"/>
  <c r="E14" i="11" s="1"/>
  <c r="E31" i="8"/>
  <c r="E33" i="8"/>
  <c r="E23" i="11" s="1"/>
  <c r="M28" i="8"/>
  <c r="M14" i="11" s="1"/>
  <c r="M33" i="8"/>
  <c r="M23" i="11" s="1"/>
  <c r="M31" i="8"/>
  <c r="D33" i="8"/>
  <c r="D23" i="11" s="1"/>
  <c r="D14" i="11"/>
  <c r="N5" i="1"/>
  <c r="N15" i="1"/>
  <c r="M5" i="1"/>
  <c r="J8" i="12" l="1"/>
  <c r="J10" i="12"/>
  <c r="P7" i="11"/>
  <c r="O7" i="11"/>
  <c r="J6" i="12"/>
  <c r="K8" i="11"/>
  <c r="K23" i="11"/>
  <c r="P23" i="11" s="1"/>
  <c r="I18" i="12"/>
  <c r="J18" i="12" s="1"/>
  <c r="I16" i="12"/>
  <c r="J16" i="12" s="1"/>
  <c r="I17" i="12"/>
  <c r="J17" i="12" s="1"/>
  <c r="I15" i="12"/>
  <c r="I14" i="12"/>
  <c r="J14" i="12" s="1"/>
  <c r="O39" i="11"/>
  <c r="O14" i="11"/>
  <c r="P14" i="11"/>
  <c r="O19" i="11"/>
  <c r="P19" i="11"/>
  <c r="J12" i="12"/>
  <c r="B18" i="12"/>
  <c r="D18" i="12" s="1"/>
  <c r="D17" i="12"/>
  <c r="E17" i="12" s="1"/>
  <c r="M8" i="11"/>
  <c r="E8" i="11"/>
  <c r="F8" i="11"/>
  <c r="G8" i="11"/>
  <c r="L8" i="11"/>
  <c r="H8" i="11"/>
  <c r="H38" i="8"/>
  <c r="H34" i="8"/>
  <c r="H15" i="11" s="1"/>
  <c r="I8" i="11"/>
  <c r="I34" i="8"/>
  <c r="I15" i="11" s="1"/>
  <c r="I38" i="8"/>
  <c r="N34" i="8"/>
  <c r="J8" i="11"/>
  <c r="J38" i="8"/>
  <c r="J34" i="8"/>
  <c r="J15" i="11" s="1"/>
  <c r="G42" i="8"/>
  <c r="G44" i="8"/>
  <c r="G22" i="11" s="1"/>
  <c r="G24" i="11" s="1"/>
  <c r="D15" i="11"/>
  <c r="D38" i="8"/>
  <c r="N4" i="12" s="1" a="1"/>
  <c r="L34" i="8"/>
  <c r="L15" i="11" s="1"/>
  <c r="L38" i="8"/>
  <c r="M34" i="8"/>
  <c r="M15" i="11" s="1"/>
  <c r="M38" i="8"/>
  <c r="E34" i="8"/>
  <c r="E15" i="11" s="1"/>
  <c r="E38" i="8"/>
  <c r="K34" i="8"/>
  <c r="K15" i="11" s="1"/>
  <c r="K38" i="8"/>
  <c r="F38" i="8"/>
  <c r="F34" i="8"/>
  <c r="F15" i="11" s="1"/>
  <c r="O23" i="11" l="1"/>
  <c r="O15" i="11"/>
  <c r="P15" i="11"/>
  <c r="N8" i="12"/>
  <c r="N7" i="12"/>
  <c r="N4" i="12"/>
  <c r="N12" i="12"/>
  <c r="N9" i="12"/>
  <c r="O9" i="12" s="1"/>
  <c r="N11" i="12"/>
  <c r="N6" i="12"/>
  <c r="O6" i="12" s="1"/>
  <c r="N5" i="12"/>
  <c r="N10" i="12"/>
  <c r="O10" i="12" s="1"/>
  <c r="N13" i="12"/>
  <c r="P8" i="11"/>
  <c r="O8" i="11"/>
  <c r="J15" i="12"/>
  <c r="E18" i="12"/>
  <c r="J39" i="8"/>
  <c r="J44" i="8"/>
  <c r="J22" i="11" s="1"/>
  <c r="J24" i="11" s="1"/>
  <c r="J42" i="8"/>
  <c r="I44" i="8"/>
  <c r="I22" i="11" s="1"/>
  <c r="I24" i="11" s="1"/>
  <c r="I42" i="8"/>
  <c r="I39" i="8"/>
  <c r="H39" i="8"/>
  <c r="H42" i="8"/>
  <c r="H44" i="8"/>
  <c r="H22" i="11" s="1"/>
  <c r="H24" i="11" s="1"/>
  <c r="F39" i="8"/>
  <c r="F44" i="8"/>
  <c r="F22" i="11" s="1"/>
  <c r="F24" i="11" s="1"/>
  <c r="F42" i="8"/>
  <c r="K39" i="8"/>
  <c r="K42" i="8"/>
  <c r="K44" i="8"/>
  <c r="K22" i="11" s="1"/>
  <c r="K24" i="11" s="1"/>
  <c r="E44" i="8"/>
  <c r="E22" i="11" s="1"/>
  <c r="E24" i="11" s="1"/>
  <c r="E42" i="8"/>
  <c r="M39" i="8"/>
  <c r="M42" i="8"/>
  <c r="M44" i="8"/>
  <c r="M22" i="11" s="1"/>
  <c r="M24" i="11" s="1"/>
  <c r="L42" i="8"/>
  <c r="L44" i="8"/>
  <c r="L22" i="11" s="1"/>
  <c r="L24" i="11" s="1"/>
  <c r="D42" i="8"/>
  <c r="D44" i="8"/>
  <c r="D22" i="11" s="1"/>
  <c r="L39" i="8"/>
  <c r="G39" i="8"/>
  <c r="O11" i="12" l="1"/>
  <c r="O12" i="12"/>
  <c r="P22" i="11"/>
  <c r="D24" i="11"/>
  <c r="O22" i="11"/>
  <c r="N14" i="12"/>
  <c r="O14" i="12" s="1"/>
  <c r="N17" i="12"/>
  <c r="N18" i="12"/>
  <c r="O18" i="12" s="1"/>
  <c r="N15" i="12"/>
  <c r="O15" i="12" s="1"/>
  <c r="N16" i="12"/>
  <c r="O16" i="12" s="1"/>
  <c r="O7" i="12"/>
  <c r="O8" i="12"/>
  <c r="O13" i="12"/>
  <c r="O17" i="12" l="1"/>
  <c r="P24" i="11"/>
  <c r="O24" i="11"/>
</calcChain>
</file>

<file path=xl/sharedStrings.xml><?xml version="1.0" encoding="utf-8"?>
<sst xmlns="http://schemas.openxmlformats.org/spreadsheetml/2006/main" count="293" uniqueCount="180">
  <si>
    <t>COMPANY NAME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</si>
  <si>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</si>
  <si>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</si>
  <si>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</si>
  <si>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</si>
  <si>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</si>
  <si>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</si>
  <si>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</si>
  <si>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</si>
  <si>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</si>
  <si>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</si>
  <si>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</si>
  <si>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</si>
  <si>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</si>
  <si>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</si>
  <si>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</si>
  <si>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</si>
  <si>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</si>
  <si>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</si>
  <si>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</si>
  <si>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</si>
  <si>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</si>
  <si>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</si>
  <si>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</si>
  <si>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</si>
  <si>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</si>
  <si>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</si>
  <si>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</si>
  <si>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</si>
  <si>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</si>
  <si>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</si>
  <si>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</si>
  <si>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</si>
  <si>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</si>
  <si>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</si>
  <si>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</si>
  <si>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</si>
  <si>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</si>
  <si>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</si>
  <si>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</si>
  <si>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</si>
  <si>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</si>
  <si>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</si>
  <si>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</si>
  <si>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</si>
  <si>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</si>
  <si>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EPS</t>
  </si>
  <si>
    <t>Price</t>
  </si>
  <si>
    <t>Return on Equity</t>
  </si>
  <si>
    <t>Return on Capital Emp</t>
  </si>
  <si>
    <t>LATEST VERSION</t>
  </si>
  <si>
    <t>CURRENT VERSION</t>
  </si>
  <si>
    <t>MAX HEALTHCARE INSTITUTE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</si>
  <si>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</si>
  <si>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</si>
  <si>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</si>
  <si>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</si>
  <si>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</si>
  <si>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</si>
  <si>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</si>
  <si>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</si>
  <si>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</si>
  <si>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</si>
  <si>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</si>
  <si>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</si>
  <si>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</si>
  <si>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</si>
  <si>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</si>
  <si>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</si>
  <si>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</si>
  <si>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</si>
  <si>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</si>
  <si>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</si>
  <si>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</si>
  <si>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</si>
  <si>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</si>
  <si>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</si>
  <si>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</si>
  <si>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</si>
  <si>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G</t>
  </si>
  <si>
    <t>Years</t>
  </si>
  <si>
    <t>LTM</t>
  </si>
  <si>
    <t>Income Statement</t>
  </si>
  <si>
    <t>#</t>
  </si>
  <si>
    <t>-</t>
  </si>
  <si>
    <t>COGS</t>
  </si>
  <si>
    <t>COGS % Sales</t>
  </si>
  <si>
    <t>Gross Profit</t>
  </si>
  <si>
    <t>Selling &amp; General Expenses</t>
  </si>
  <si>
    <t>S&amp;G Exp % Sales</t>
  </si>
  <si>
    <t>EBITDA</t>
  </si>
  <si>
    <t>EBITDA % Sales</t>
  </si>
  <si>
    <t xml:space="preserve"> Interest % Sales</t>
  </si>
  <si>
    <t>Depreciation % Sales</t>
  </si>
  <si>
    <t>Earning before Taxes</t>
  </si>
  <si>
    <t>EBT % Sales</t>
  </si>
  <si>
    <t xml:space="preserve"> </t>
  </si>
  <si>
    <t>Effective Tax Rate</t>
  </si>
  <si>
    <t>Net Profit</t>
  </si>
  <si>
    <t>Net Margins</t>
  </si>
  <si>
    <t>EPS(Earning per share)</t>
  </si>
  <si>
    <t>Dividend per share</t>
  </si>
  <si>
    <t>EPS Growth%)</t>
  </si>
  <si>
    <t>Dividend payout ratio</t>
  </si>
  <si>
    <t>Retained Earnings</t>
  </si>
  <si>
    <t>Balance Sheet</t>
  </si>
  <si>
    <t>Total Liabilities</t>
  </si>
  <si>
    <t>Total Assets</t>
  </si>
  <si>
    <t>Fixed Assets Net Block</t>
  </si>
  <si>
    <t>Total Non Current Assets</t>
  </si>
  <si>
    <t>Total Current Assets</t>
  </si>
  <si>
    <t>Check</t>
  </si>
  <si>
    <t>Profit from operations</t>
  </si>
  <si>
    <t>Payables</t>
  </si>
  <si>
    <t>Loans Advances</t>
  </si>
  <si>
    <t>Other WC items</t>
  </si>
  <si>
    <t>Working capital changes</t>
  </si>
  <si>
    <t>Direct taxes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</si>
  <si>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</si>
  <si>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</si>
  <si>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</si>
  <si>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</si>
  <si>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</si>
  <si>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</si>
  <si>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Investment in group cos</t>
  </si>
  <si>
    <t>Redemp n Canc of Shares</t>
  </si>
  <si>
    <t>Acquisition of companies</t>
  </si>
  <si>
    <t>Inter corporate deposits</t>
  </si>
  <si>
    <t>Other investing items</t>
  </si>
  <si>
    <t>Proceeds from shares</t>
  </si>
  <si>
    <t>Redemption of debentures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</si>
  <si>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</si>
  <si>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</si>
  <si>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</si>
  <si>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</si>
  <si>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</si>
  <si>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</si>
  <si>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 xml:space="preserve">Net Cash Flow </t>
  </si>
  <si>
    <t>Cash from Operating Activities</t>
  </si>
  <si>
    <t>Cash Flow Statements</t>
  </si>
  <si>
    <t>Operating Activites</t>
  </si>
  <si>
    <t>Investing Activites</t>
  </si>
  <si>
    <t>Cash from Investing Activities</t>
  </si>
  <si>
    <t>Financial Activities</t>
  </si>
  <si>
    <t>Cash from Financing Activites</t>
  </si>
  <si>
    <t>Gross Margin</t>
  </si>
  <si>
    <t>EBITDA Growth</t>
  </si>
  <si>
    <t>Net Profit Growth</t>
  </si>
  <si>
    <t>Dividend Growth</t>
  </si>
  <si>
    <t>EBITDA Margin</t>
  </si>
  <si>
    <t>EBIT Margin</t>
  </si>
  <si>
    <t>EBT Margin</t>
  </si>
  <si>
    <t>Net Profit Margin</t>
  </si>
  <si>
    <t>SalesExpenses%Sales</t>
  </si>
  <si>
    <t>Depreciation%Sales</t>
  </si>
  <si>
    <t>OperatingIncome%Sales</t>
  </si>
  <si>
    <t>Return on Capital Employed</t>
  </si>
  <si>
    <t>Retained Earnings%</t>
  </si>
  <si>
    <t>Return on Equity%</t>
  </si>
  <si>
    <t>Self Sustained Growth Rate</t>
  </si>
  <si>
    <t>Debtor Turnover Ratio</t>
  </si>
  <si>
    <t>Creditor Turnover Ratio</t>
  </si>
  <si>
    <t xml:space="preserve">Inventory Turnover </t>
  </si>
  <si>
    <t>Fixed Asset Turnover</t>
  </si>
  <si>
    <t>Capital Turnover Ratio</t>
  </si>
  <si>
    <t>Payable Days</t>
  </si>
  <si>
    <t>Inventory Days</t>
  </si>
  <si>
    <t>Cash Conversion Cycle</t>
  </si>
  <si>
    <t>CFO/Sales</t>
  </si>
  <si>
    <t>CFO/Total Assets</t>
  </si>
  <si>
    <t>CFO/Total Debt</t>
  </si>
  <si>
    <t>EBT Growth</t>
  </si>
  <si>
    <t>Interest Coverage Ratio</t>
  </si>
  <si>
    <t>Mean</t>
  </si>
  <si>
    <t>Median</t>
  </si>
  <si>
    <t>Trend</t>
  </si>
  <si>
    <t>Year Weight</t>
  </si>
  <si>
    <t>Year</t>
  </si>
  <si>
    <t>Operating Profit Margin</t>
  </si>
  <si>
    <t>Operating Profit Margin(OPM)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</si>
</sst>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&quot;₹&quot;\ #,##0.00;\(&quot;₹&quot;\ #,##0.00\)"/>
    <numFmt numFmtId="167" formatCode="0.0%"/>
    <numFmt numFmtId="168" formatCode="&quot;₹&quot;\ #,##0.00"/>
    <numFmt numFmtId="169" formatCode="0.00\x"/>
    <numFmt numFmtId="170" formatCode="#,##0.00&quot;x&quot;"/>
    <numFmt numFmtId="171" formatCode="0.00&quot;x&quot;"/>
    <numFmt numFmtId="172" formatCode="0&quot;A&quot;"/>
    <numFmt numFmtId="173" formatCode="0&quot;E&quot;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i/>
      <sz val="11"/>
      <color theme="1" tint="0.499984740745262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11"/>
      <color rgb="FF0070C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dashDot">
        <color rgb="FF002060"/>
      </top>
      <bottom style="dashDot">
        <color rgb="FF002060"/>
      </bottom>
      <diagonal/>
    </border>
    <border>
      <left/>
      <right/>
      <top style="dashDot">
        <color rgb="FF002060"/>
      </top>
      <bottom/>
      <diagonal/>
    </border>
    <border>
      <left/>
      <right/>
      <top/>
      <bottom style="dashDot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79">
    <xf numFmtId="0" fontId="0" fillId="0" borderId="0" xfId="0"/>
    <xf numFmtId="43" fontId="1" fillId="0" borderId="0" xfId="1" applyFont="1" applyBorder="1"/>
    <xf numFmtId="0" fontId="1" fillId="0" borderId="0" xfId="0" applyFont="1"/>
    <xf numFmtId="0" fontId="6" fillId="0" borderId="0" xfId="0" applyFont="1"/>
    <xf numFmtId="43" fontId="0" fillId="0" borderId="0" xfId="1" applyFont="1" applyBorder="1"/>
    <xf numFmtId="10" fontId="0" fillId="0" borderId="0" xfId="0" applyNumberFormat="1"/>
    <xf numFmtId="43" fontId="3" fillId="0" borderId="0" xfId="1" applyFont="1" applyBorder="1"/>
    <xf numFmtId="9" fontId="3" fillId="0" borderId="0" xfId="1" applyNumberFormat="1" applyFont="1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/>
    <xf numFmtId="165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43" fontId="0" fillId="0" borderId="0" xfId="1" applyFont="1" applyBorder="1" applyAlignment="1">
      <alignment horizontal="center"/>
    </xf>
    <xf numFmtId="43" fontId="1" fillId="0" borderId="0" xfId="1" applyFont="1" applyBorder="1" applyAlignment="1">
      <alignment horizontal="center"/>
    </xf>
    <xf numFmtId="10" fontId="1" fillId="0" borderId="0" xfId="0" applyNumberFormat="1" applyFont="1"/>
    <xf numFmtId="165" fontId="2" fillId="5" borderId="0" xfId="1" applyNumberFormat="1" applyFont="1" applyFill="1" applyBorder="1"/>
    <xf numFmtId="165" fontId="7" fillId="0" borderId="0" xfId="1" applyNumberFormat="1" applyFont="1" applyFill="1" applyBorder="1"/>
    <xf numFmtId="0" fontId="7" fillId="0" borderId="0" xfId="0" applyFont="1"/>
    <xf numFmtId="164" fontId="0" fillId="0" borderId="0" xfId="1" applyNumberFormat="1" applyFont="1" applyBorder="1"/>
    <xf numFmtId="0" fontId="8" fillId="6" borderId="0" xfId="0" applyFont="1" applyFill="1"/>
    <xf numFmtId="17" fontId="8" fillId="6" borderId="0" xfId="0" applyNumberFormat="1" applyFont="1" applyFill="1"/>
    <xf numFmtId="0" fontId="8" fillId="6" borderId="0" xfId="0" applyFont="1" applyFill="1" applyAlignment="1">
      <alignment horizontal="right"/>
    </xf>
    <xf numFmtId="166" fontId="0" fillId="0" borderId="0" xfId="0" applyNumberFormat="1"/>
    <xf numFmtId="0" fontId="9" fillId="0" borderId="0" xfId="0" applyFont="1"/>
    <xf numFmtId="167" fontId="9" fillId="0" borderId="0" xfId="6" applyNumberFormat="1" applyFont="1"/>
    <xf numFmtId="168" fontId="0" fillId="0" borderId="0" xfId="0" applyNumberFormat="1"/>
    <xf numFmtId="10" fontId="9" fillId="0" borderId="0" xfId="6" applyNumberFormat="1" applyFont="1"/>
    <xf numFmtId="167" fontId="0" fillId="0" borderId="0" xfId="6" applyNumberFormat="1" applyFont="1"/>
    <xf numFmtId="167" fontId="3" fillId="0" borderId="0" xfId="6" applyNumberFormat="1" applyFont="1"/>
    <xf numFmtId="43" fontId="0" fillId="0" borderId="0" xfId="1" applyFont="1" applyFill="1" applyBorder="1"/>
    <xf numFmtId="10" fontId="0" fillId="0" borderId="0" xfId="6" applyNumberFormat="1" applyFont="1"/>
    <xf numFmtId="10" fontId="0" fillId="0" borderId="0" xfId="6" applyNumberFormat="1" applyFont="1" applyBorder="1"/>
    <xf numFmtId="4" fontId="0" fillId="0" borderId="0" xfId="6" applyNumberFormat="1" applyFont="1"/>
    <xf numFmtId="170" fontId="0" fillId="0" borderId="0" xfId="6" applyNumberFormat="1" applyFont="1"/>
    <xf numFmtId="171" fontId="0" fillId="0" borderId="0" xfId="0" applyNumberFormat="1"/>
    <xf numFmtId="2" fontId="0" fillId="0" borderId="0" xfId="0" applyNumberFormat="1"/>
    <xf numFmtId="17" fontId="8" fillId="6" borderId="0" xfId="0" applyNumberFormat="1" applyFont="1" applyFill="1" applyAlignment="1">
      <alignment horizontal="right"/>
    </xf>
    <xf numFmtId="172" fontId="0" fillId="0" borderId="0" xfId="0" applyNumberFormat="1"/>
    <xf numFmtId="173" fontId="0" fillId="0" borderId="0" xfId="0" applyNumberFormat="1"/>
    <xf numFmtId="4" fontId="0" fillId="0" borderId="0" xfId="0" applyNumberFormat="1"/>
    <xf numFmtId="43" fontId="4" fillId="0" borderId="0" xfId="2" applyNumberFormat="1" applyBorder="1" applyAlignment="1" applyProtection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7" borderId="0" xfId="0" applyFont="1" applyFill="1"/>
    <xf numFmtId="0" fontId="5" fillId="7" borderId="0" xfId="0" applyFont="1" applyFill="1" applyAlignment="1">
      <alignment horizontal="right"/>
    </xf>
    <xf numFmtId="0" fontId="0" fillId="8" borderId="0" xfId="0" applyFill="1"/>
    <xf numFmtId="173" fontId="0" fillId="8" borderId="0" xfId="0" applyNumberFormat="1" applyFill="1"/>
    <xf numFmtId="4" fontId="0" fillId="8" borderId="0" xfId="0" applyNumberFormat="1" applyFill="1"/>
    <xf numFmtId="167" fontId="0" fillId="8" borderId="0" xfId="6" applyNumberFormat="1" applyFont="1" applyFill="1"/>
    <xf numFmtId="0" fontId="10" fillId="6" borderId="0" xfId="0" applyFont="1" applyFill="1" applyAlignment="1">
      <alignment horizontal="center" vertical="center"/>
    </xf>
    <xf numFmtId="0" fontId="0" fillId="0" borderId="2" xfId="0" applyBorder="1"/>
    <xf numFmtId="10" fontId="0" fillId="0" borderId="2" xfId="6" applyNumberFormat="1" applyFont="1" applyBorder="1"/>
    <xf numFmtId="0" fontId="0" fillId="0" borderId="0" xfId="0" applyBorder="1"/>
    <xf numFmtId="0" fontId="0" fillId="0" borderId="3" xfId="0" applyBorder="1"/>
    <xf numFmtId="10" fontId="0" fillId="0" borderId="3" xfId="6" applyNumberFormat="1" applyFont="1" applyBorder="1"/>
    <xf numFmtId="169" fontId="0" fillId="0" borderId="3" xfId="0" applyNumberFormat="1" applyBorder="1"/>
    <xf numFmtId="169" fontId="0" fillId="0" borderId="2" xfId="0" applyNumberFormat="1" applyBorder="1"/>
    <xf numFmtId="169" fontId="0" fillId="0" borderId="0" xfId="0" applyNumberFormat="1" applyBorder="1"/>
    <xf numFmtId="1" fontId="0" fillId="0" borderId="2" xfId="0" applyNumberFormat="1" applyBorder="1"/>
    <xf numFmtId="1" fontId="0" fillId="0" borderId="0" xfId="0" applyNumberFormat="1" applyBorder="1"/>
    <xf numFmtId="1" fontId="0" fillId="0" borderId="3" xfId="0" applyNumberFormat="1" applyBorder="1"/>
    <xf numFmtId="17" fontId="5" fillId="7" borderId="0" xfId="0" applyNumberFormat="1" applyFont="1" applyFill="1"/>
    <xf numFmtId="3" fontId="11" fillId="0" borderId="0" xfId="0" applyNumberFormat="1" applyFont="1"/>
    <xf numFmtId="0" fontId="11" fillId="0" borderId="0" xfId="0" applyFont="1"/>
    <xf numFmtId="0" fontId="10" fillId="6" borderId="0" xfId="0" applyFont="1" applyFill="1" applyAlignment="1">
      <alignment horizontal="center"/>
    </xf>
    <xf numFmtId="0" fontId="1" fillId="9" borderId="0" xfId="0" applyFont="1" applyFill="1"/>
    <xf numFmtId="0" fontId="0" fillId="9" borderId="0" xfId="0" applyFill="1"/>
    <xf numFmtId="0" fontId="1" fillId="0" borderId="1" xfId="0" applyFont="1" applyBorder="1"/>
    <xf numFmtId="168" fontId="1" fillId="0" borderId="1" xfId="0" applyNumberFormat="1" applyFont="1" applyBorder="1"/>
    <xf numFmtId="166" fontId="1" fillId="0" borderId="1" xfId="0" applyNumberFormat="1" applyFont="1" applyBorder="1"/>
    <xf numFmtId="43" fontId="1" fillId="0" borderId="4" xfId="1" applyFont="1" applyBorder="1"/>
    <xf numFmtId="0" fontId="0" fillId="0" borderId="4" xfId="0" applyBorder="1"/>
    <xf numFmtId="166" fontId="1" fillId="0" borderId="4" xfId="0" applyNumberFormat="1" applyFont="1" applyBorder="1"/>
    <xf numFmtId="43" fontId="1" fillId="0" borderId="1" xfId="1" applyFont="1" applyBorder="1"/>
    <xf numFmtId="0" fontId="0" fillId="0" borderId="1" xfId="0" applyBorder="1"/>
    <xf numFmtId="0" fontId="1" fillId="0" borderId="4" xfId="0" applyFont="1" applyBorder="1"/>
    <xf numFmtId="43" fontId="2" fillId="10" borderId="0" xfId="5" applyNumberFormat="1" applyFont="1" applyFill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="120" zoomScaleNormal="120" zoomScaleSheetLayoutView="100" zoomScalePageLayoutView="120" workbookViewId="0">
      <pane xSplit="1" ySplit="4" topLeftCell="B5" activePane="bottomRight" state="frozen"/>
      <selection activeCell="I2" sqref="I2"/>
      <selection pane="topRight" activeCell="I2" sqref="I2"/>
      <selection pane="bottomLeft" activeCell="I2" sqref="I2"/>
      <selection pane="bottomRight" activeCell="A20" sqref="A20"/>
    </sheetView>
  </sheetViews>
  <sheetFormatPr defaultColWidth="8.77734375" defaultRowHeight="14.4" x14ac:dyDescent="0.3"/>
  <cols>
    <col min="1" max="1" width="29.88671875" bestFit="1" customWidth="1"/>
    <col min="2" max="6" width="13.44140625" customWidth="1"/>
    <col min="7" max="7" width="14.77734375" bestFit="1" customWidth="1"/>
    <col min="8" max="11" width="13.44140625" customWidth="1"/>
    <col min="12" max="12" width="13.33203125" customWidth="1"/>
    <col min="13" max="14" width="12.109375" customWidth="1"/>
  </cols>
  <sheetData>
    <row r="1" spans="1:14" s="2" customFormat="1" x14ac:dyDescent="0.3">
      <c r="A1" s="2" t="str">
        <f>'Data Sheet'!B1</f>
        <v>MAX HEALTHCARE INSTITUTE LTD</v>
      </c>
      <c r="H1" t="str">
        <f>UPDATE</f>
        <v/>
      </c>
      <c r="J1" s="3"/>
      <c r="K1" s="3"/>
    </row>
    <row r="3" spans="1:14" s="2" customFormat="1" x14ac:dyDescent="0.3">
      <c r="A3" s="11" t="s">
        <v>1</v>
      </c>
      <c r="B3" s="12">
        <f>'Data Sheet'!B16</f>
        <v>42094</v>
      </c>
      <c r="C3" s="12">
        <f>'Data Sheet'!C16</f>
        <v>42825</v>
      </c>
      <c r="D3" s="12">
        <f>'Data Sheet'!D16</f>
        <v>43190</v>
      </c>
      <c r="E3" s="12">
        <f>'Data Sheet'!E16</f>
        <v>43555</v>
      </c>
      <c r="F3" s="12">
        <f>'Data Sheet'!F16</f>
        <v>43921</v>
      </c>
      <c r="G3" s="12">
        <f>'Data Sheet'!G16</f>
        <v>44286</v>
      </c>
      <c r="H3" s="12">
        <f>'Data Sheet'!H16</f>
        <v>44651</v>
      </c>
      <c r="I3" s="12">
        <f>'Data Sheet'!I16</f>
        <v>45016</v>
      </c>
      <c r="J3" s="12">
        <f>'Data Sheet'!J16</f>
        <v>45382</v>
      </c>
      <c r="K3" s="12">
        <f>'Data Sheet'!K16</f>
        <v>45747</v>
      </c>
      <c r="L3" s="13" t="s">
        <v>2</v>
      </c>
      <c r="M3" s="13" t="s">
        <v>3</v>
      </c>
      <c r="N3" s="13" t="s">
        <v>4</v>
      </c>
    </row>
    <row r="4" spans="1:14" s="2" customFormat="1" x14ac:dyDescent="0.3">
      <c r="A4" s="2" t="s">
        <v>5</v>
      </c>
      <c r="B4" s="1">
        <f>'Data Sheet'!B17</f>
        <v>0</v>
      </c>
      <c r="C4" s="1">
        <f>'Data Sheet'!C17</f>
        <v>1608.26</v>
      </c>
      <c r="D4" s="1">
        <f>'Data Sheet'!D17</f>
        <v>1729.13</v>
      </c>
      <c r="E4" s="1">
        <f>'Data Sheet'!E17</f>
        <v>1691.02</v>
      </c>
      <c r="F4" s="1">
        <f>'Data Sheet'!F17</f>
        <v>1884.46</v>
      </c>
      <c r="G4" s="1">
        <f>'Data Sheet'!G17</f>
        <v>2507.9699999999998</v>
      </c>
      <c r="H4" s="1">
        <f>'Data Sheet'!H17</f>
        <v>3936.55</v>
      </c>
      <c r="I4" s="1">
        <f>'Data Sheet'!I17</f>
        <v>4562.6000000000004</v>
      </c>
      <c r="J4" s="1">
        <f>'Data Sheet'!J17</f>
        <v>5406.02</v>
      </c>
      <c r="K4" s="1">
        <f>'Data Sheet'!K17</f>
        <v>7028.46</v>
      </c>
      <c r="L4" s="1">
        <f>SUM(Quarters!H4:K4)</f>
        <v>7028.4599999999991</v>
      </c>
      <c r="M4" s="1">
        <f>$K4+M23*K4</f>
        <v>9137.8222743534061</v>
      </c>
      <c r="N4" s="1">
        <f>$K4+N23*L4</f>
        <v>8526.582125148765</v>
      </c>
    </row>
    <row r="5" spans="1:14" x14ac:dyDescent="0.3">
      <c r="A5" t="s">
        <v>6</v>
      </c>
      <c r="B5" s="6">
        <f>SUM('Data Sheet'!B18,'Data Sheet'!B20:B24, -1*'Data Sheet'!B19)</f>
        <v>0</v>
      </c>
      <c r="C5" s="6">
        <f>SUM('Data Sheet'!C18,'Data Sheet'!C20:C24, -1*'Data Sheet'!C19)</f>
        <v>1467.3400000000001</v>
      </c>
      <c r="D5" s="6">
        <f>SUM('Data Sheet'!D18,'Data Sheet'!D20:D24, -1*'Data Sheet'!D19)</f>
        <v>1615.73</v>
      </c>
      <c r="E5" s="6">
        <f>SUM('Data Sheet'!E18,'Data Sheet'!E20:E24, -1*'Data Sheet'!E19)</f>
        <v>1534.96</v>
      </c>
      <c r="F5" s="6">
        <f>SUM('Data Sheet'!F18,'Data Sheet'!F20:F24, -1*'Data Sheet'!F19)</f>
        <v>1595.16</v>
      </c>
      <c r="G5" s="6">
        <f>SUM('Data Sheet'!G18,'Data Sheet'!G20:G24, -1*'Data Sheet'!G19)</f>
        <v>2100.5699999999997</v>
      </c>
      <c r="H5" s="6">
        <f>SUM('Data Sheet'!H18,'Data Sheet'!H20:H24, -1*'Data Sheet'!H19)</f>
        <v>2985.8399999999997</v>
      </c>
      <c r="I5" s="6">
        <f>SUM('Data Sheet'!I18,'Data Sheet'!I20:I24, -1*'Data Sheet'!I19)</f>
        <v>3322.0699999999997</v>
      </c>
      <c r="J5" s="6">
        <f>SUM('Data Sheet'!J18,'Data Sheet'!J20:J24, -1*'Data Sheet'!J19)</f>
        <v>3913.8999999999996</v>
      </c>
      <c r="K5" s="6">
        <f>SUM('Data Sheet'!K18,'Data Sheet'!K20:K24, -1*'Data Sheet'!K19)</f>
        <v>5179.6600000000008</v>
      </c>
      <c r="L5" s="6">
        <f>SUM(Quarters!H5:K5)</f>
        <v>5179.76</v>
      </c>
      <c r="M5" s="6">
        <f t="shared" ref="M5:N5" si="0">M4-M6</f>
        <v>6674.7829841437688</v>
      </c>
      <c r="N5" s="6">
        <f t="shared" si="0"/>
        <v>6661.6170933569829</v>
      </c>
    </row>
    <row r="6" spans="1:14" s="2" customFormat="1" x14ac:dyDescent="0.3">
      <c r="A6" s="2" t="s">
        <v>7</v>
      </c>
      <c r="B6" s="1">
        <f>B4-B5</f>
        <v>0</v>
      </c>
      <c r="C6" s="1">
        <f t="shared" ref="C6:K6" si="1">C4-C5</f>
        <v>140.91999999999985</v>
      </c>
      <c r="D6" s="1">
        <f t="shared" si="1"/>
        <v>113.40000000000009</v>
      </c>
      <c r="E6" s="1">
        <f t="shared" si="1"/>
        <v>156.05999999999995</v>
      </c>
      <c r="F6" s="1">
        <f t="shared" si="1"/>
        <v>289.29999999999995</v>
      </c>
      <c r="G6" s="1">
        <f t="shared" si="1"/>
        <v>407.40000000000009</v>
      </c>
      <c r="H6" s="1">
        <f t="shared" si="1"/>
        <v>950.71000000000049</v>
      </c>
      <c r="I6" s="1">
        <f t="shared" si="1"/>
        <v>1240.5300000000007</v>
      </c>
      <c r="J6" s="1">
        <f t="shared" si="1"/>
        <v>1492.1200000000008</v>
      </c>
      <c r="K6" s="1">
        <f t="shared" si="1"/>
        <v>1848.7999999999993</v>
      </c>
      <c r="L6" s="1">
        <f>SUM(Quarters!H6:K6)</f>
        <v>1848.6999999999998</v>
      </c>
      <c r="M6" s="1">
        <f>M4*M24</f>
        <v>2463.0392902096373</v>
      </c>
      <c r="N6" s="1">
        <f>N4*N24</f>
        <v>1864.9650317917824</v>
      </c>
    </row>
    <row r="7" spans="1:14" x14ac:dyDescent="0.3">
      <c r="A7" t="s">
        <v>8</v>
      </c>
      <c r="B7" s="6">
        <f>'Data Sheet'!B25</f>
        <v>0</v>
      </c>
      <c r="C7" s="6">
        <f>'Data Sheet'!C25</f>
        <v>58.97</v>
      </c>
      <c r="D7" s="6">
        <f>'Data Sheet'!D25</f>
        <v>65.19</v>
      </c>
      <c r="E7" s="6">
        <f>'Data Sheet'!E25</f>
        <v>56.17</v>
      </c>
      <c r="F7" s="6">
        <f>'Data Sheet'!F25</f>
        <v>72.180000000000007</v>
      </c>
      <c r="G7" s="6">
        <f>'Data Sheet'!G25</f>
        <v>-122.5</v>
      </c>
      <c r="H7" s="6">
        <f>'Data Sheet'!H25</f>
        <v>110.18</v>
      </c>
      <c r="I7" s="6">
        <f>'Data Sheet'!I25</f>
        <v>139.24</v>
      </c>
      <c r="J7" s="6">
        <f>'Data Sheet'!J25</f>
        <v>178.07</v>
      </c>
      <c r="K7" s="6">
        <f>'Data Sheet'!K25</f>
        <v>82.01</v>
      </c>
      <c r="L7" s="6">
        <f>SUM(Quarters!H7:K7)</f>
        <v>82.110000000000014</v>
      </c>
      <c r="M7" s="6">
        <v>0</v>
      </c>
      <c r="N7" s="6">
        <v>0</v>
      </c>
    </row>
    <row r="8" spans="1:14" x14ac:dyDescent="0.3">
      <c r="A8" t="s">
        <v>9</v>
      </c>
      <c r="B8" s="6">
        <f>'Data Sheet'!B26</f>
        <v>0</v>
      </c>
      <c r="C8" s="6">
        <f>'Data Sheet'!C26</f>
        <v>95.51</v>
      </c>
      <c r="D8" s="6">
        <f>'Data Sheet'!D26</f>
        <v>94.42</v>
      </c>
      <c r="E8" s="6">
        <f>'Data Sheet'!E26</f>
        <v>102.64</v>
      </c>
      <c r="F8" s="6">
        <f>'Data Sheet'!F26</f>
        <v>119.74</v>
      </c>
      <c r="G8" s="6">
        <f>'Data Sheet'!G26</f>
        <v>174.09</v>
      </c>
      <c r="H8" s="6">
        <f>'Data Sheet'!H26</f>
        <v>221.12</v>
      </c>
      <c r="I8" s="6">
        <f>'Data Sheet'!I26</f>
        <v>232.19</v>
      </c>
      <c r="J8" s="6">
        <f>'Data Sheet'!J26</f>
        <v>244.98</v>
      </c>
      <c r="K8" s="6">
        <f>'Data Sheet'!K26</f>
        <v>359.42</v>
      </c>
      <c r="L8" s="6">
        <f>SUM(Quarters!H8:K8)</f>
        <v>359.42</v>
      </c>
      <c r="M8" s="6">
        <f>+$L8</f>
        <v>359.42</v>
      </c>
      <c r="N8" s="6">
        <f>+$L8</f>
        <v>359.42</v>
      </c>
    </row>
    <row r="9" spans="1:14" x14ac:dyDescent="0.3">
      <c r="A9" t="s">
        <v>10</v>
      </c>
      <c r="B9" s="6">
        <f>'Data Sheet'!B27</f>
        <v>0</v>
      </c>
      <c r="C9" s="6">
        <f>'Data Sheet'!C27</f>
        <v>99.68</v>
      </c>
      <c r="D9" s="6">
        <f>'Data Sheet'!D27</f>
        <v>99.37</v>
      </c>
      <c r="E9" s="6">
        <f>'Data Sheet'!E27</f>
        <v>101.27</v>
      </c>
      <c r="F9" s="6">
        <f>'Data Sheet'!F27</f>
        <v>152.66</v>
      </c>
      <c r="G9" s="6">
        <f>'Data Sheet'!G27</f>
        <v>179.46</v>
      </c>
      <c r="H9" s="6">
        <f>'Data Sheet'!H27</f>
        <v>100.87</v>
      </c>
      <c r="I9" s="6">
        <f>'Data Sheet'!I27</f>
        <v>83.86</v>
      </c>
      <c r="J9" s="6">
        <f>'Data Sheet'!J27</f>
        <v>59.89</v>
      </c>
      <c r="K9" s="6">
        <f>'Data Sheet'!K27</f>
        <v>165.02</v>
      </c>
      <c r="L9" s="6">
        <f>SUM(Quarters!H9:K9)</f>
        <v>165.02</v>
      </c>
      <c r="M9" s="6">
        <f>+$L9</f>
        <v>165.02</v>
      </c>
      <c r="N9" s="6">
        <f>+$L9</f>
        <v>165.02</v>
      </c>
    </row>
    <row r="10" spans="1:14" x14ac:dyDescent="0.3">
      <c r="A10" t="s">
        <v>11</v>
      </c>
      <c r="B10" s="6">
        <f>'Data Sheet'!B28</f>
        <v>0</v>
      </c>
      <c r="C10" s="6">
        <f>'Data Sheet'!C28</f>
        <v>4.7</v>
      </c>
      <c r="D10" s="6">
        <f>'Data Sheet'!D28</f>
        <v>-15.2</v>
      </c>
      <c r="E10" s="6">
        <f>'Data Sheet'!E28</f>
        <v>8.32</v>
      </c>
      <c r="F10" s="6">
        <f>'Data Sheet'!F28</f>
        <v>89.08</v>
      </c>
      <c r="G10" s="6">
        <f>'Data Sheet'!G28</f>
        <v>-68.650000000000006</v>
      </c>
      <c r="H10" s="6">
        <f>'Data Sheet'!H28</f>
        <v>738.9</v>
      </c>
      <c r="I10" s="6">
        <f>'Data Sheet'!I28</f>
        <v>1063.72</v>
      </c>
      <c r="J10" s="6">
        <f>'Data Sheet'!J28</f>
        <v>1365.32</v>
      </c>
      <c r="K10" s="6">
        <f>'Data Sheet'!K28</f>
        <v>1406.37</v>
      </c>
      <c r="L10" s="6">
        <f>SUM(Quarters!H10:K10)</f>
        <v>1406.37</v>
      </c>
      <c r="M10" s="6">
        <f>M6+M7-SUM(M8:M9)</f>
        <v>1938.5992902096373</v>
      </c>
      <c r="N10" s="6">
        <f>N6+N7-SUM(N8:N9)</f>
        <v>1340.5250317917823</v>
      </c>
    </row>
    <row r="11" spans="1:14" x14ac:dyDescent="0.3">
      <c r="A11" t="s">
        <v>12</v>
      </c>
      <c r="B11" s="6">
        <f>'Data Sheet'!B29</f>
        <v>0</v>
      </c>
      <c r="C11" s="6">
        <f>'Data Sheet'!C29</f>
        <v>-11.09</v>
      </c>
      <c r="D11" s="6">
        <f>'Data Sheet'!D29</f>
        <v>9.9499999999999993</v>
      </c>
      <c r="E11" s="6">
        <f>'Data Sheet'!E29</f>
        <v>8.51</v>
      </c>
      <c r="F11" s="6">
        <f>'Data Sheet'!F29</f>
        <v>-6.26</v>
      </c>
      <c r="G11" s="6">
        <f>'Data Sheet'!G29</f>
        <v>45.85</v>
      </c>
      <c r="H11" s="6">
        <f>'Data Sheet'!H29</f>
        <v>133.85</v>
      </c>
      <c r="I11" s="6">
        <f>'Data Sheet'!I29</f>
        <v>-39.79</v>
      </c>
      <c r="J11" s="6">
        <f>'Data Sheet'!J29</f>
        <v>307.68</v>
      </c>
      <c r="K11" s="6">
        <f>'Data Sheet'!K29</f>
        <v>330.49</v>
      </c>
      <c r="L11" s="6">
        <f>SUM(Quarters!H11:K11)</f>
        <v>330.49</v>
      </c>
      <c r="M11" s="7">
        <f>IF($L10&gt;0,$L11/$L10,0)</f>
        <v>0.23499505819947811</v>
      </c>
      <c r="N11" s="7">
        <f>IF($L10&gt;0,$L11/$L10,0)</f>
        <v>0.23499505819947811</v>
      </c>
    </row>
    <row r="12" spans="1:14" s="2" customFormat="1" x14ac:dyDescent="0.3">
      <c r="A12" s="2" t="s">
        <v>13</v>
      </c>
      <c r="B12" s="1">
        <f>'Data Sheet'!B30</f>
        <v>0</v>
      </c>
      <c r="C12" s="1">
        <f>'Data Sheet'!C30</f>
        <v>15.79</v>
      </c>
      <c r="D12" s="1">
        <f>'Data Sheet'!D30</f>
        <v>-25.15</v>
      </c>
      <c r="E12" s="1">
        <f>'Data Sheet'!E30</f>
        <v>-3.01</v>
      </c>
      <c r="F12" s="1">
        <f>'Data Sheet'!F30</f>
        <v>95.34</v>
      </c>
      <c r="G12" s="1">
        <f>'Data Sheet'!G30</f>
        <v>-137.55000000000001</v>
      </c>
      <c r="H12" s="1">
        <f>'Data Sheet'!H30</f>
        <v>605.04999999999995</v>
      </c>
      <c r="I12" s="1">
        <f>'Data Sheet'!I30</f>
        <v>1103.51</v>
      </c>
      <c r="J12" s="1">
        <f>'Data Sheet'!J30</f>
        <v>1057.6400000000001</v>
      </c>
      <c r="K12" s="1">
        <f>'Data Sheet'!K30</f>
        <v>1075.8800000000001</v>
      </c>
      <c r="L12" s="1">
        <f>SUM(Quarters!H12:K12)</f>
        <v>1075.8800000000001</v>
      </c>
      <c r="M12" s="1">
        <f>M10-M11*M10</f>
        <v>1483.0380371813567</v>
      </c>
      <c r="N12" s="1">
        <f>N10-N11*N10</f>
        <v>1025.5082739280151</v>
      </c>
    </row>
    <row r="13" spans="1:14" x14ac:dyDescent="0.3">
      <c r="A13" t="s">
        <v>46</v>
      </c>
      <c r="B13" s="6">
        <f>IF('Data Sheet'!B93&gt;0,B12/'Data Sheet'!B93,0)</f>
        <v>0</v>
      </c>
      <c r="C13" s="6">
        <f>IF('Data Sheet'!C93&gt;0,C12/'Data Sheet'!C93,0)</f>
        <v>0.29393149664929263</v>
      </c>
      <c r="D13" s="6">
        <f>IF('Data Sheet'!D93&gt;0,D12/'Data Sheet'!D93,0)</f>
        <v>-0.46816827997021593</v>
      </c>
      <c r="E13" s="6">
        <f>IF('Data Sheet'!E93&gt;0,E12/'Data Sheet'!E93,0)</f>
        <v>-5.6031273268801189E-2</v>
      </c>
      <c r="F13" s="6">
        <f>IF('Data Sheet'!F93&gt;0,F12/'Data Sheet'!F93,0)</f>
        <v>1.7747580044676099</v>
      </c>
      <c r="G13" s="6">
        <f>IF('Data Sheet'!G93&gt;0,G12/'Data Sheet'!G93,0)</f>
        <v>-1.4240604617455224</v>
      </c>
      <c r="H13" s="6">
        <f>IF('Data Sheet'!H93&gt;0,H12/'Data Sheet'!H93,0)</f>
        <v>6.2402021452145213</v>
      </c>
      <c r="I13" s="6">
        <f>IF('Data Sheet'!I93&gt;0,I12/'Data Sheet'!I93,0)</f>
        <v>11.365846122154702</v>
      </c>
      <c r="J13" s="6">
        <f>IF('Data Sheet'!J93&gt;0,J12/'Data Sheet'!J93,0)</f>
        <v>10.882189525671366</v>
      </c>
      <c r="K13" s="6">
        <f>IF('Data Sheet'!K93&gt;0,K12/'Data Sheet'!K93,0)</f>
        <v>11.067585639337519</v>
      </c>
      <c r="L13" s="6">
        <f>IF('Data Sheet'!$B6&gt;0,'Profit &amp; Loss'!L12/'Data Sheet'!$B6,0)</f>
        <v>11.067052782603016</v>
      </c>
      <c r="M13" s="6">
        <f>IF('Data Sheet'!$B6&gt;0,'Profit &amp; Loss'!M12/'Data Sheet'!$B6,0)</f>
        <v>15.255288913349116</v>
      </c>
      <c r="N13" s="6">
        <f>IF('Data Sheet'!$B6&gt;0,'Profit &amp; Loss'!N12/'Data Sheet'!$B6,0)</f>
        <v>10.548903406102404</v>
      </c>
    </row>
    <row r="14" spans="1:14" x14ac:dyDescent="0.3">
      <c r="A14" t="s">
        <v>15</v>
      </c>
      <c r="B14" s="6" t="str">
        <f>IF(B15&gt;0,B15/B13,"")</f>
        <v/>
      </c>
      <c r="C14" s="6" t="str">
        <f t="shared" ref="C14:K14" si="2">IF(C15&gt;0,C15/C13,"")</f>
        <v/>
      </c>
      <c r="D14" s="6" t="str">
        <f t="shared" si="2"/>
        <v/>
      </c>
      <c r="E14" s="6" t="str">
        <f t="shared" si="2"/>
        <v/>
      </c>
      <c r="F14" s="6" t="str">
        <f t="shared" si="2"/>
        <v/>
      </c>
      <c r="G14" s="6">
        <f t="shared" si="2"/>
        <v>-144.48122500908761</v>
      </c>
      <c r="H14" s="6">
        <f t="shared" si="2"/>
        <v>55.711336253202212</v>
      </c>
      <c r="I14" s="6">
        <f t="shared" si="2"/>
        <v>38.809253201149062</v>
      </c>
      <c r="J14" s="6">
        <f t="shared" si="2"/>
        <v>75.343293559245097</v>
      </c>
      <c r="K14" s="6">
        <f t="shared" si="2"/>
        <v>99.113757575194242</v>
      </c>
      <c r="L14" s="6">
        <f t="shared" ref="L14" si="3">IF(L13&gt;0,L15/L13,0)</f>
        <v>110.85155407666282</v>
      </c>
      <c r="M14" s="6">
        <f>M25</f>
        <v>110.85155407666282</v>
      </c>
      <c r="N14" s="6">
        <f>N25</f>
        <v>75.96583893309068</v>
      </c>
    </row>
    <row r="15" spans="1:14" s="2" customFormat="1" x14ac:dyDescent="0.3">
      <c r="A15" s="2" t="s">
        <v>47</v>
      </c>
      <c r="B15" s="1">
        <f>'Data Sheet'!B90</f>
        <v>0</v>
      </c>
      <c r="C15" s="1">
        <f>'Data Sheet'!C90</f>
        <v>0</v>
      </c>
      <c r="D15" s="1">
        <f>'Data Sheet'!D90</f>
        <v>0</v>
      </c>
      <c r="E15" s="1">
        <f>'Data Sheet'!E90</f>
        <v>0</v>
      </c>
      <c r="F15" s="1">
        <f>'Data Sheet'!F90</f>
        <v>0</v>
      </c>
      <c r="G15" s="1">
        <f>'Data Sheet'!G90</f>
        <v>205.75</v>
      </c>
      <c r="H15" s="1">
        <f>'Data Sheet'!H90</f>
        <v>347.65</v>
      </c>
      <c r="I15" s="1">
        <f>'Data Sheet'!I90</f>
        <v>441.1</v>
      </c>
      <c r="J15" s="1">
        <f>'Data Sheet'!J90</f>
        <v>819.9</v>
      </c>
      <c r="K15" s="1">
        <f>'Data Sheet'!K90</f>
        <v>1096.95</v>
      </c>
      <c r="L15" s="1">
        <f>'Data Sheet'!B8</f>
        <v>1226.8</v>
      </c>
      <c r="M15" s="8">
        <f>M13*M14</f>
        <v>1691.0724839332343</v>
      </c>
      <c r="N15" s="9">
        <f>N13*N14</f>
        <v>801.35629706870691</v>
      </c>
    </row>
    <row r="17" spans="1:14" s="2" customFormat="1" x14ac:dyDescent="0.3">
      <c r="A17" s="2" t="s">
        <v>14</v>
      </c>
    </row>
    <row r="18" spans="1:14" x14ac:dyDescent="0.3">
      <c r="A18" t="s">
        <v>16</v>
      </c>
      <c r="B18" s="5">
        <f>IF('Data Sheet'!B30&gt;0, 'Data Sheet'!B31/'Data Sheet'!B30, 0)</f>
        <v>0</v>
      </c>
      <c r="C18" s="5">
        <f>IF('Data Sheet'!C30&gt;0, 'Data Sheet'!C31/'Data Sheet'!C30, 0)</f>
        <v>0</v>
      </c>
      <c r="D18" s="5">
        <f>IF('Data Sheet'!D30&gt;0, 'Data Sheet'!D31/'Data Sheet'!D30, 0)</f>
        <v>0</v>
      </c>
      <c r="E18" s="5">
        <f>IF('Data Sheet'!E30&gt;0, 'Data Sheet'!E31/'Data Sheet'!E30, 0)</f>
        <v>0</v>
      </c>
      <c r="F18" s="5">
        <f>IF('Data Sheet'!F30&gt;0, 'Data Sheet'!F31/'Data Sheet'!F30, 0)</f>
        <v>0</v>
      </c>
      <c r="G18" s="5">
        <f>IF('Data Sheet'!G30&gt;0, 'Data Sheet'!G31/'Data Sheet'!G30, 0)</f>
        <v>0</v>
      </c>
      <c r="H18" s="5">
        <f>IF('Data Sheet'!H30&gt;0, 'Data Sheet'!H31/'Data Sheet'!H30, 0)</f>
        <v>0</v>
      </c>
      <c r="I18" s="5">
        <f>IF('Data Sheet'!I30&gt;0, 'Data Sheet'!I31/'Data Sheet'!I30, 0)</f>
        <v>8.7982890957037097E-2</v>
      </c>
      <c r="J18" s="5">
        <f>IF('Data Sheet'!J30&gt;0, 'Data Sheet'!J31/'Data Sheet'!J30, 0)</f>
        <v>0.13784463522559659</v>
      </c>
      <c r="K18" s="5">
        <f>IF('Data Sheet'!K30&gt;0, 'Data Sheet'!K31/'Data Sheet'!K30, 0)</f>
        <v>0.13553556158679406</v>
      </c>
    </row>
    <row r="19" spans="1:14" x14ac:dyDescent="0.3">
      <c r="A19" t="s">
        <v>179</v>
      </c>
      <c r="B19" s="5">
        <f t="shared" ref="B19:L19" si="4">IF(B6&gt;0,B6/B4,0)</f>
        <v>0</v>
      </c>
      <c r="C19" s="5">
        <f t="shared" ref="C19:K19" si="5">IF(C6&gt;0,C6/C4,0)</f>
        <v>8.7622648079290572E-2</v>
      </c>
      <c r="D19" s="5">
        <f t="shared" si="5"/>
        <v>6.5582113548431922E-2</v>
      </c>
      <c r="E19" s="5">
        <f t="shared" si="5"/>
        <v>9.2287495121287713E-2</v>
      </c>
      <c r="F19" s="5">
        <f t="shared" si="5"/>
        <v>0.15351877991573179</v>
      </c>
      <c r="G19" s="5">
        <f t="shared" si="5"/>
        <v>0.16244213447529282</v>
      </c>
      <c r="H19" s="5">
        <f t="shared" si="5"/>
        <v>0.24150842743011022</v>
      </c>
      <c r="I19" s="5">
        <f t="shared" si="5"/>
        <v>0.27189102704598267</v>
      </c>
      <c r="J19" s="5">
        <f t="shared" si="5"/>
        <v>0.27601081757004242</v>
      </c>
      <c r="K19" s="5">
        <f t="shared" si="5"/>
        <v>0.26304482062927004</v>
      </c>
      <c r="L19" s="5">
        <f t="shared" si="4"/>
        <v>0.26303059276142998</v>
      </c>
    </row>
    <row r="20" spans="1:14" x14ac:dyDescent="0.3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3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3">
      <c r="A22" s="11"/>
      <c r="B22" s="12"/>
      <c r="C22" s="12"/>
      <c r="D22" s="12"/>
      <c r="E22" s="12"/>
      <c r="F22" s="12"/>
      <c r="G22" s="12" t="s">
        <v>18</v>
      </c>
      <c r="H22" s="12" t="s">
        <v>54</v>
      </c>
      <c r="I22" s="12" t="s">
        <v>55</v>
      </c>
      <c r="J22" s="12" t="s">
        <v>56</v>
      </c>
      <c r="K22" s="12" t="s">
        <v>57</v>
      </c>
      <c r="L22" s="13" t="s">
        <v>58</v>
      </c>
      <c r="M22" s="13" t="s">
        <v>19</v>
      </c>
      <c r="N22" s="13" t="s">
        <v>20</v>
      </c>
    </row>
    <row r="23" spans="1:14" s="2" customFormat="1" x14ac:dyDescent="0.3">
      <c r="A23"/>
      <c r="B23"/>
      <c r="C23"/>
      <c r="D23"/>
      <c r="E23"/>
      <c r="F23"/>
      <c r="G23" t="s">
        <v>21</v>
      </c>
      <c r="H23" s="5" t="str">
        <f>IF(B4=0,"",POWER($K4/B4,1/9)-1)</f>
        <v/>
      </c>
      <c r="I23" s="5">
        <f>IF(D4=0,"",POWER($K4/D4,1/7)-1)</f>
        <v>0.22181273474454177</v>
      </c>
      <c r="J23" s="5">
        <f>IF(F4=0,"",POWER($K4/F4,1/5)-1)</f>
        <v>0.30117182538578025</v>
      </c>
      <c r="K23" s="5">
        <f>IF(H4=0,"",POWER($K4/H4, 1/3)-1)</f>
        <v>0.21315083605068041</v>
      </c>
      <c r="L23" s="5">
        <f>IF(ISERROR(MAX(IF(J4=0,"",(K4-J4)/J4),IF(K4=0,"",(L4-K4)/K4))),"",MAX(IF(J4=0,"",(K4-J4)/J4),IF(K4=0,"",(L4-K4)/K4)))</f>
        <v>0.30011727666564303</v>
      </c>
      <c r="M23" s="16">
        <f>MAX(K23:L23)</f>
        <v>0.30011727666564303</v>
      </c>
      <c r="N23" s="16">
        <f>MIN(H23:L23)</f>
        <v>0.21315083605068041</v>
      </c>
    </row>
    <row r="24" spans="1:14" x14ac:dyDescent="0.3">
      <c r="G24" t="s">
        <v>17</v>
      </c>
      <c r="H24" s="5">
        <f>IF(SUM(B4:$K$4)=0,"",SUMPRODUCT(B19:$K$19,B4:$K$4)/SUM(B4:$K$4))</f>
        <v>0.21872363444329623</v>
      </c>
      <c r="I24" s="5">
        <f>IF(SUM(E4:$K$4)=0,"",SUMPRODUCT(E19:$K$19,E4:$K$4)/SUM(E4:$K$4))</f>
        <v>0.23632901853198054</v>
      </c>
      <c r="J24" s="5">
        <f>IF(SUM(G4:$K$4)=0,"",SUMPRODUCT(G19:$K$19,G4:$K$4)/SUM(G4:$K$4))</f>
        <v>0.25337690260050516</v>
      </c>
      <c r="K24" s="5">
        <f>IF(SUM(I4:$K$4)=0, "", SUMPRODUCT(I19:$K$19,I4:$K$4)/SUM(I4:$K$4))</f>
        <v>0.26954335685894287</v>
      </c>
      <c r="L24" s="5">
        <f>L19</f>
        <v>0.26303059276142998</v>
      </c>
      <c r="M24" s="16">
        <f>MAX(K24:L24)</f>
        <v>0.26954335685894287</v>
      </c>
      <c r="N24" s="16">
        <f>MIN(H24:L24)</f>
        <v>0.21872363444329623</v>
      </c>
    </row>
    <row r="25" spans="1:14" x14ac:dyDescent="0.3">
      <c r="G25" t="s">
        <v>22</v>
      </c>
      <c r="H25" s="6">
        <f>IF(ISERROR(AVERAGEIF(B14:$L14,"&gt;0")),"",AVERAGEIF(B14:$L14,"&gt;0"))</f>
        <v>75.96583893309068</v>
      </c>
      <c r="I25" s="6">
        <f>IF(ISERROR(AVERAGEIF(E14:$L14,"&gt;0")),"",AVERAGEIF(E14:$L14,"&gt;0"))</f>
        <v>75.96583893309068</v>
      </c>
      <c r="J25" s="6">
        <f>IF(ISERROR(AVERAGEIF(G14:$L14,"&gt;0")),"",AVERAGEIF(G14:$L14,"&gt;0"))</f>
        <v>75.96583893309068</v>
      </c>
      <c r="K25" s="6">
        <f>IF(ISERROR(AVERAGEIF(I14:$L14,"&gt;0")),"",AVERAGEIF(I14:$L14,"&gt;0"))</f>
        <v>81.029464603062806</v>
      </c>
      <c r="L25" s="6">
        <f>L14</f>
        <v>110.85155407666282</v>
      </c>
      <c r="M25" s="1">
        <f>MAX(K25:L25)</f>
        <v>110.85155407666282</v>
      </c>
      <c r="N25" s="1">
        <f>MIN(H25:L25)</f>
        <v>75.96583893309068</v>
      </c>
    </row>
  </sheetData>
  <printOptions gridLines="1"/>
  <pageMargins left="0.7" right="0.7" top="0.75" bottom="0.75" header="0.3" footer="0.3"/>
  <pageSetup paperSize="9" orientation="landscape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I4" activePane="bottomRight" state="frozen"/>
      <selection pane="topRight" activeCell="B1" sqref="B1"/>
      <selection pane="bottomLeft" activeCell="A4" sqref="A4"/>
      <selection pane="bottomRight" activeCell="J1" sqref="J1"/>
    </sheetView>
  </sheetViews>
  <sheetFormatPr defaultColWidth="8.77734375" defaultRowHeight="14.4" x14ac:dyDescent="0.3"/>
  <cols>
    <col min="1" max="1" width="30.21875" bestFit="1" customWidth="1"/>
    <col min="2" max="11" width="13.44140625" bestFit="1" customWidth="1"/>
  </cols>
  <sheetData>
    <row r="1" spans="1:11" s="2" customFormat="1" x14ac:dyDescent="0.3">
      <c r="A1" s="2" t="str">
        <f>'Profit &amp; Loss'!A1</f>
        <v>MAX HEALTHCARE INSTITUTE LTD</v>
      </c>
      <c r="E1" t="str">
        <f>UPDATE</f>
        <v/>
      </c>
    </row>
    <row r="3" spans="1:11" s="2" customFormat="1" x14ac:dyDescent="0.3">
      <c r="A3" s="11" t="s">
        <v>1</v>
      </c>
      <c r="B3" s="12">
        <f>'Data Sheet'!B41</f>
        <v>44926</v>
      </c>
      <c r="C3" s="12">
        <f>'Data Sheet'!C41</f>
        <v>45016</v>
      </c>
      <c r="D3" s="12">
        <f>'Data Sheet'!D41</f>
        <v>45107</v>
      </c>
      <c r="E3" s="12">
        <f>'Data Sheet'!E41</f>
        <v>45199</v>
      </c>
      <c r="F3" s="12">
        <f>'Data Sheet'!F41</f>
        <v>45291</v>
      </c>
      <c r="G3" s="12">
        <f>'Data Sheet'!G41</f>
        <v>45382</v>
      </c>
      <c r="H3" s="12">
        <f>'Data Sheet'!H41</f>
        <v>45473</v>
      </c>
      <c r="I3" s="12">
        <f>'Data Sheet'!I41</f>
        <v>45565</v>
      </c>
      <c r="J3" s="12">
        <f>'Data Sheet'!J41</f>
        <v>45657</v>
      </c>
      <c r="K3" s="12">
        <f>'Data Sheet'!K41</f>
        <v>45747</v>
      </c>
    </row>
    <row r="4" spans="1:11" s="2" customFormat="1" x14ac:dyDescent="0.3">
      <c r="A4" s="2" t="s">
        <v>5</v>
      </c>
      <c r="B4" s="1">
        <f>'Data Sheet'!B42</f>
        <v>1141.78</v>
      </c>
      <c r="C4" s="1">
        <f>'Data Sheet'!C42</f>
        <v>1214.51</v>
      </c>
      <c r="D4" s="1">
        <f>'Data Sheet'!D42</f>
        <v>1284.99</v>
      </c>
      <c r="E4" s="1">
        <f>'Data Sheet'!E42</f>
        <v>1363.16</v>
      </c>
      <c r="F4" s="1">
        <f>'Data Sheet'!F42</f>
        <v>1334.97</v>
      </c>
      <c r="G4" s="1">
        <f>'Data Sheet'!G42</f>
        <v>1422.9</v>
      </c>
      <c r="H4" s="1">
        <f>'Data Sheet'!H42</f>
        <v>1542.95</v>
      </c>
      <c r="I4" s="1">
        <f>'Data Sheet'!I42</f>
        <v>1707.46</v>
      </c>
      <c r="J4" s="1">
        <f>'Data Sheet'!J42</f>
        <v>1868.31</v>
      </c>
      <c r="K4" s="1">
        <f>'Data Sheet'!K42</f>
        <v>1909.74</v>
      </c>
    </row>
    <row r="5" spans="1:11" x14ac:dyDescent="0.3">
      <c r="A5" t="s">
        <v>6</v>
      </c>
      <c r="B5" s="6">
        <f>'Data Sheet'!B43</f>
        <v>827.79</v>
      </c>
      <c r="C5" s="6">
        <f>'Data Sheet'!C43</f>
        <v>874.17</v>
      </c>
      <c r="D5" s="6">
        <f>'Data Sheet'!D43</f>
        <v>947.61</v>
      </c>
      <c r="E5" s="6">
        <f>'Data Sheet'!E43</f>
        <v>975.81</v>
      </c>
      <c r="F5" s="6">
        <f>'Data Sheet'!F43</f>
        <v>949.11</v>
      </c>
      <c r="G5" s="6">
        <f>'Data Sheet'!G43</f>
        <v>1041.3699999999999</v>
      </c>
      <c r="H5" s="6">
        <f>'Data Sheet'!H43</f>
        <v>1155.54</v>
      </c>
      <c r="I5" s="6">
        <f>'Data Sheet'!I43</f>
        <v>1256.92</v>
      </c>
      <c r="J5" s="6">
        <f>'Data Sheet'!J43</f>
        <v>1369.18</v>
      </c>
      <c r="K5" s="6">
        <f>'Data Sheet'!K43</f>
        <v>1398.12</v>
      </c>
    </row>
    <row r="6" spans="1:11" s="2" customFormat="1" x14ac:dyDescent="0.3">
      <c r="A6" s="2" t="s">
        <v>7</v>
      </c>
      <c r="B6" s="1">
        <f>'Data Sheet'!B50</f>
        <v>313.99</v>
      </c>
      <c r="C6" s="1">
        <f>'Data Sheet'!C50</f>
        <v>340.34</v>
      </c>
      <c r="D6" s="1">
        <f>'Data Sheet'!D50</f>
        <v>337.38</v>
      </c>
      <c r="E6" s="1">
        <f>'Data Sheet'!E50</f>
        <v>387.35</v>
      </c>
      <c r="F6" s="1">
        <f>'Data Sheet'!F50</f>
        <v>385.86</v>
      </c>
      <c r="G6" s="1">
        <f>'Data Sheet'!G50</f>
        <v>381.53</v>
      </c>
      <c r="H6" s="1">
        <f>'Data Sheet'!H50</f>
        <v>387.41</v>
      </c>
      <c r="I6" s="1">
        <f>'Data Sheet'!I50</f>
        <v>450.54</v>
      </c>
      <c r="J6" s="1">
        <f>'Data Sheet'!J50</f>
        <v>499.13</v>
      </c>
      <c r="K6" s="1">
        <f>'Data Sheet'!K50</f>
        <v>511.62</v>
      </c>
    </row>
    <row r="7" spans="1:11" x14ac:dyDescent="0.3">
      <c r="A7" t="s">
        <v>8</v>
      </c>
      <c r="B7" s="6">
        <f>'Data Sheet'!B44</f>
        <v>44.61</v>
      </c>
      <c r="C7" s="6">
        <f>'Data Sheet'!C44</f>
        <v>40.22</v>
      </c>
      <c r="D7" s="6">
        <f>'Data Sheet'!D44</f>
        <v>41.32</v>
      </c>
      <c r="E7" s="6">
        <f>'Data Sheet'!E44</f>
        <v>45.48</v>
      </c>
      <c r="F7" s="6">
        <f>'Data Sheet'!F44</f>
        <v>46.02</v>
      </c>
      <c r="G7" s="6">
        <f>'Data Sheet'!G44</f>
        <v>45.25</v>
      </c>
      <c r="H7" s="6">
        <f>'Data Sheet'!H44</f>
        <v>34.68</v>
      </c>
      <c r="I7" s="6">
        <f>'Data Sheet'!I44</f>
        <v>40.840000000000003</v>
      </c>
      <c r="J7" s="6">
        <f>'Data Sheet'!J44</f>
        <v>-40.33</v>
      </c>
      <c r="K7" s="6">
        <f>'Data Sheet'!K44</f>
        <v>46.92</v>
      </c>
    </row>
    <row r="8" spans="1:11" x14ac:dyDescent="0.3">
      <c r="A8" t="s">
        <v>9</v>
      </c>
      <c r="B8" s="6">
        <f>'Data Sheet'!B45</f>
        <v>57.03</v>
      </c>
      <c r="C8" s="6">
        <f>'Data Sheet'!C45</f>
        <v>60.35</v>
      </c>
      <c r="D8" s="6">
        <f>'Data Sheet'!D45</f>
        <v>55.82</v>
      </c>
      <c r="E8" s="6">
        <f>'Data Sheet'!E45</f>
        <v>57.88</v>
      </c>
      <c r="F8" s="6">
        <f>'Data Sheet'!F45</f>
        <v>60.96</v>
      </c>
      <c r="G8" s="6">
        <f>'Data Sheet'!G45</f>
        <v>70.319999999999993</v>
      </c>
      <c r="H8" s="6">
        <f>'Data Sheet'!H45</f>
        <v>76.900000000000006</v>
      </c>
      <c r="I8" s="6">
        <f>'Data Sheet'!I45</f>
        <v>84.15</v>
      </c>
      <c r="J8" s="6">
        <f>'Data Sheet'!J45</f>
        <v>97.54</v>
      </c>
      <c r="K8" s="6">
        <f>'Data Sheet'!K45</f>
        <v>100.83</v>
      </c>
    </row>
    <row r="9" spans="1:11" x14ac:dyDescent="0.3">
      <c r="A9" t="s">
        <v>10</v>
      </c>
      <c r="B9" s="6">
        <f>'Data Sheet'!B46</f>
        <v>20.13</v>
      </c>
      <c r="C9" s="6">
        <f>'Data Sheet'!C46</f>
        <v>19.53</v>
      </c>
      <c r="D9" s="6">
        <f>'Data Sheet'!D46</f>
        <v>19.39</v>
      </c>
      <c r="E9" s="6">
        <f>'Data Sheet'!E46</f>
        <v>8.5299999999999994</v>
      </c>
      <c r="F9" s="6">
        <f>'Data Sheet'!F46</f>
        <v>11.24</v>
      </c>
      <c r="G9" s="6">
        <f>'Data Sheet'!G46</f>
        <v>20.73</v>
      </c>
      <c r="H9" s="6">
        <f>'Data Sheet'!H46</f>
        <v>23.88</v>
      </c>
      <c r="I9" s="6">
        <f>'Data Sheet'!I46</f>
        <v>33.54</v>
      </c>
      <c r="J9" s="6">
        <f>'Data Sheet'!J46</f>
        <v>52.39</v>
      </c>
      <c r="K9" s="6">
        <f>'Data Sheet'!K46</f>
        <v>55.21</v>
      </c>
    </row>
    <row r="10" spans="1:11" x14ac:dyDescent="0.3">
      <c r="A10" t="s">
        <v>11</v>
      </c>
      <c r="B10" s="6">
        <f>'Data Sheet'!B47</f>
        <v>281.44</v>
      </c>
      <c r="C10" s="6">
        <f>'Data Sheet'!C47</f>
        <v>300.68</v>
      </c>
      <c r="D10" s="6">
        <f>'Data Sheet'!D47</f>
        <v>303.49</v>
      </c>
      <c r="E10" s="6">
        <f>'Data Sheet'!E47</f>
        <v>366.42</v>
      </c>
      <c r="F10" s="6">
        <f>'Data Sheet'!F47</f>
        <v>359.68</v>
      </c>
      <c r="G10" s="6">
        <f>'Data Sheet'!G47</f>
        <v>335.73</v>
      </c>
      <c r="H10" s="6">
        <f>'Data Sheet'!H47</f>
        <v>321.31</v>
      </c>
      <c r="I10" s="6">
        <f>'Data Sheet'!I47</f>
        <v>373.69</v>
      </c>
      <c r="J10" s="6">
        <f>'Data Sheet'!J47</f>
        <v>308.87</v>
      </c>
      <c r="K10" s="6">
        <f>'Data Sheet'!K47</f>
        <v>402.5</v>
      </c>
    </row>
    <row r="11" spans="1:11" x14ac:dyDescent="0.3">
      <c r="A11" t="s">
        <v>12</v>
      </c>
      <c r="B11" s="6">
        <f>'Data Sheet'!B48</f>
        <v>59.03</v>
      </c>
      <c r="C11" s="6">
        <f>'Data Sheet'!C48</f>
        <v>49.76</v>
      </c>
      <c r="D11" s="6">
        <f>'Data Sheet'!D48</f>
        <v>63.41</v>
      </c>
      <c r="E11" s="6">
        <f>'Data Sheet'!E48</f>
        <v>89.74</v>
      </c>
      <c r="F11" s="6">
        <f>'Data Sheet'!F48</f>
        <v>70.34</v>
      </c>
      <c r="G11" s="6">
        <f>'Data Sheet'!G48</f>
        <v>84.19</v>
      </c>
      <c r="H11" s="6">
        <f>'Data Sheet'!H48</f>
        <v>85.04</v>
      </c>
      <c r="I11" s="6">
        <f>'Data Sheet'!I48</f>
        <v>91.88</v>
      </c>
      <c r="J11" s="6">
        <f>'Data Sheet'!J48</f>
        <v>70.069999999999993</v>
      </c>
      <c r="K11" s="6">
        <f>'Data Sheet'!K48</f>
        <v>83.5</v>
      </c>
    </row>
    <row r="12" spans="1:11" s="2" customFormat="1" x14ac:dyDescent="0.3">
      <c r="A12" s="2" t="s">
        <v>13</v>
      </c>
      <c r="B12" s="1">
        <f>'Data Sheet'!B49</f>
        <v>222.41</v>
      </c>
      <c r="C12" s="1">
        <f>'Data Sheet'!C49</f>
        <v>250.92</v>
      </c>
      <c r="D12" s="1">
        <f>'Data Sheet'!D49</f>
        <v>240.08</v>
      </c>
      <c r="E12" s="1">
        <f>'Data Sheet'!E49</f>
        <v>276.68</v>
      </c>
      <c r="F12" s="1">
        <f>'Data Sheet'!F49</f>
        <v>289.33999999999997</v>
      </c>
      <c r="G12" s="1">
        <f>'Data Sheet'!G49</f>
        <v>251.54</v>
      </c>
      <c r="H12" s="1">
        <f>'Data Sheet'!H49</f>
        <v>236.27</v>
      </c>
      <c r="I12" s="1">
        <f>'Data Sheet'!I49</f>
        <v>281.81</v>
      </c>
      <c r="J12" s="1">
        <f>'Data Sheet'!J49</f>
        <v>238.8</v>
      </c>
      <c r="K12" s="1">
        <f>'Data Sheet'!K49</f>
        <v>319</v>
      </c>
    </row>
    <row r="14" spans="1:11" s="2" customFormat="1" x14ac:dyDescent="0.3">
      <c r="A14" s="2" t="s">
        <v>178</v>
      </c>
      <c r="B14" s="10">
        <f>IF(B4&gt;0,B6/B4,"")</f>
        <v>0.27500043791273276</v>
      </c>
      <c r="C14" s="10">
        <f t="shared" ref="C14:K14" si="0">IF(C4&gt;0,C6/C4,"")</f>
        <v>0.28022824019563441</v>
      </c>
      <c r="D14" s="10">
        <f t="shared" si="0"/>
        <v>0.26255457240912378</v>
      </c>
      <c r="E14" s="10">
        <f t="shared" si="0"/>
        <v>0.28415593180551074</v>
      </c>
      <c r="F14" s="10">
        <f t="shared" si="0"/>
        <v>0.28904020315063261</v>
      </c>
      <c r="G14" s="10">
        <f t="shared" si="0"/>
        <v>0.26813549792676922</v>
      </c>
      <c r="H14" s="10">
        <f t="shared" si="0"/>
        <v>0.25108396253929161</v>
      </c>
      <c r="I14" s="10">
        <f t="shared" si="0"/>
        <v>0.26386562496339594</v>
      </c>
      <c r="J14" s="10">
        <f t="shared" si="0"/>
        <v>0.26715587884237629</v>
      </c>
      <c r="K14" s="10">
        <f t="shared" si="0"/>
        <v>0.26790034245499389</v>
      </c>
    </row>
    <row r="22" s="19" customFormat="1" x14ac:dyDescent="0.3"/>
  </sheetData>
  <printOptions gridLines="1"/>
  <pageMargins left="0.7" right="0.7" top="0.75" bottom="0.75" header="0.3" footer="0.3"/>
  <pageSetup paperSize="9" scale="83" orientation="landscape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4"/>
  <sheetViews>
    <sheetView zoomScale="125" workbookViewId="0">
      <pane xSplit="1" ySplit="3" topLeftCell="B20" activePane="bottomRight" state="frozen"/>
      <selection activeCell="C4" sqref="C4"/>
      <selection pane="topRight" activeCell="C4" sqref="C4"/>
      <selection pane="bottomLeft" activeCell="C4" sqref="C4"/>
      <selection pane="bottomRight" activeCell="J1" sqref="J1"/>
    </sheetView>
  </sheetViews>
  <sheetFormatPr defaultColWidth="8.77734375" defaultRowHeight="14.4" x14ac:dyDescent="0.3"/>
  <cols>
    <col min="1" max="1" width="29.88671875" bestFit="1" customWidth="1"/>
    <col min="2" max="2" width="13.44140625" customWidth="1"/>
    <col min="3" max="11" width="15.44140625" customWidth="1"/>
  </cols>
  <sheetData>
    <row r="1" spans="1:11" s="2" customFormat="1" x14ac:dyDescent="0.3">
      <c r="A1" s="2" t="str">
        <f>'Profit &amp; Loss'!A1</f>
        <v>MAX HEALTHCARE INSTITUTE LTD</v>
      </c>
      <c r="E1" t="str">
        <f>UPDATE</f>
        <v/>
      </c>
      <c r="G1"/>
    </row>
    <row r="2" spans="1:11" x14ac:dyDescent="0.3">
      <c r="G2" s="2"/>
      <c r="H2" s="2"/>
    </row>
    <row r="3" spans="1:11" x14ac:dyDescent="0.3">
      <c r="A3" s="11" t="s">
        <v>1</v>
      </c>
      <c r="B3" s="12">
        <f>'Data Sheet'!B56</f>
        <v>42094</v>
      </c>
      <c r="C3" s="12">
        <f>'Data Sheet'!C56</f>
        <v>42825</v>
      </c>
      <c r="D3" s="12">
        <f>'Data Sheet'!D56</f>
        <v>43190</v>
      </c>
      <c r="E3" s="12">
        <f>'Data Sheet'!E56</f>
        <v>43555</v>
      </c>
      <c r="F3" s="12">
        <f>'Data Sheet'!F56</f>
        <v>43921</v>
      </c>
      <c r="G3" s="12">
        <f>'Data Sheet'!G56</f>
        <v>44286</v>
      </c>
      <c r="H3" s="12">
        <f>'Data Sheet'!H56</f>
        <v>44651</v>
      </c>
      <c r="I3" s="12">
        <f>'Data Sheet'!I56</f>
        <v>45016</v>
      </c>
      <c r="J3" s="12">
        <f>'Data Sheet'!J56</f>
        <v>45382</v>
      </c>
      <c r="K3" s="12">
        <f>'Data Sheet'!K56</f>
        <v>45747</v>
      </c>
    </row>
    <row r="4" spans="1:11" x14ac:dyDescent="0.3">
      <c r="A4" t="s">
        <v>23</v>
      </c>
      <c r="B4" s="14">
        <f>'Data Sheet'!B57</f>
        <v>0</v>
      </c>
      <c r="C4" s="14">
        <f>'Data Sheet'!C57</f>
        <v>537.24</v>
      </c>
      <c r="D4" s="14">
        <f>'Data Sheet'!D57</f>
        <v>537.24</v>
      </c>
      <c r="E4" s="14">
        <f>'Data Sheet'!E57</f>
        <v>537.24</v>
      </c>
      <c r="F4" s="14">
        <f>'Data Sheet'!F57</f>
        <v>537.24</v>
      </c>
      <c r="G4" s="14">
        <f>'Data Sheet'!G57</f>
        <v>965.95</v>
      </c>
      <c r="H4" s="14">
        <f>'Data Sheet'!H57</f>
        <v>969.61</v>
      </c>
      <c r="I4" s="14">
        <f>'Data Sheet'!I57</f>
        <v>970.92</v>
      </c>
      <c r="J4" s="14">
        <f>'Data Sheet'!J57</f>
        <v>971.91</v>
      </c>
      <c r="K4" s="14">
        <f>'Data Sheet'!K57</f>
        <v>972.14</v>
      </c>
    </row>
    <row r="5" spans="1:11" x14ac:dyDescent="0.3">
      <c r="A5" t="s">
        <v>24</v>
      </c>
      <c r="B5" s="14">
        <f>'Data Sheet'!B58</f>
        <v>0</v>
      </c>
      <c r="C5" s="14">
        <f>'Data Sheet'!C58</f>
        <v>655.14</v>
      </c>
      <c r="D5" s="14">
        <f>'Data Sheet'!D58</f>
        <v>626.66999999999996</v>
      </c>
      <c r="E5" s="14">
        <f>'Data Sheet'!E58</f>
        <v>425.95</v>
      </c>
      <c r="F5" s="14">
        <f>'Data Sheet'!F58</f>
        <v>450.17</v>
      </c>
      <c r="G5" s="14">
        <f>'Data Sheet'!G58</f>
        <v>4672.7299999999996</v>
      </c>
      <c r="H5" s="14">
        <f>'Data Sheet'!H58</f>
        <v>5312.86</v>
      </c>
      <c r="I5" s="14">
        <f>'Data Sheet'!I58</f>
        <v>6438.67</v>
      </c>
      <c r="J5" s="14">
        <f>'Data Sheet'!J58</f>
        <v>7436.23</v>
      </c>
      <c r="K5" s="14">
        <f>'Data Sheet'!K58</f>
        <v>8408.73</v>
      </c>
    </row>
    <row r="6" spans="1:11" x14ac:dyDescent="0.3">
      <c r="A6" t="s">
        <v>60</v>
      </c>
      <c r="B6" s="14">
        <f>'Data Sheet'!B59</f>
        <v>0</v>
      </c>
      <c r="C6" s="14">
        <f>'Data Sheet'!C59</f>
        <v>874.09</v>
      </c>
      <c r="D6" s="14">
        <f>'Data Sheet'!D59</f>
        <v>980.52</v>
      </c>
      <c r="E6" s="14">
        <f>'Data Sheet'!E59</f>
        <v>1002.75</v>
      </c>
      <c r="F6" s="14">
        <f>'Data Sheet'!F59</f>
        <v>1516.42</v>
      </c>
      <c r="G6" s="14">
        <f>'Data Sheet'!G59</f>
        <v>1101.4100000000001</v>
      </c>
      <c r="H6" s="14">
        <f>'Data Sheet'!H59</f>
        <v>913.38</v>
      </c>
      <c r="I6" s="14">
        <f>'Data Sheet'!I59</f>
        <v>688.96</v>
      </c>
      <c r="J6" s="14">
        <f>'Data Sheet'!J59</f>
        <v>1298.95</v>
      </c>
      <c r="K6" s="14">
        <f>'Data Sheet'!K59</f>
        <v>3010.29</v>
      </c>
    </row>
    <row r="7" spans="1:11" x14ac:dyDescent="0.3">
      <c r="A7" t="s">
        <v>61</v>
      </c>
      <c r="B7" s="14">
        <f>'Data Sheet'!B60</f>
        <v>0</v>
      </c>
      <c r="C7" s="14">
        <f>'Data Sheet'!C60</f>
        <v>1079.6300000000001</v>
      </c>
      <c r="D7" s="14">
        <f>'Data Sheet'!D60</f>
        <v>1157.0899999999999</v>
      </c>
      <c r="E7" s="14">
        <f>'Data Sheet'!E60</f>
        <v>1388.6</v>
      </c>
      <c r="F7" s="14">
        <f>'Data Sheet'!F60</f>
        <v>1300.08</v>
      </c>
      <c r="G7" s="14">
        <f>'Data Sheet'!G60</f>
        <v>1803.37</v>
      </c>
      <c r="H7" s="14">
        <f>'Data Sheet'!H60</f>
        <v>1993.28</v>
      </c>
      <c r="I7" s="14">
        <f>'Data Sheet'!I60</f>
        <v>2003.3</v>
      </c>
      <c r="J7" s="14">
        <f>'Data Sheet'!J60</f>
        <v>2292.85</v>
      </c>
      <c r="K7" s="14">
        <f>'Data Sheet'!K60</f>
        <v>2823.32</v>
      </c>
    </row>
    <row r="8" spans="1:11" s="2" customFormat="1" x14ac:dyDescent="0.3">
      <c r="A8" s="2" t="s">
        <v>25</v>
      </c>
      <c r="B8" s="15">
        <f>'Data Sheet'!B61</f>
        <v>0</v>
      </c>
      <c r="C8" s="15">
        <f>'Data Sheet'!C61</f>
        <v>3146.1</v>
      </c>
      <c r="D8" s="15">
        <f>'Data Sheet'!D61</f>
        <v>3301.52</v>
      </c>
      <c r="E8" s="15">
        <f>'Data Sheet'!E61</f>
        <v>3354.54</v>
      </c>
      <c r="F8" s="15">
        <f>'Data Sheet'!F61</f>
        <v>3803.91</v>
      </c>
      <c r="G8" s="15">
        <f>'Data Sheet'!G61</f>
        <v>8543.4599999999991</v>
      </c>
      <c r="H8" s="15">
        <f>'Data Sheet'!H61</f>
        <v>9189.1299999999992</v>
      </c>
      <c r="I8" s="15">
        <f>'Data Sheet'!I61</f>
        <v>10101.85</v>
      </c>
      <c r="J8" s="15">
        <f>'Data Sheet'!J61</f>
        <v>11999.94</v>
      </c>
      <c r="K8" s="15">
        <f>'Data Sheet'!K61</f>
        <v>15214.48</v>
      </c>
    </row>
    <row r="9" spans="1:11" s="2" customFormat="1" x14ac:dyDescent="0.3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x14ac:dyDescent="0.3">
      <c r="A10" t="s">
        <v>26</v>
      </c>
      <c r="B10" s="14">
        <f>'Data Sheet'!B62</f>
        <v>0</v>
      </c>
      <c r="C10" s="14">
        <f>'Data Sheet'!C62</f>
        <v>2244.2399999999998</v>
      </c>
      <c r="D10" s="14">
        <f>'Data Sheet'!D62</f>
        <v>2227.1799999999998</v>
      </c>
      <c r="E10" s="14">
        <f>'Data Sheet'!E62</f>
        <v>2192.37</v>
      </c>
      <c r="F10" s="14">
        <f>'Data Sheet'!F62</f>
        <v>2379.7199999999998</v>
      </c>
      <c r="G10" s="14">
        <f>'Data Sheet'!G62</f>
        <v>6536.38</v>
      </c>
      <c r="H10" s="14">
        <f>'Data Sheet'!H62</f>
        <v>7017.58</v>
      </c>
      <c r="I10" s="14">
        <f>'Data Sheet'!I62</f>
        <v>7038.7</v>
      </c>
      <c r="J10" s="14">
        <f>'Data Sheet'!J62</f>
        <v>8783.69</v>
      </c>
      <c r="K10" s="14">
        <f>'Data Sheet'!K62</f>
        <v>11501.86</v>
      </c>
    </row>
    <row r="11" spans="1:11" x14ac:dyDescent="0.3">
      <c r="A11" t="s">
        <v>27</v>
      </c>
      <c r="B11" s="14">
        <f>'Data Sheet'!B63</f>
        <v>0</v>
      </c>
      <c r="C11" s="14">
        <f>'Data Sheet'!C63</f>
        <v>46.14</v>
      </c>
      <c r="D11" s="14">
        <f>'Data Sheet'!D63</f>
        <v>38.299999999999997</v>
      </c>
      <c r="E11" s="14">
        <f>'Data Sheet'!E63</f>
        <v>87.02</v>
      </c>
      <c r="F11" s="14">
        <f>'Data Sheet'!F63</f>
        <v>5.66</v>
      </c>
      <c r="G11" s="14">
        <f>'Data Sheet'!G63</f>
        <v>26.93</v>
      </c>
      <c r="H11" s="14">
        <f>'Data Sheet'!H63</f>
        <v>151.12</v>
      </c>
      <c r="I11" s="14">
        <f>'Data Sheet'!I63</f>
        <v>252.43</v>
      </c>
      <c r="J11" s="14">
        <f>'Data Sheet'!J63</f>
        <v>553.04</v>
      </c>
      <c r="K11" s="14">
        <f>'Data Sheet'!K63</f>
        <v>900.45</v>
      </c>
    </row>
    <row r="12" spans="1:11" x14ac:dyDescent="0.3">
      <c r="A12" t="s">
        <v>28</v>
      </c>
      <c r="B12" s="14">
        <f>'Data Sheet'!B64</f>
        <v>0</v>
      </c>
      <c r="C12" s="14">
        <f>'Data Sheet'!C64</f>
        <v>0</v>
      </c>
      <c r="D12" s="14">
        <f>'Data Sheet'!D64</f>
        <v>0</v>
      </c>
      <c r="E12" s="14">
        <f>'Data Sheet'!E64</f>
        <v>0.51</v>
      </c>
      <c r="F12" s="14">
        <f>'Data Sheet'!F64</f>
        <v>0.51</v>
      </c>
      <c r="G12" s="14">
        <f>'Data Sheet'!G64</f>
        <v>0.51</v>
      </c>
      <c r="H12" s="14">
        <f>'Data Sheet'!H64</f>
        <v>0.51</v>
      </c>
      <c r="I12" s="14">
        <f>'Data Sheet'!I64</f>
        <v>0.51</v>
      </c>
      <c r="J12" s="14">
        <f>'Data Sheet'!J64</f>
        <v>2.12</v>
      </c>
      <c r="K12" s="14">
        <f>'Data Sheet'!K64</f>
        <v>2.89</v>
      </c>
    </row>
    <row r="13" spans="1:11" x14ac:dyDescent="0.3">
      <c r="A13" t="s">
        <v>62</v>
      </c>
      <c r="B13" s="14">
        <f>'Data Sheet'!B65</f>
        <v>0</v>
      </c>
      <c r="C13" s="14">
        <f>'Data Sheet'!C65</f>
        <v>855.72</v>
      </c>
      <c r="D13" s="14">
        <f>'Data Sheet'!D65</f>
        <v>1036.04</v>
      </c>
      <c r="E13" s="14">
        <f>'Data Sheet'!E65</f>
        <v>1074.6400000000001</v>
      </c>
      <c r="F13" s="14">
        <f>'Data Sheet'!F65</f>
        <v>1418.02</v>
      </c>
      <c r="G13" s="14">
        <f>'Data Sheet'!G65</f>
        <v>1979.64</v>
      </c>
      <c r="H13" s="14">
        <f>'Data Sheet'!H65</f>
        <v>2019.92</v>
      </c>
      <c r="I13" s="14">
        <f>'Data Sheet'!I65</f>
        <v>2810.21</v>
      </c>
      <c r="J13" s="14">
        <f>'Data Sheet'!J65</f>
        <v>2661.09</v>
      </c>
      <c r="K13" s="14">
        <f>'Data Sheet'!K65</f>
        <v>2809.28</v>
      </c>
    </row>
    <row r="14" spans="1:11" s="2" customFormat="1" x14ac:dyDescent="0.3">
      <c r="A14" s="2" t="s">
        <v>25</v>
      </c>
      <c r="B14" s="14">
        <f>'Data Sheet'!B66</f>
        <v>0</v>
      </c>
      <c r="C14" s="14">
        <f>'Data Sheet'!C66</f>
        <v>3146.1</v>
      </c>
      <c r="D14" s="14">
        <f>'Data Sheet'!D66</f>
        <v>3301.52</v>
      </c>
      <c r="E14" s="14">
        <f>'Data Sheet'!E66</f>
        <v>3354.54</v>
      </c>
      <c r="F14" s="14">
        <f>'Data Sheet'!F66</f>
        <v>3803.91</v>
      </c>
      <c r="G14" s="14">
        <f>'Data Sheet'!G66</f>
        <v>8543.4599999999991</v>
      </c>
      <c r="H14" s="14">
        <f>'Data Sheet'!H66</f>
        <v>9189.1299999999992</v>
      </c>
      <c r="I14" s="14">
        <f>'Data Sheet'!I66</f>
        <v>10101.85</v>
      </c>
      <c r="J14" s="14">
        <f>'Data Sheet'!J66</f>
        <v>11999.94</v>
      </c>
      <c r="K14" s="14">
        <f>'Data Sheet'!K66</f>
        <v>15214.48</v>
      </c>
    </row>
    <row r="15" spans="1:11" x14ac:dyDescent="0.3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3">
      <c r="A16" t="s">
        <v>29</v>
      </c>
      <c r="B16" s="4">
        <f>B13-B7</f>
        <v>0</v>
      </c>
      <c r="C16" s="4">
        <f t="shared" ref="C16:K16" si="0">C13-C7</f>
        <v>-223.91000000000008</v>
      </c>
      <c r="D16" s="4">
        <f t="shared" si="0"/>
        <v>-121.04999999999995</v>
      </c>
      <c r="E16" s="4">
        <f t="shared" si="0"/>
        <v>-313.95999999999981</v>
      </c>
      <c r="F16" s="4">
        <f t="shared" si="0"/>
        <v>117.94000000000005</v>
      </c>
      <c r="G16" s="4">
        <f t="shared" si="0"/>
        <v>176.27000000000021</v>
      </c>
      <c r="H16" s="4">
        <f t="shared" si="0"/>
        <v>26.6400000000001</v>
      </c>
      <c r="I16" s="4">
        <f t="shared" si="0"/>
        <v>806.91000000000008</v>
      </c>
      <c r="J16" s="4">
        <f t="shared" si="0"/>
        <v>368.24000000000024</v>
      </c>
      <c r="K16" s="4">
        <f t="shared" si="0"/>
        <v>-14.039999999999964</v>
      </c>
    </row>
    <row r="17" spans="1:11" x14ac:dyDescent="0.3">
      <c r="A17" t="s">
        <v>42</v>
      </c>
      <c r="B17" s="4">
        <f>'Data Sheet'!B67</f>
        <v>0</v>
      </c>
      <c r="C17" s="4">
        <f>'Data Sheet'!C67</f>
        <v>234.82</v>
      </c>
      <c r="D17" s="4">
        <f>'Data Sheet'!D67</f>
        <v>279.56</v>
      </c>
      <c r="E17" s="4">
        <f>'Data Sheet'!E67</f>
        <v>362.61</v>
      </c>
      <c r="F17" s="4">
        <f>'Data Sheet'!F67</f>
        <v>411.16</v>
      </c>
      <c r="G17" s="4">
        <f>'Data Sheet'!G67</f>
        <v>365.89</v>
      </c>
      <c r="H17" s="4">
        <f>'Data Sheet'!H67</f>
        <v>385.36</v>
      </c>
      <c r="I17" s="4">
        <f>'Data Sheet'!I67</f>
        <v>336.12</v>
      </c>
      <c r="J17" s="4">
        <f>'Data Sheet'!J67</f>
        <v>462.69</v>
      </c>
      <c r="K17" s="4">
        <f>'Data Sheet'!K67</f>
        <v>687.31</v>
      </c>
    </row>
    <row r="18" spans="1:11" x14ac:dyDescent="0.3">
      <c r="A18" t="s">
        <v>43</v>
      </c>
      <c r="B18" s="4">
        <f>'Data Sheet'!B68</f>
        <v>0</v>
      </c>
      <c r="C18" s="4">
        <f>'Data Sheet'!C68</f>
        <v>23.12</v>
      </c>
      <c r="D18" s="4">
        <f>'Data Sheet'!D68</f>
        <v>28.27</v>
      </c>
      <c r="E18" s="4">
        <f>'Data Sheet'!E68</f>
        <v>26.01</v>
      </c>
      <c r="F18" s="4">
        <f>'Data Sheet'!F68</f>
        <v>43.37</v>
      </c>
      <c r="G18" s="4">
        <f>'Data Sheet'!G68</f>
        <v>53.8</v>
      </c>
      <c r="H18" s="4">
        <f>'Data Sheet'!H68</f>
        <v>61.36</v>
      </c>
      <c r="I18" s="4">
        <f>'Data Sheet'!I68</f>
        <v>76.23</v>
      </c>
      <c r="J18" s="4">
        <f>'Data Sheet'!J68</f>
        <v>79.84</v>
      </c>
      <c r="K18" s="4">
        <f>'Data Sheet'!K68</f>
        <v>106.21</v>
      </c>
    </row>
    <row r="20" spans="1:11" x14ac:dyDescent="0.3">
      <c r="A20" t="s">
        <v>44</v>
      </c>
      <c r="B20" s="4">
        <f>IF('Profit &amp; Loss'!B4&gt;0,'Balance Sheet'!B17/('Profit &amp; Loss'!B4/365),0)</f>
        <v>0</v>
      </c>
      <c r="C20" s="4">
        <f>IF('Profit &amp; Loss'!C4&gt;0,'Balance Sheet'!C17/('Profit &amp; Loss'!C4/365),0)</f>
        <v>53.293186425080521</v>
      </c>
      <c r="D20" s="4">
        <f>IF('Profit &amp; Loss'!D4&gt;0,'Balance Sheet'!D17/('Profit &amp; Loss'!D4/365),0)</f>
        <v>59.011988687952893</v>
      </c>
      <c r="E20" s="4">
        <f>IF('Profit &amp; Loss'!E4&gt;0,'Balance Sheet'!E17/('Profit &amp; Loss'!E4/365),0)</f>
        <v>78.26793887712742</v>
      </c>
      <c r="F20" s="4">
        <f>IF('Profit &amp; Loss'!F4&gt;0,'Balance Sheet'!F17/('Profit &amp; Loss'!F4/365),0)</f>
        <v>79.637349691688868</v>
      </c>
      <c r="G20" s="4">
        <f>IF('Profit &amp; Loss'!G4&gt;0,'Balance Sheet'!G17/('Profit &amp; Loss'!G4/365),0)</f>
        <v>53.250178431161459</v>
      </c>
      <c r="H20" s="4">
        <f>IF('Profit &amp; Loss'!H4&gt;0,'Balance Sheet'!H17/('Profit &amp; Loss'!H4/365),0)</f>
        <v>35.7308811014721</v>
      </c>
      <c r="I20" s="4">
        <f>IF('Profit &amp; Loss'!I4&gt;0,'Balance Sheet'!I17/('Profit &amp; Loss'!I4/365),0)</f>
        <v>26.889010651821327</v>
      </c>
      <c r="J20" s="4">
        <f>IF('Profit &amp; Loss'!J4&gt;0,'Balance Sheet'!J17/('Profit &amp; Loss'!J4/365),0)</f>
        <v>31.239590308581914</v>
      </c>
      <c r="K20" s="4">
        <f>IF('Profit &amp; Loss'!K4&gt;0,'Balance Sheet'!K17/('Profit &amp; Loss'!K4/365),0)</f>
        <v>35.693188835107549</v>
      </c>
    </row>
    <row r="21" spans="1:11" x14ac:dyDescent="0.3">
      <c r="A21" t="s">
        <v>45</v>
      </c>
      <c r="B21" s="4">
        <f>IF('Balance Sheet'!B18&gt;0,'Profit &amp; Loss'!B4/'Balance Sheet'!B18,0)</f>
        <v>0</v>
      </c>
      <c r="C21" s="4">
        <f>IF('Balance Sheet'!C18&gt;0,'Profit &amp; Loss'!C4/'Balance Sheet'!C18,0)</f>
        <v>69.561418685121097</v>
      </c>
      <c r="D21" s="4">
        <f>IF('Balance Sheet'!D18&gt;0,'Profit &amp; Loss'!D4/'Balance Sheet'!D18,0)</f>
        <v>61.164839051998591</v>
      </c>
      <c r="E21" s="4">
        <f>IF('Balance Sheet'!E18&gt;0,'Profit &amp; Loss'!E4/'Balance Sheet'!E18,0)</f>
        <v>65.014225297962312</v>
      </c>
      <c r="F21" s="4">
        <f>IF('Balance Sheet'!F18&gt;0,'Profit &amp; Loss'!F4/'Balance Sheet'!F18,0)</f>
        <v>43.450772423334108</v>
      </c>
      <c r="G21" s="4">
        <f>IF('Balance Sheet'!G18&gt;0,'Profit &amp; Loss'!G4/'Balance Sheet'!G18,0)</f>
        <v>46.616542750929369</v>
      </c>
      <c r="H21" s="4">
        <f>IF('Balance Sheet'!H18&gt;0,'Profit &amp; Loss'!H4/'Balance Sheet'!H18,0)</f>
        <v>64.15498696219035</v>
      </c>
      <c r="I21" s="4">
        <f>IF('Balance Sheet'!I18&gt;0,'Profit &amp; Loss'!I4/'Balance Sheet'!I18,0)</f>
        <v>59.85307621671258</v>
      </c>
      <c r="J21" s="4">
        <f>IF('Balance Sheet'!J18&gt;0,'Profit &amp; Loss'!J4/'Balance Sheet'!J18,0)</f>
        <v>67.710671342685373</v>
      </c>
      <c r="K21" s="4">
        <f>IF('Balance Sheet'!K18&gt;0,'Profit &amp; Loss'!K4/'Balance Sheet'!K18,0)</f>
        <v>66.175124752848134</v>
      </c>
    </row>
    <row r="23" spans="1:11" s="2" customFormat="1" x14ac:dyDescent="0.3">
      <c r="A23" s="2" t="s">
        <v>48</v>
      </c>
      <c r="B23" s="10" t="str">
        <f>IF(SUM('Balance Sheet'!B4:B5)&gt;0,'Profit &amp; Loss'!B12/SUM('Balance Sheet'!B4:B5),"")</f>
        <v/>
      </c>
      <c r="C23" s="10">
        <f>IF(SUM('Balance Sheet'!C4:C5)&gt;0,'Profit &amp; Loss'!C12/SUM('Balance Sheet'!C4:C5),"")</f>
        <v>1.3242422717590028E-2</v>
      </c>
      <c r="D23" s="10">
        <f>IF(SUM('Balance Sheet'!D4:D5)&gt;0,'Profit &amp; Loss'!D12/SUM('Balance Sheet'!D4:D5),"")</f>
        <v>-2.1608199946731278E-2</v>
      </c>
      <c r="E23" s="10">
        <f>IF(SUM('Balance Sheet'!E4:E5)&gt;0,'Profit &amp; Loss'!E12/SUM('Balance Sheet'!E4:E5),"")</f>
        <v>-3.1250324442737153E-3</v>
      </c>
      <c r="F23" s="10">
        <f>IF(SUM('Balance Sheet'!F4:F5)&gt;0,'Profit &amp; Loss'!F12/SUM('Balance Sheet'!F4:F5),"")</f>
        <v>9.6555635450319519E-2</v>
      </c>
      <c r="G23" s="10">
        <f>IF(SUM('Balance Sheet'!G4:G5)&gt;0,'Profit &amp; Loss'!G12/SUM('Balance Sheet'!G4:G5),"")</f>
        <v>-2.439400710804657E-2</v>
      </c>
      <c r="H23" s="10">
        <f>IF(SUM('Balance Sheet'!H4:H5)&gt;0,'Profit &amp; Loss'!H12/SUM('Balance Sheet'!H4:H5),"")</f>
        <v>9.6307662432132582E-2</v>
      </c>
      <c r="I23" s="10">
        <f>IF(SUM('Balance Sheet'!I4:I5)&gt;0,'Profit &amp; Loss'!I12/SUM('Balance Sheet'!I4:I5),"")</f>
        <v>0.14892996778499215</v>
      </c>
      <c r="J23" s="10">
        <f>IF(SUM('Balance Sheet'!J4:J5)&gt;0,'Profit &amp; Loss'!J12/SUM('Balance Sheet'!J4:J5),"")</f>
        <v>0.12578762960654796</v>
      </c>
      <c r="K23" s="10">
        <f>IF(SUM('Balance Sheet'!K4:K5)&gt;0,'Profit &amp; Loss'!K12/SUM('Balance Sheet'!K4:K5),"")</f>
        <v>0.11468872290096763</v>
      </c>
    </row>
    <row r="24" spans="1:11" s="2" customFormat="1" x14ac:dyDescent="0.3">
      <c r="A24" s="2" t="s">
        <v>49</v>
      </c>
      <c r="B24" s="10"/>
      <c r="C24" s="10">
        <f>IF((B4+B5+B6+C4+C5+C6)&gt;0,('Profit &amp; Loss'!C10+'Profit &amp; Loss'!C9)*2/(B4+B5+B6+C4+C5+C6),"")</f>
        <v>0.10102251665884333</v>
      </c>
      <c r="D24" s="10">
        <f>IF((C4+C5+C6+D4+D5+D6)&gt;0,('Profit &amp; Loss'!D10+'Profit &amp; Loss'!D9)*2/(C4+C5+C6+D4+D5+D6),"")</f>
        <v>3.9977202023320432E-2</v>
      </c>
      <c r="E24" s="10">
        <f>IF((D4+D5+D6+E4+E5+E6)&gt;0,('Profit &amp; Loss'!E10+'Profit &amp; Loss'!E9)*2/(D4+D5+D6+E4+E5+E6),"")</f>
        <v>5.3323666725866532E-2</v>
      </c>
      <c r="F24" s="10">
        <f>IF((E4+E5+E6+F4+F5+F6)&gt;0,('Profit &amp; Loss'!F10+'Profit &amp; Loss'!F9)*2/(E4+E5+E6+F4+F5+F6),"")</f>
        <v>0.10816663944677242</v>
      </c>
      <c r="G24" s="10">
        <f>IF((F4+F5+F6+G4+G5+G6)&gt;0,('Profit &amp; Loss'!G10+'Profit &amp; Loss'!G9)*2/(F4+F5+F6+G4+G5+G6),"")</f>
        <v>2.3974677409583815E-2</v>
      </c>
      <c r="H24" s="10">
        <f>IF((G4+G5+G6+H4+H5+H6)&gt;0,('Profit &amp; Loss'!H10+'Profit &amp; Loss'!H9)*2/(G4+G5+G6+H4+H5+H6),"")</f>
        <v>0.12051860154392172</v>
      </c>
      <c r="I24" s="10">
        <f>IF((H4+H5+H6+I4+I5+I6)&gt;0,('Profit &amp; Loss'!I10+'Profit &amp; Loss'!I9)*2/(H4+H5+H6+I4+I5+I6),"")</f>
        <v>0.15006538340830633</v>
      </c>
      <c r="J24" s="10">
        <f>IF((I4+I5+I6+J4+J5+J6)&gt;0,('Profit &amp; Loss'!J10+'Profit &amp; Loss'!J9)*2/(I4+I5+I6+J4+J5+J6),"")</f>
        <v>0.16008523142105532</v>
      </c>
      <c r="K24" s="10">
        <f>IF((J4+J5+J6+K4+K5+K6)&gt;0,('Profit &amp; Loss'!K10+'Profit &amp; Loss'!K9)*2/(J4+J5+J6+K4+K5+K6),"")</f>
        <v>0.14221850146504814</v>
      </c>
    </row>
  </sheetData>
  <printOptions gridLines="1"/>
  <pageMargins left="0.7" right="0.7" top="0.75" bottom="0.75" header="0.3" footer="0.3"/>
  <pageSetup paperSize="9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I4" activePane="bottomRight" state="frozen"/>
      <selection pane="topRight" activeCell="B1" sqref="B1"/>
      <selection pane="bottomLeft" activeCell="A4" sqref="A4"/>
      <selection pane="bottomRight" activeCell="J1" sqref="J1"/>
    </sheetView>
  </sheetViews>
  <sheetFormatPr defaultColWidth="8.77734375" defaultRowHeight="14.4" x14ac:dyDescent="0.3"/>
  <cols>
    <col min="1" max="1" width="30.21875" bestFit="1" customWidth="1"/>
    <col min="2" max="6" width="13.44140625" customWidth="1"/>
    <col min="7" max="11" width="13.44140625" bestFit="1" customWidth="1"/>
  </cols>
  <sheetData>
    <row r="1" spans="1:11" s="2" customFormat="1" x14ac:dyDescent="0.3">
      <c r="A1" s="2" t="str">
        <f>'Balance Sheet'!A1</f>
        <v>MAX HEALTHCARE INSTITUTE LTD</v>
      </c>
      <c r="E1" t="str">
        <f>UPDATE</f>
        <v/>
      </c>
      <c r="F1"/>
    </row>
    <row r="3" spans="1:11" s="2" customFormat="1" x14ac:dyDescent="0.3">
      <c r="A3" s="11" t="s">
        <v>1</v>
      </c>
      <c r="B3" s="12">
        <f>'Data Sheet'!B81</f>
        <v>42094</v>
      </c>
      <c r="C3" s="12">
        <f>'Data Sheet'!C81</f>
        <v>42825</v>
      </c>
      <c r="D3" s="12">
        <f>'Data Sheet'!D81</f>
        <v>43190</v>
      </c>
      <c r="E3" s="12">
        <f>'Data Sheet'!E81</f>
        <v>43555</v>
      </c>
      <c r="F3" s="12">
        <f>'Data Sheet'!F81</f>
        <v>43921</v>
      </c>
      <c r="G3" s="12">
        <f>'Data Sheet'!G81</f>
        <v>44286</v>
      </c>
      <c r="H3" s="12">
        <f>'Data Sheet'!H81</f>
        <v>44651</v>
      </c>
      <c r="I3" s="12">
        <f>'Data Sheet'!I81</f>
        <v>45016</v>
      </c>
      <c r="J3" s="12">
        <f>'Data Sheet'!J81</f>
        <v>45382</v>
      </c>
      <c r="K3" s="12">
        <f>'Data Sheet'!K81</f>
        <v>45747</v>
      </c>
    </row>
    <row r="4" spans="1:11" s="2" customFormat="1" x14ac:dyDescent="0.3">
      <c r="A4" s="2" t="s">
        <v>31</v>
      </c>
      <c r="B4" s="1">
        <f>'Data Sheet'!B82</f>
        <v>0</v>
      </c>
      <c r="C4" s="1">
        <f>'Data Sheet'!C82</f>
        <v>156.06</v>
      </c>
      <c r="D4" s="1">
        <f>'Data Sheet'!D82</f>
        <v>165.71</v>
      </c>
      <c r="E4" s="1">
        <f>'Data Sheet'!E82</f>
        <v>88.95</v>
      </c>
      <c r="F4" s="1">
        <f>'Data Sheet'!F82</f>
        <v>249.82</v>
      </c>
      <c r="G4" s="1">
        <f>'Data Sheet'!G82</f>
        <v>117.86</v>
      </c>
      <c r="H4" s="1">
        <f>'Data Sheet'!H82</f>
        <v>740.52</v>
      </c>
      <c r="I4" s="1">
        <f>'Data Sheet'!I82</f>
        <v>1284.1300000000001</v>
      </c>
      <c r="J4" s="1">
        <f>'Data Sheet'!J82</f>
        <v>1121.8</v>
      </c>
      <c r="K4" s="1">
        <f>'Data Sheet'!K82</f>
        <v>1459.31</v>
      </c>
    </row>
    <row r="5" spans="1:11" x14ac:dyDescent="0.3">
      <c r="A5" t="s">
        <v>32</v>
      </c>
      <c r="B5" s="6">
        <f>'Data Sheet'!B83</f>
        <v>0</v>
      </c>
      <c r="C5" s="6">
        <f>'Data Sheet'!C83</f>
        <v>-103.79</v>
      </c>
      <c r="D5" s="6">
        <f>'Data Sheet'!D83</f>
        <v>-124.11</v>
      </c>
      <c r="E5" s="6">
        <f>'Data Sheet'!E83</f>
        <v>-16.53</v>
      </c>
      <c r="F5" s="6">
        <f>'Data Sheet'!F83</f>
        <v>-126.68</v>
      </c>
      <c r="G5" s="6">
        <f>'Data Sheet'!G83</f>
        <v>206.39</v>
      </c>
      <c r="H5" s="6">
        <f>'Data Sheet'!H83</f>
        <v>-763.8</v>
      </c>
      <c r="I5" s="6">
        <f>'Data Sheet'!I83</f>
        <v>-102.21</v>
      </c>
      <c r="J5" s="6">
        <f>'Data Sheet'!J83</f>
        <v>-1252.55</v>
      </c>
      <c r="K5" s="6">
        <f>'Data Sheet'!K83</f>
        <v>-1631.74</v>
      </c>
    </row>
    <row r="6" spans="1:11" x14ac:dyDescent="0.3">
      <c r="A6" t="s">
        <v>33</v>
      </c>
      <c r="B6" s="6">
        <f>'Data Sheet'!B84</f>
        <v>0</v>
      </c>
      <c r="C6" s="6">
        <f>'Data Sheet'!C84</f>
        <v>-48.19</v>
      </c>
      <c r="D6" s="6">
        <f>'Data Sheet'!D84</f>
        <v>-47.72</v>
      </c>
      <c r="E6" s="6">
        <f>'Data Sheet'!E84</f>
        <v>-73.95</v>
      </c>
      <c r="F6" s="6">
        <f>'Data Sheet'!F84</f>
        <v>144.05000000000001</v>
      </c>
      <c r="G6" s="6">
        <f>'Data Sheet'!G84</f>
        <v>191.33</v>
      </c>
      <c r="H6" s="6">
        <f>'Data Sheet'!H84</f>
        <v>-294.17</v>
      </c>
      <c r="I6" s="6">
        <f>'Data Sheet'!I84</f>
        <v>-288.56</v>
      </c>
      <c r="J6" s="6">
        <f>'Data Sheet'!J84</f>
        <v>-263.74</v>
      </c>
      <c r="K6" s="6">
        <f>'Data Sheet'!K84</f>
        <v>-163.80000000000001</v>
      </c>
    </row>
    <row r="7" spans="1:11" s="2" customFormat="1" x14ac:dyDescent="0.3">
      <c r="A7" s="2" t="s">
        <v>34</v>
      </c>
      <c r="B7" s="1">
        <f>'Data Sheet'!B85</f>
        <v>0</v>
      </c>
      <c r="C7" s="1">
        <f>'Data Sheet'!C85</f>
        <v>4.08</v>
      </c>
      <c r="D7" s="1">
        <f>'Data Sheet'!D85</f>
        <v>-6.12</v>
      </c>
      <c r="E7" s="1">
        <f>'Data Sheet'!E85</f>
        <v>-1.53</v>
      </c>
      <c r="F7" s="1">
        <f>'Data Sheet'!F85</f>
        <v>267.19</v>
      </c>
      <c r="G7" s="1">
        <f>'Data Sheet'!G85</f>
        <v>515.58000000000004</v>
      </c>
      <c r="H7" s="1">
        <f>'Data Sheet'!H85</f>
        <v>-317.45</v>
      </c>
      <c r="I7" s="1">
        <f>'Data Sheet'!I85</f>
        <v>893.36</v>
      </c>
      <c r="J7" s="1">
        <f>'Data Sheet'!J85</f>
        <v>-394.49</v>
      </c>
      <c r="K7" s="1">
        <f>'Data Sheet'!K85</f>
        <v>-336.23</v>
      </c>
    </row>
    <row r="8" spans="1:11" x14ac:dyDescent="0.3">
      <c r="B8" s="6"/>
      <c r="C8" s="6"/>
      <c r="D8" s="6"/>
      <c r="E8" s="6"/>
      <c r="F8" s="6"/>
      <c r="G8" s="6"/>
      <c r="H8" s="6"/>
      <c r="I8" s="6"/>
      <c r="J8" s="6"/>
      <c r="K8" s="6"/>
    </row>
    <row r="24" customFormat="1" x14ac:dyDescent="0.3"/>
  </sheetData>
  <printOptions gridLines="1"/>
  <pageMargins left="0.7" right="0.7" top="0.75" bottom="0.75" header="0.3" footer="0.3"/>
  <pageSetup paperSize="9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4EC9A-065C-4DBF-A3E5-1CB27830FF6B}">
  <sheetPr>
    <tabColor rgb="FF002060"/>
  </sheetPr>
  <dimension ref="A1"/>
  <sheetViews>
    <sheetView workbookViewId="0">
      <selection activeCell="B18" sqref="B18"/>
    </sheetView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-0.249977111117893"/>
  </sheetPr>
  <dimension ref="A1:K93"/>
  <sheetViews>
    <sheetView zoomScale="120" zoomScaleNormal="120" zoomScalePageLayoutView="120" workbookViewId="0">
      <pane xSplit="1" ySplit="1" topLeftCell="B2" activePane="bottomRight" state="frozen"/>
      <selection activeCell="C4" sqref="C4"/>
      <selection pane="topRight" activeCell="C4" sqref="C4"/>
      <selection pane="bottomLeft" activeCell="C4" sqref="C4"/>
      <selection pane="bottomRight" activeCell="E2" sqref="E2:K2"/>
    </sheetView>
  </sheetViews>
  <sheetFormatPr defaultColWidth="8.77734375" defaultRowHeight="14.4" x14ac:dyDescent="0.3"/>
  <cols>
    <col min="1" max="1" width="27.6640625" style="4" bestFit="1" customWidth="1"/>
    <col min="2" max="11" width="13.44140625" style="4" bestFit="1" customWidth="1"/>
    <col min="12" max="16384" width="8.77734375" style="4"/>
  </cols>
  <sheetData>
    <row r="1" spans="1:11" s="1" customFormat="1" x14ac:dyDescent="0.3">
      <c r="A1" s="1" t="s">
        <v>0</v>
      </c>
      <c r="B1" s="1" t="s">
        <v>52</v>
      </c>
      <c r="E1" s="42" t="str">
        <f>IF(B2&lt;&gt;B3, "A NEW VERSION OF THE WORKSHEET IS AVAILABLE", "")</f>
        <v/>
      </c>
      <c r="F1" s="42"/>
      <c r="G1" s="42"/>
      <c r="H1" s="42"/>
      <c r="I1" s="42"/>
      <c r="J1" s="42"/>
      <c r="K1" s="42"/>
    </row>
    <row r="2" spans="1:11" x14ac:dyDescent="0.3">
      <c r="A2" s="1" t="s">
        <v>50</v>
      </c>
      <c r="B2" s="4">
        <v>2.1</v>
      </c>
      <c r="E2" s="78"/>
      <c r="F2" s="78"/>
      <c r="G2" s="78"/>
      <c r="H2" s="78"/>
      <c r="I2" s="78"/>
      <c r="J2" s="78"/>
      <c r="K2" s="78"/>
    </row>
    <row r="3" spans="1:11" x14ac:dyDescent="0.3">
      <c r="A3" s="1" t="s">
        <v>51</v>
      </c>
      <c r="B3" s="4">
        <v>2.1</v>
      </c>
    </row>
    <row r="4" spans="1:11" x14ac:dyDescent="0.3">
      <c r="A4" s="1"/>
    </row>
    <row r="5" spans="1:11" x14ac:dyDescent="0.3">
      <c r="A5" s="1" t="s">
        <v>53</v>
      </c>
    </row>
    <row r="6" spans="1:11" x14ac:dyDescent="0.3">
      <c r="A6" s="4" t="s">
        <v>40</v>
      </c>
      <c r="B6" s="4">
        <f>IF(B9&gt;0, B9/B8, 0)</f>
        <v>97.214680469514192</v>
      </c>
    </row>
    <row r="7" spans="1:11" x14ac:dyDescent="0.3">
      <c r="A7" s="4" t="s">
        <v>30</v>
      </c>
      <c r="B7">
        <v>10</v>
      </c>
    </row>
    <row r="8" spans="1:11" x14ac:dyDescent="0.3">
      <c r="A8" s="4" t="s">
        <v>41</v>
      </c>
      <c r="B8">
        <v>1226.8</v>
      </c>
    </row>
    <row r="9" spans="1:11" x14ac:dyDescent="0.3">
      <c r="A9" s="4" t="s">
        <v>68</v>
      </c>
      <c r="B9">
        <v>119262.97</v>
      </c>
    </row>
    <row r="15" spans="1:11" x14ac:dyDescent="0.3">
      <c r="A15" s="1" t="s">
        <v>35</v>
      </c>
    </row>
    <row r="16" spans="1:11" s="18" customFormat="1" x14ac:dyDescent="0.3">
      <c r="A16" s="17" t="s">
        <v>36</v>
      </c>
      <c r="B16" s="12">
        <v>42094</v>
      </c>
      <c r="C16" s="12">
        <v>42825</v>
      </c>
      <c r="D16" s="12">
        <v>43190</v>
      </c>
      <c r="E16" s="12">
        <v>43555</v>
      </c>
      <c r="F16" s="12">
        <v>43921</v>
      </c>
      <c r="G16" s="12">
        <v>44286</v>
      </c>
      <c r="H16" s="12">
        <v>44651</v>
      </c>
      <c r="I16" s="12">
        <v>45016</v>
      </c>
      <c r="J16" s="12">
        <v>45382</v>
      </c>
      <c r="K16" s="12">
        <v>45747</v>
      </c>
    </row>
    <row r="17" spans="1:11" s="6" customFormat="1" x14ac:dyDescent="0.3">
      <c r="A17" s="6" t="s">
        <v>5</v>
      </c>
      <c r="B17"/>
      <c r="C17">
        <v>1608.26</v>
      </c>
      <c r="D17">
        <v>1729.13</v>
      </c>
      <c r="E17">
        <v>1691.02</v>
      </c>
      <c r="F17">
        <v>1884.46</v>
      </c>
      <c r="G17">
        <v>2507.9699999999998</v>
      </c>
      <c r="H17">
        <v>3936.55</v>
      </c>
      <c r="I17">
        <v>4562.6000000000004</v>
      </c>
      <c r="J17">
        <v>5406.02</v>
      </c>
      <c r="K17">
        <v>7028.46</v>
      </c>
    </row>
    <row r="18" spans="1:11" s="6" customFormat="1" x14ac:dyDescent="0.3">
      <c r="A18" s="4" t="s">
        <v>69</v>
      </c>
      <c r="B18"/>
      <c r="C18">
        <v>423</v>
      </c>
      <c r="D18">
        <v>431.05</v>
      </c>
      <c r="E18">
        <v>362.2</v>
      </c>
      <c r="F18">
        <v>409.14</v>
      </c>
      <c r="G18">
        <v>580.51</v>
      </c>
      <c r="H18">
        <v>930.46</v>
      </c>
      <c r="I18">
        <v>936.88</v>
      </c>
      <c r="J18">
        <v>1119.04</v>
      </c>
      <c r="K18">
        <v>1496.41</v>
      </c>
    </row>
    <row r="19" spans="1:11" s="6" customFormat="1" x14ac:dyDescent="0.3">
      <c r="A19" s="4" t="s">
        <v>70</v>
      </c>
      <c r="B19"/>
      <c r="C19">
        <v>-0.1</v>
      </c>
      <c r="D19">
        <v>5.15</v>
      </c>
      <c r="E19">
        <v>-2.2599999999999998</v>
      </c>
      <c r="F19">
        <v>17.36</v>
      </c>
      <c r="G19"/>
      <c r="H19"/>
      <c r="I19">
        <v>14.87</v>
      </c>
      <c r="J19">
        <v>0.52</v>
      </c>
      <c r="K19">
        <v>19.36</v>
      </c>
    </row>
    <row r="20" spans="1:11" s="6" customFormat="1" x14ac:dyDescent="0.3">
      <c r="A20" s="4" t="s">
        <v>71</v>
      </c>
      <c r="B20"/>
      <c r="C20">
        <v>40.9</v>
      </c>
      <c r="D20">
        <v>41.36</v>
      </c>
      <c r="E20">
        <v>46.06</v>
      </c>
      <c r="F20">
        <v>38.93</v>
      </c>
      <c r="G20">
        <v>51.37</v>
      </c>
      <c r="H20">
        <v>62.67</v>
      </c>
      <c r="I20">
        <v>69.040000000000006</v>
      </c>
      <c r="J20">
        <v>77.540000000000006</v>
      </c>
      <c r="K20"/>
    </row>
    <row r="21" spans="1:11" s="6" customFormat="1" x14ac:dyDescent="0.3">
      <c r="A21" s="4" t="s">
        <v>72</v>
      </c>
      <c r="B21"/>
      <c r="C21">
        <v>35.04</v>
      </c>
      <c r="D21">
        <v>59.86</v>
      </c>
      <c r="E21">
        <v>37.880000000000003</v>
      </c>
      <c r="F21">
        <v>498.93</v>
      </c>
      <c r="G21">
        <v>631.67999999999995</v>
      </c>
      <c r="H21">
        <v>921.31</v>
      </c>
      <c r="I21">
        <v>1120.8599999999999</v>
      </c>
      <c r="J21">
        <v>1271.08</v>
      </c>
      <c r="K21"/>
    </row>
    <row r="22" spans="1:11" s="6" customFormat="1" x14ac:dyDescent="0.3">
      <c r="A22" s="4" t="s">
        <v>73</v>
      </c>
      <c r="B22"/>
      <c r="C22">
        <v>354.09</v>
      </c>
      <c r="D22">
        <v>423.55</v>
      </c>
      <c r="E22">
        <v>441.15</v>
      </c>
      <c r="F22">
        <v>449.88</v>
      </c>
      <c r="G22">
        <v>589.64</v>
      </c>
      <c r="H22">
        <v>770.37</v>
      </c>
      <c r="I22">
        <v>812.68</v>
      </c>
      <c r="J22">
        <v>940.95</v>
      </c>
      <c r="K22">
        <v>1174.01</v>
      </c>
    </row>
    <row r="23" spans="1:11" s="6" customFormat="1" x14ac:dyDescent="0.3">
      <c r="A23" s="4" t="s">
        <v>74</v>
      </c>
      <c r="B23"/>
      <c r="C23">
        <v>593.33000000000004</v>
      </c>
      <c r="D23">
        <v>647.35</v>
      </c>
      <c r="E23">
        <v>629.63</v>
      </c>
      <c r="F23">
        <v>190.79</v>
      </c>
      <c r="G23">
        <v>208</v>
      </c>
      <c r="H23">
        <v>508.97</v>
      </c>
      <c r="I23">
        <v>628.69000000000005</v>
      </c>
      <c r="J23">
        <v>737.66</v>
      </c>
      <c r="K23"/>
    </row>
    <row r="24" spans="1:11" s="6" customFormat="1" x14ac:dyDescent="0.3">
      <c r="A24" s="4" t="s">
        <v>75</v>
      </c>
      <c r="B24"/>
      <c r="C24">
        <v>20.88</v>
      </c>
      <c r="D24">
        <v>17.71</v>
      </c>
      <c r="E24">
        <v>15.78</v>
      </c>
      <c r="F24">
        <v>24.85</v>
      </c>
      <c r="G24">
        <v>39.369999999999997</v>
      </c>
      <c r="H24">
        <v>-207.94</v>
      </c>
      <c r="I24">
        <v>-231.21</v>
      </c>
      <c r="J24">
        <v>-231.85</v>
      </c>
      <c r="K24">
        <v>2528.6</v>
      </c>
    </row>
    <row r="25" spans="1:11" s="6" customFormat="1" x14ac:dyDescent="0.3">
      <c r="A25" s="6" t="s">
        <v>8</v>
      </c>
      <c r="B25"/>
      <c r="C25">
        <v>58.97</v>
      </c>
      <c r="D25">
        <v>65.19</v>
      </c>
      <c r="E25">
        <v>56.17</v>
      </c>
      <c r="F25">
        <v>72.180000000000007</v>
      </c>
      <c r="G25">
        <v>-122.5</v>
      </c>
      <c r="H25">
        <v>110.18</v>
      </c>
      <c r="I25">
        <v>139.24</v>
      </c>
      <c r="J25">
        <v>178.07</v>
      </c>
      <c r="K25">
        <v>82.01</v>
      </c>
    </row>
    <row r="26" spans="1:11" s="6" customFormat="1" x14ac:dyDescent="0.3">
      <c r="A26" s="6" t="s">
        <v>9</v>
      </c>
      <c r="B26"/>
      <c r="C26">
        <v>95.51</v>
      </c>
      <c r="D26">
        <v>94.42</v>
      </c>
      <c r="E26">
        <v>102.64</v>
      </c>
      <c r="F26">
        <v>119.74</v>
      </c>
      <c r="G26">
        <v>174.09</v>
      </c>
      <c r="H26">
        <v>221.12</v>
      </c>
      <c r="I26">
        <v>232.19</v>
      </c>
      <c r="J26">
        <v>244.98</v>
      </c>
      <c r="K26">
        <v>359.42</v>
      </c>
    </row>
    <row r="27" spans="1:11" s="6" customFormat="1" x14ac:dyDescent="0.3">
      <c r="A27" s="6" t="s">
        <v>10</v>
      </c>
      <c r="B27"/>
      <c r="C27">
        <v>99.68</v>
      </c>
      <c r="D27">
        <v>99.37</v>
      </c>
      <c r="E27">
        <v>101.27</v>
      </c>
      <c r="F27">
        <v>152.66</v>
      </c>
      <c r="G27">
        <v>179.46</v>
      </c>
      <c r="H27">
        <v>100.87</v>
      </c>
      <c r="I27">
        <v>83.86</v>
      </c>
      <c r="J27">
        <v>59.89</v>
      </c>
      <c r="K27">
        <v>165.02</v>
      </c>
    </row>
    <row r="28" spans="1:11" s="6" customFormat="1" x14ac:dyDescent="0.3">
      <c r="A28" s="6" t="s">
        <v>11</v>
      </c>
      <c r="B28"/>
      <c r="C28">
        <v>4.7</v>
      </c>
      <c r="D28">
        <v>-15.2</v>
      </c>
      <c r="E28">
        <v>8.32</v>
      </c>
      <c r="F28">
        <v>89.08</v>
      </c>
      <c r="G28">
        <v>-68.650000000000006</v>
      </c>
      <c r="H28">
        <v>738.9</v>
      </c>
      <c r="I28">
        <v>1063.72</v>
      </c>
      <c r="J28">
        <v>1365.32</v>
      </c>
      <c r="K28">
        <v>1406.37</v>
      </c>
    </row>
    <row r="29" spans="1:11" s="6" customFormat="1" x14ac:dyDescent="0.3">
      <c r="A29" s="6" t="s">
        <v>12</v>
      </c>
      <c r="B29"/>
      <c r="C29">
        <v>-11.09</v>
      </c>
      <c r="D29">
        <v>9.9499999999999993</v>
      </c>
      <c r="E29">
        <v>8.51</v>
      </c>
      <c r="F29">
        <v>-6.26</v>
      </c>
      <c r="G29">
        <v>45.85</v>
      </c>
      <c r="H29">
        <v>133.85</v>
      </c>
      <c r="I29">
        <v>-39.79</v>
      </c>
      <c r="J29">
        <v>307.68</v>
      </c>
      <c r="K29">
        <v>330.49</v>
      </c>
    </row>
    <row r="30" spans="1:11" s="6" customFormat="1" x14ac:dyDescent="0.3">
      <c r="A30" s="6" t="s">
        <v>13</v>
      </c>
      <c r="B30"/>
      <c r="C30">
        <v>15.79</v>
      </c>
      <c r="D30">
        <v>-25.15</v>
      </c>
      <c r="E30">
        <v>-3.01</v>
      </c>
      <c r="F30">
        <v>95.34</v>
      </c>
      <c r="G30">
        <v>-137.55000000000001</v>
      </c>
      <c r="H30">
        <v>605.04999999999995</v>
      </c>
      <c r="I30">
        <v>1103.51</v>
      </c>
      <c r="J30">
        <v>1057.6400000000001</v>
      </c>
      <c r="K30">
        <v>1075.8800000000001</v>
      </c>
    </row>
    <row r="31" spans="1:11" s="6" customFormat="1" x14ac:dyDescent="0.3">
      <c r="A31" s="6" t="s">
        <v>59</v>
      </c>
      <c r="C31"/>
      <c r="I31">
        <v>97.09</v>
      </c>
      <c r="J31">
        <v>145.79</v>
      </c>
      <c r="K31">
        <v>145.82</v>
      </c>
    </row>
    <row r="32" spans="1:11" s="6" customFormat="1" x14ac:dyDescent="0.3"/>
    <row r="33" spans="1:11" x14ac:dyDescent="0.3">
      <c r="A33" s="6"/>
    </row>
    <row r="34" spans="1:11" x14ac:dyDescent="0.3">
      <c r="A34" s="6"/>
    </row>
    <row r="35" spans="1:11" x14ac:dyDescent="0.3">
      <c r="A35" s="6"/>
    </row>
    <row r="36" spans="1:11" x14ac:dyDescent="0.3">
      <c r="A36" s="6"/>
    </row>
    <row r="37" spans="1:11" x14ac:dyDescent="0.3">
      <c r="A37" s="6"/>
    </row>
    <row r="38" spans="1:11" x14ac:dyDescent="0.3">
      <c r="A38" s="6"/>
    </row>
    <row r="39" spans="1:11" x14ac:dyDescent="0.3">
      <c r="A39" s="6"/>
    </row>
    <row r="40" spans="1:11" x14ac:dyDescent="0.3">
      <c r="A40" s="1" t="s">
        <v>37</v>
      </c>
    </row>
    <row r="41" spans="1:11" s="18" customFormat="1" x14ac:dyDescent="0.3">
      <c r="A41" s="17" t="s">
        <v>36</v>
      </c>
      <c r="B41" s="12">
        <v>44926</v>
      </c>
      <c r="C41" s="12">
        <v>45016</v>
      </c>
      <c r="D41" s="12">
        <v>45107</v>
      </c>
      <c r="E41" s="12">
        <v>45199</v>
      </c>
      <c r="F41" s="12">
        <v>45291</v>
      </c>
      <c r="G41" s="12">
        <v>45382</v>
      </c>
      <c r="H41" s="12">
        <v>45473</v>
      </c>
      <c r="I41" s="12">
        <v>45565</v>
      </c>
      <c r="J41" s="12">
        <v>45657</v>
      </c>
      <c r="K41" s="12">
        <v>45747</v>
      </c>
    </row>
    <row r="42" spans="1:11" s="6" customFormat="1" x14ac:dyDescent="0.3">
      <c r="A42" s="6" t="s">
        <v>5</v>
      </c>
      <c r="B42">
        <v>1141.78</v>
      </c>
      <c r="C42">
        <v>1214.51</v>
      </c>
      <c r="D42">
        <v>1284.99</v>
      </c>
      <c r="E42">
        <v>1363.16</v>
      </c>
      <c r="F42">
        <v>1334.97</v>
      </c>
      <c r="G42">
        <v>1422.9</v>
      </c>
      <c r="H42">
        <v>1542.95</v>
      </c>
      <c r="I42">
        <v>1707.46</v>
      </c>
      <c r="J42">
        <v>1868.31</v>
      </c>
      <c r="K42">
        <v>1909.74</v>
      </c>
    </row>
    <row r="43" spans="1:11" s="6" customFormat="1" x14ac:dyDescent="0.3">
      <c r="A43" s="6" t="s">
        <v>6</v>
      </c>
      <c r="B43">
        <v>827.79</v>
      </c>
      <c r="C43">
        <v>874.17</v>
      </c>
      <c r="D43">
        <v>947.61</v>
      </c>
      <c r="E43">
        <v>975.81</v>
      </c>
      <c r="F43">
        <v>949.11</v>
      </c>
      <c r="G43">
        <v>1041.3699999999999</v>
      </c>
      <c r="H43">
        <v>1155.54</v>
      </c>
      <c r="I43">
        <v>1256.92</v>
      </c>
      <c r="J43">
        <v>1369.18</v>
      </c>
      <c r="K43">
        <v>1398.12</v>
      </c>
    </row>
    <row r="44" spans="1:11" s="6" customFormat="1" x14ac:dyDescent="0.3">
      <c r="A44" s="6" t="s">
        <v>8</v>
      </c>
      <c r="B44">
        <v>44.61</v>
      </c>
      <c r="C44">
        <v>40.22</v>
      </c>
      <c r="D44">
        <v>41.32</v>
      </c>
      <c r="E44">
        <v>45.48</v>
      </c>
      <c r="F44">
        <v>46.02</v>
      </c>
      <c r="G44">
        <v>45.25</v>
      </c>
      <c r="H44">
        <v>34.68</v>
      </c>
      <c r="I44">
        <v>40.840000000000003</v>
      </c>
      <c r="J44">
        <v>-40.33</v>
      </c>
      <c r="K44">
        <v>46.92</v>
      </c>
    </row>
    <row r="45" spans="1:11" s="6" customFormat="1" x14ac:dyDescent="0.3">
      <c r="A45" s="6" t="s">
        <v>9</v>
      </c>
      <c r="B45">
        <v>57.03</v>
      </c>
      <c r="C45">
        <v>60.35</v>
      </c>
      <c r="D45">
        <v>55.82</v>
      </c>
      <c r="E45">
        <v>57.88</v>
      </c>
      <c r="F45">
        <v>60.96</v>
      </c>
      <c r="G45">
        <v>70.319999999999993</v>
      </c>
      <c r="H45">
        <v>76.900000000000006</v>
      </c>
      <c r="I45">
        <v>84.15</v>
      </c>
      <c r="J45">
        <v>97.54</v>
      </c>
      <c r="K45">
        <v>100.83</v>
      </c>
    </row>
    <row r="46" spans="1:11" s="6" customFormat="1" x14ac:dyDescent="0.3">
      <c r="A46" s="6" t="s">
        <v>10</v>
      </c>
      <c r="B46">
        <v>20.13</v>
      </c>
      <c r="C46">
        <v>19.53</v>
      </c>
      <c r="D46">
        <v>19.39</v>
      </c>
      <c r="E46">
        <v>8.5299999999999994</v>
      </c>
      <c r="F46">
        <v>11.24</v>
      </c>
      <c r="G46">
        <v>20.73</v>
      </c>
      <c r="H46">
        <v>23.88</v>
      </c>
      <c r="I46">
        <v>33.54</v>
      </c>
      <c r="J46">
        <v>52.39</v>
      </c>
      <c r="K46">
        <v>55.21</v>
      </c>
    </row>
    <row r="47" spans="1:11" s="6" customFormat="1" x14ac:dyDescent="0.3">
      <c r="A47" s="6" t="s">
        <v>11</v>
      </c>
      <c r="B47">
        <v>281.44</v>
      </c>
      <c r="C47">
        <v>300.68</v>
      </c>
      <c r="D47">
        <v>303.49</v>
      </c>
      <c r="E47">
        <v>366.42</v>
      </c>
      <c r="F47">
        <v>359.68</v>
      </c>
      <c r="G47">
        <v>335.73</v>
      </c>
      <c r="H47">
        <v>321.31</v>
      </c>
      <c r="I47">
        <v>373.69</v>
      </c>
      <c r="J47">
        <v>308.87</v>
      </c>
      <c r="K47">
        <v>402.5</v>
      </c>
    </row>
    <row r="48" spans="1:11" s="6" customFormat="1" x14ac:dyDescent="0.3">
      <c r="A48" s="6" t="s">
        <v>12</v>
      </c>
      <c r="B48">
        <v>59.03</v>
      </c>
      <c r="C48">
        <v>49.76</v>
      </c>
      <c r="D48">
        <v>63.41</v>
      </c>
      <c r="E48">
        <v>89.74</v>
      </c>
      <c r="F48">
        <v>70.34</v>
      </c>
      <c r="G48">
        <v>84.19</v>
      </c>
      <c r="H48">
        <v>85.04</v>
      </c>
      <c r="I48">
        <v>91.88</v>
      </c>
      <c r="J48">
        <v>70.069999999999993</v>
      </c>
      <c r="K48">
        <v>83.5</v>
      </c>
    </row>
    <row r="49" spans="1:11" s="6" customFormat="1" x14ac:dyDescent="0.3">
      <c r="A49" s="6" t="s">
        <v>13</v>
      </c>
      <c r="B49">
        <v>222.41</v>
      </c>
      <c r="C49">
        <v>250.92</v>
      </c>
      <c r="D49">
        <v>240.08</v>
      </c>
      <c r="E49">
        <v>276.68</v>
      </c>
      <c r="F49">
        <v>289.33999999999997</v>
      </c>
      <c r="G49">
        <v>251.54</v>
      </c>
      <c r="H49">
        <v>236.27</v>
      </c>
      <c r="I49">
        <v>281.81</v>
      </c>
      <c r="J49">
        <v>238.8</v>
      </c>
      <c r="K49">
        <v>319</v>
      </c>
    </row>
    <row r="50" spans="1:11" x14ac:dyDescent="0.3">
      <c r="A50" s="6" t="s">
        <v>7</v>
      </c>
      <c r="B50">
        <v>313.99</v>
      </c>
      <c r="C50">
        <v>340.34</v>
      </c>
      <c r="D50">
        <v>337.38</v>
      </c>
      <c r="E50">
        <v>387.35</v>
      </c>
      <c r="F50">
        <v>385.86</v>
      </c>
      <c r="G50">
        <v>381.53</v>
      </c>
      <c r="H50">
        <v>387.41</v>
      </c>
      <c r="I50">
        <v>450.54</v>
      </c>
      <c r="J50">
        <v>499.13</v>
      </c>
      <c r="K50">
        <v>511.62</v>
      </c>
    </row>
    <row r="51" spans="1:11" x14ac:dyDescent="0.3">
      <c r="A51" s="6"/>
    </row>
    <row r="52" spans="1:11" x14ac:dyDescent="0.3">
      <c r="A52" s="6"/>
    </row>
    <row r="53" spans="1:11" x14ac:dyDescent="0.3">
      <c r="A53" s="6"/>
    </row>
    <row r="54" spans="1:11" x14ac:dyDescent="0.3">
      <c r="A54" s="6"/>
    </row>
    <row r="55" spans="1:11" x14ac:dyDescent="0.3">
      <c r="A55" s="1" t="s">
        <v>38</v>
      </c>
    </row>
    <row r="56" spans="1:11" s="18" customFormat="1" x14ac:dyDescent="0.3">
      <c r="A56" s="17" t="s">
        <v>36</v>
      </c>
      <c r="B56" s="12">
        <v>42094</v>
      </c>
      <c r="C56" s="12">
        <v>42825</v>
      </c>
      <c r="D56" s="12">
        <v>43190</v>
      </c>
      <c r="E56" s="12">
        <v>43555</v>
      </c>
      <c r="F56" s="12">
        <v>43921</v>
      </c>
      <c r="G56" s="12">
        <v>44286</v>
      </c>
      <c r="H56" s="12">
        <v>44651</v>
      </c>
      <c r="I56" s="12">
        <v>45016</v>
      </c>
      <c r="J56" s="12">
        <v>45382</v>
      </c>
      <c r="K56" s="12">
        <v>45747</v>
      </c>
    </row>
    <row r="57" spans="1:11" x14ac:dyDescent="0.3">
      <c r="A57" s="6" t="s">
        <v>23</v>
      </c>
      <c r="B57"/>
      <c r="C57">
        <v>537.24</v>
      </c>
      <c r="D57">
        <v>537.24</v>
      </c>
      <c r="E57">
        <v>537.24</v>
      </c>
      <c r="F57">
        <v>537.24</v>
      </c>
      <c r="G57">
        <v>965.95</v>
      </c>
      <c r="H57">
        <v>969.61</v>
      </c>
      <c r="I57">
        <v>970.92</v>
      </c>
      <c r="J57">
        <v>971.91</v>
      </c>
      <c r="K57">
        <v>972.14</v>
      </c>
    </row>
    <row r="58" spans="1:11" x14ac:dyDescent="0.3">
      <c r="A58" s="6" t="s">
        <v>24</v>
      </c>
      <c r="B58"/>
      <c r="C58">
        <v>655.14</v>
      </c>
      <c r="D58">
        <v>626.66999999999996</v>
      </c>
      <c r="E58">
        <v>425.95</v>
      </c>
      <c r="F58">
        <v>450.17</v>
      </c>
      <c r="G58">
        <v>4672.7299999999996</v>
      </c>
      <c r="H58">
        <v>5312.86</v>
      </c>
      <c r="I58">
        <v>6438.67</v>
      </c>
      <c r="J58">
        <v>7436.23</v>
      </c>
      <c r="K58">
        <v>8408.73</v>
      </c>
    </row>
    <row r="59" spans="1:11" x14ac:dyDescent="0.3">
      <c r="A59" s="6" t="s">
        <v>60</v>
      </c>
      <c r="B59"/>
      <c r="C59">
        <v>874.09</v>
      </c>
      <c r="D59">
        <v>980.52</v>
      </c>
      <c r="E59">
        <v>1002.75</v>
      </c>
      <c r="F59">
        <v>1516.42</v>
      </c>
      <c r="G59">
        <v>1101.4100000000001</v>
      </c>
      <c r="H59">
        <v>913.38</v>
      </c>
      <c r="I59">
        <v>688.96</v>
      </c>
      <c r="J59">
        <v>1298.95</v>
      </c>
      <c r="K59">
        <v>3010.29</v>
      </c>
    </row>
    <row r="60" spans="1:11" x14ac:dyDescent="0.3">
      <c r="A60" s="6" t="s">
        <v>61</v>
      </c>
      <c r="B60"/>
      <c r="C60">
        <v>1079.6300000000001</v>
      </c>
      <c r="D60">
        <v>1157.0899999999999</v>
      </c>
      <c r="E60">
        <v>1388.6</v>
      </c>
      <c r="F60">
        <v>1300.08</v>
      </c>
      <c r="G60">
        <v>1803.37</v>
      </c>
      <c r="H60">
        <v>1993.28</v>
      </c>
      <c r="I60">
        <v>2003.3</v>
      </c>
      <c r="J60">
        <v>2292.85</v>
      </c>
      <c r="K60">
        <v>2823.32</v>
      </c>
    </row>
    <row r="61" spans="1:11" s="1" customFormat="1" x14ac:dyDescent="0.3">
      <c r="A61" s="1" t="s">
        <v>25</v>
      </c>
      <c r="B61"/>
      <c r="C61">
        <v>3146.1</v>
      </c>
      <c r="D61">
        <v>3301.52</v>
      </c>
      <c r="E61">
        <v>3354.54</v>
      </c>
      <c r="F61">
        <v>3803.91</v>
      </c>
      <c r="G61">
        <v>8543.4599999999991</v>
      </c>
      <c r="H61">
        <v>9189.1299999999992</v>
      </c>
      <c r="I61">
        <v>10101.85</v>
      </c>
      <c r="J61">
        <v>11999.94</v>
      </c>
      <c r="K61">
        <v>15214.48</v>
      </c>
    </row>
    <row r="62" spans="1:11" x14ac:dyDescent="0.3">
      <c r="A62" s="6" t="s">
        <v>26</v>
      </c>
      <c r="B62"/>
      <c r="C62">
        <v>2244.2399999999998</v>
      </c>
      <c r="D62">
        <v>2227.1799999999998</v>
      </c>
      <c r="E62">
        <v>2192.37</v>
      </c>
      <c r="F62">
        <v>2379.7199999999998</v>
      </c>
      <c r="G62">
        <v>6536.38</v>
      </c>
      <c r="H62">
        <v>7017.58</v>
      </c>
      <c r="I62">
        <v>7038.7</v>
      </c>
      <c r="J62">
        <v>8783.69</v>
      </c>
      <c r="K62">
        <v>11501.86</v>
      </c>
    </row>
    <row r="63" spans="1:11" x14ac:dyDescent="0.3">
      <c r="A63" s="6" t="s">
        <v>27</v>
      </c>
      <c r="B63"/>
      <c r="C63">
        <v>46.14</v>
      </c>
      <c r="D63">
        <v>38.299999999999997</v>
      </c>
      <c r="E63">
        <v>87.02</v>
      </c>
      <c r="F63">
        <v>5.66</v>
      </c>
      <c r="G63">
        <v>26.93</v>
      </c>
      <c r="H63">
        <v>151.12</v>
      </c>
      <c r="I63">
        <v>252.43</v>
      </c>
      <c r="J63">
        <v>553.04</v>
      </c>
      <c r="K63">
        <v>900.45</v>
      </c>
    </row>
    <row r="64" spans="1:11" x14ac:dyDescent="0.3">
      <c r="A64" s="6" t="s">
        <v>28</v>
      </c>
      <c r="B64"/>
      <c r="C64"/>
      <c r="D64"/>
      <c r="E64">
        <v>0.51</v>
      </c>
      <c r="F64">
        <v>0.51</v>
      </c>
      <c r="G64">
        <v>0.51</v>
      </c>
      <c r="H64">
        <v>0.51</v>
      </c>
      <c r="I64">
        <v>0.51</v>
      </c>
      <c r="J64">
        <v>2.12</v>
      </c>
      <c r="K64">
        <v>2.89</v>
      </c>
    </row>
    <row r="65" spans="1:11" x14ac:dyDescent="0.3">
      <c r="A65" s="6" t="s">
        <v>62</v>
      </c>
      <c r="B65"/>
      <c r="C65">
        <v>855.72</v>
      </c>
      <c r="D65">
        <v>1036.04</v>
      </c>
      <c r="E65">
        <v>1074.6400000000001</v>
      </c>
      <c r="F65">
        <v>1418.02</v>
      </c>
      <c r="G65">
        <v>1979.64</v>
      </c>
      <c r="H65">
        <v>2019.92</v>
      </c>
      <c r="I65">
        <v>2810.21</v>
      </c>
      <c r="J65">
        <v>2661.09</v>
      </c>
      <c r="K65">
        <v>2809.28</v>
      </c>
    </row>
    <row r="66" spans="1:11" s="1" customFormat="1" x14ac:dyDescent="0.3">
      <c r="A66" s="1" t="s">
        <v>25</v>
      </c>
      <c r="B66"/>
      <c r="C66">
        <v>3146.1</v>
      </c>
      <c r="D66">
        <v>3301.52</v>
      </c>
      <c r="E66">
        <v>3354.54</v>
      </c>
      <c r="F66">
        <v>3803.91</v>
      </c>
      <c r="G66">
        <v>8543.4599999999991</v>
      </c>
      <c r="H66">
        <v>9189.1299999999992</v>
      </c>
      <c r="I66">
        <v>10101.85</v>
      </c>
      <c r="J66">
        <v>11999.94</v>
      </c>
      <c r="K66">
        <v>15214.48</v>
      </c>
    </row>
    <row r="67" spans="1:11" s="6" customFormat="1" x14ac:dyDescent="0.3">
      <c r="A67" s="6" t="s">
        <v>67</v>
      </c>
      <c r="B67"/>
      <c r="C67">
        <v>234.82</v>
      </c>
      <c r="D67">
        <v>279.56</v>
      </c>
      <c r="E67">
        <v>362.61</v>
      </c>
      <c r="F67">
        <v>411.16</v>
      </c>
      <c r="G67">
        <v>365.89</v>
      </c>
      <c r="H67">
        <v>385.36</v>
      </c>
      <c r="I67">
        <v>336.12</v>
      </c>
      <c r="J67">
        <v>462.69</v>
      </c>
      <c r="K67">
        <v>687.31</v>
      </c>
    </row>
    <row r="68" spans="1:11" x14ac:dyDescent="0.3">
      <c r="A68" s="6" t="s">
        <v>43</v>
      </c>
      <c r="B68"/>
      <c r="C68">
        <v>23.12</v>
      </c>
      <c r="D68">
        <v>28.27</v>
      </c>
      <c r="E68">
        <v>26.01</v>
      </c>
      <c r="F68">
        <v>43.37</v>
      </c>
      <c r="G68">
        <v>53.8</v>
      </c>
      <c r="H68">
        <v>61.36</v>
      </c>
      <c r="I68">
        <v>76.23</v>
      </c>
      <c r="J68">
        <v>79.84</v>
      </c>
      <c r="K68">
        <v>106.21</v>
      </c>
    </row>
    <row r="69" spans="1:11" x14ac:dyDescent="0.3">
      <c r="A69" s="4" t="s">
        <v>76</v>
      </c>
      <c r="B69"/>
      <c r="C69">
        <v>22.75</v>
      </c>
      <c r="D69">
        <v>89.97</v>
      </c>
      <c r="E69">
        <v>11.64</v>
      </c>
      <c r="F69">
        <v>280.79000000000002</v>
      </c>
      <c r="G69">
        <v>652.91999999999996</v>
      </c>
      <c r="H69">
        <v>499.31</v>
      </c>
      <c r="I69">
        <v>1468.07</v>
      </c>
      <c r="J69">
        <v>1099.27</v>
      </c>
      <c r="K69">
        <v>681.89</v>
      </c>
    </row>
    <row r="70" spans="1:11" x14ac:dyDescent="0.3">
      <c r="A70" s="4" t="s">
        <v>63</v>
      </c>
      <c r="B70"/>
      <c r="C70">
        <v>537244328</v>
      </c>
      <c r="D70">
        <v>537244328</v>
      </c>
      <c r="E70">
        <v>537244328</v>
      </c>
      <c r="F70">
        <v>537244328</v>
      </c>
      <c r="G70">
        <v>965945006</v>
      </c>
      <c r="H70">
        <v>969613455</v>
      </c>
      <c r="I70">
        <v>970922825</v>
      </c>
      <c r="J70">
        <v>971912408</v>
      </c>
      <c r="K70"/>
    </row>
    <row r="71" spans="1:11" x14ac:dyDescent="0.3">
      <c r="A71" s="4" t="s">
        <v>64</v>
      </c>
    </row>
    <row r="72" spans="1:11" x14ac:dyDescent="0.3">
      <c r="A72" s="4" t="s">
        <v>77</v>
      </c>
      <c r="B72"/>
      <c r="C72">
        <v>10</v>
      </c>
      <c r="D72">
        <v>10</v>
      </c>
      <c r="E72">
        <v>10</v>
      </c>
      <c r="F72">
        <v>10</v>
      </c>
      <c r="G72">
        <v>10</v>
      </c>
      <c r="H72">
        <v>10</v>
      </c>
      <c r="I72">
        <v>10</v>
      </c>
      <c r="J72">
        <v>10</v>
      </c>
      <c r="K72">
        <v>10</v>
      </c>
    </row>
    <row r="74" spans="1:11" x14ac:dyDescent="0.3">
      <c r="A74" s="6"/>
    </row>
    <row r="75" spans="1:11" x14ac:dyDescent="0.3">
      <c r="A75" s="6"/>
    </row>
    <row r="76" spans="1:11" x14ac:dyDescent="0.3">
      <c r="A76" s="6"/>
    </row>
    <row r="77" spans="1:11" x14ac:dyDescent="0.3">
      <c r="A77" s="6"/>
    </row>
    <row r="78" spans="1:11" x14ac:dyDescent="0.3">
      <c r="A78" s="6"/>
    </row>
    <row r="79" spans="1:11" x14ac:dyDescent="0.3">
      <c r="A79" s="6"/>
    </row>
    <row r="80" spans="1:11" x14ac:dyDescent="0.3">
      <c r="A80" s="1" t="s">
        <v>39</v>
      </c>
    </row>
    <row r="81" spans="1:11" s="18" customFormat="1" x14ac:dyDescent="0.3">
      <c r="A81" s="17" t="s">
        <v>36</v>
      </c>
      <c r="B81" s="12">
        <v>42094</v>
      </c>
      <c r="C81" s="12">
        <v>42825</v>
      </c>
      <c r="D81" s="12">
        <v>43190</v>
      </c>
      <c r="E81" s="12">
        <v>43555</v>
      </c>
      <c r="F81" s="12">
        <v>43921</v>
      </c>
      <c r="G81" s="12">
        <v>44286</v>
      </c>
      <c r="H81" s="12">
        <v>44651</v>
      </c>
      <c r="I81" s="12">
        <v>45016</v>
      </c>
      <c r="J81" s="12">
        <v>45382</v>
      </c>
      <c r="K81" s="12">
        <v>45747</v>
      </c>
    </row>
    <row r="82" spans="1:11" s="1" customFormat="1" x14ac:dyDescent="0.3">
      <c r="A82" s="6" t="s">
        <v>31</v>
      </c>
      <c r="B82"/>
      <c r="C82">
        <v>156.06</v>
      </c>
      <c r="D82">
        <v>165.71</v>
      </c>
      <c r="E82">
        <v>88.95</v>
      </c>
      <c r="F82">
        <v>249.82</v>
      </c>
      <c r="G82">
        <v>117.86</v>
      </c>
      <c r="H82">
        <v>740.52</v>
      </c>
      <c r="I82">
        <v>1284.1300000000001</v>
      </c>
      <c r="J82">
        <v>1121.8</v>
      </c>
      <c r="K82">
        <v>1459.31</v>
      </c>
    </row>
    <row r="83" spans="1:11" s="6" customFormat="1" x14ac:dyDescent="0.3">
      <c r="A83" s="6" t="s">
        <v>32</v>
      </c>
      <c r="B83"/>
      <c r="C83">
        <v>-103.79</v>
      </c>
      <c r="D83">
        <v>-124.11</v>
      </c>
      <c r="E83">
        <v>-16.53</v>
      </c>
      <c r="F83">
        <v>-126.68</v>
      </c>
      <c r="G83">
        <v>206.39</v>
      </c>
      <c r="H83">
        <v>-763.8</v>
      </c>
      <c r="I83">
        <v>-102.21</v>
      </c>
      <c r="J83">
        <v>-1252.55</v>
      </c>
      <c r="K83">
        <v>-1631.74</v>
      </c>
    </row>
    <row r="84" spans="1:11" s="6" customFormat="1" x14ac:dyDescent="0.3">
      <c r="A84" s="6" t="s">
        <v>33</v>
      </c>
      <c r="B84"/>
      <c r="C84">
        <v>-48.19</v>
      </c>
      <c r="D84">
        <v>-47.72</v>
      </c>
      <c r="E84">
        <v>-73.95</v>
      </c>
      <c r="F84">
        <v>144.05000000000001</v>
      </c>
      <c r="G84">
        <v>191.33</v>
      </c>
      <c r="H84">
        <v>-294.17</v>
      </c>
      <c r="I84">
        <v>-288.56</v>
      </c>
      <c r="J84">
        <v>-263.74</v>
      </c>
      <c r="K84">
        <v>-163.80000000000001</v>
      </c>
    </row>
    <row r="85" spans="1:11" s="1" customFormat="1" x14ac:dyDescent="0.3">
      <c r="A85" s="6" t="s">
        <v>34</v>
      </c>
      <c r="B85"/>
      <c r="C85">
        <v>4.08</v>
      </c>
      <c r="D85">
        <v>-6.12</v>
      </c>
      <c r="E85">
        <v>-1.53</v>
      </c>
      <c r="F85">
        <v>267.19</v>
      </c>
      <c r="G85">
        <v>515.58000000000004</v>
      </c>
      <c r="H85">
        <v>-317.45</v>
      </c>
      <c r="I85">
        <v>893.36</v>
      </c>
      <c r="J85">
        <v>-394.49</v>
      </c>
      <c r="K85">
        <v>-336.23</v>
      </c>
    </row>
    <row r="86" spans="1:11" x14ac:dyDescent="0.3">
      <c r="A86" s="6"/>
    </row>
    <row r="87" spans="1:11" x14ac:dyDescent="0.3">
      <c r="A87" s="6"/>
    </row>
    <row r="88" spans="1:11" x14ac:dyDescent="0.3">
      <c r="A88" s="6"/>
    </row>
    <row r="89" spans="1:11" x14ac:dyDescent="0.3">
      <c r="A89" s="6"/>
    </row>
    <row r="90" spans="1:11" s="1" customFormat="1" x14ac:dyDescent="0.3">
      <c r="A90" s="1" t="s">
        <v>66</v>
      </c>
      <c r="B90"/>
      <c r="C90"/>
      <c r="D90"/>
      <c r="E90"/>
      <c r="F90"/>
      <c r="G90">
        <v>205.75</v>
      </c>
      <c r="H90">
        <v>347.65</v>
      </c>
      <c r="I90">
        <v>441.1</v>
      </c>
      <c r="J90">
        <v>819.9</v>
      </c>
      <c r="K90">
        <v>1096.95</v>
      </c>
    </row>
    <row r="92" spans="1:11" s="1" customFormat="1" x14ac:dyDescent="0.3">
      <c r="A92" s="1" t="s">
        <v>65</v>
      </c>
    </row>
    <row r="93" spans="1:11" x14ac:dyDescent="0.3">
      <c r="A93" s="4" t="s">
        <v>78</v>
      </c>
      <c r="B93" s="20"/>
      <c r="C93" s="20">
        <v>53.72</v>
      </c>
      <c r="D93" s="20">
        <v>53.72</v>
      </c>
      <c r="E93" s="20">
        <v>53.72</v>
      </c>
      <c r="F93" s="20">
        <v>53.72</v>
      </c>
      <c r="G93" s="20">
        <v>96.59</v>
      </c>
      <c r="H93" s="20">
        <v>96.96</v>
      </c>
      <c r="I93" s="20">
        <v>97.09</v>
      </c>
      <c r="J93" s="20">
        <v>97.19</v>
      </c>
      <c r="K93" s="20">
        <v>97.21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7B951-3803-4298-A8AE-E83D42056137}">
  <sheetPr>
    <tabColor rgb="FF002060"/>
  </sheetPr>
  <dimension ref="A1"/>
  <sheetViews>
    <sheetView workbookViewId="0"/>
  </sheetViews>
  <sheetFormatPr defaultRowHeight="14.4" x14ac:dyDescent="0.3"/>
  <sheetData>
    <row r="1" spans="1:1" x14ac:dyDescent="0.3">
      <c r="A1" t="s">
        <v>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887F1-44DA-447A-89E4-B7C0F16C52EF}">
  <dimension ref="A2:N107"/>
  <sheetViews>
    <sheetView showGridLines="0" workbookViewId="0">
      <pane ySplit="3" topLeftCell="A4" activePane="bottomLeft" state="frozen"/>
      <selection pane="bottomLeft" activeCell="I112" sqref="I112"/>
    </sheetView>
  </sheetViews>
  <sheetFormatPr defaultRowHeight="14.4" x14ac:dyDescent="0.3"/>
  <cols>
    <col min="1" max="1" width="1.77734375" customWidth="1"/>
    <col min="2" max="2" width="19" customWidth="1"/>
    <col min="4" max="5" width="12.109375" bestFit="1" customWidth="1"/>
    <col min="6" max="13" width="11.88671875" bestFit="1" customWidth="1"/>
    <col min="14" max="14" width="11.6640625" customWidth="1"/>
  </cols>
  <sheetData>
    <row r="2" spans="1:14" x14ac:dyDescent="0.3">
      <c r="B2" s="66" t="str">
        <f>"Historical Financial Statement - "&amp;'Data Sheet'!B1</f>
        <v>Historical Financial Statement - MAX HEALTHCARE INSTITUTE LTD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</row>
    <row r="3" spans="1:14" x14ac:dyDescent="0.3">
      <c r="B3" s="21" t="s">
        <v>80</v>
      </c>
      <c r="C3" s="21"/>
      <c r="D3" s="22">
        <f>'Data Sheet'!B16</f>
        <v>42094</v>
      </c>
      <c r="E3" s="22">
        <f>'Data Sheet'!C16</f>
        <v>42825</v>
      </c>
      <c r="F3" s="22">
        <f>'Data Sheet'!D16</f>
        <v>43190</v>
      </c>
      <c r="G3" s="22">
        <f>'Data Sheet'!E16</f>
        <v>43555</v>
      </c>
      <c r="H3" s="22">
        <f>'Data Sheet'!F16</f>
        <v>43921</v>
      </c>
      <c r="I3" s="22">
        <f>'Data Sheet'!G16</f>
        <v>44286</v>
      </c>
      <c r="J3" s="22">
        <f>'Data Sheet'!H16</f>
        <v>44651</v>
      </c>
      <c r="K3" s="22">
        <f>'Data Sheet'!I16</f>
        <v>45016</v>
      </c>
      <c r="L3" s="22">
        <f>'Data Sheet'!J16</f>
        <v>45382</v>
      </c>
      <c r="M3" s="22">
        <f>'Data Sheet'!K16</f>
        <v>45747</v>
      </c>
      <c r="N3" s="23" t="s">
        <v>81</v>
      </c>
    </row>
    <row r="4" spans="1:14" x14ac:dyDescent="0.3">
      <c r="A4" t="s">
        <v>83</v>
      </c>
      <c r="B4" s="67" t="s">
        <v>82</v>
      </c>
      <c r="C4" s="67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</row>
    <row r="5" spans="1:14" ht="15" customHeight="1" x14ac:dyDescent="0.3">
      <c r="B5" t="s">
        <v>5</v>
      </c>
      <c r="D5" s="24">
        <f>IFERROR('Data Sheet'!B17,0)</f>
        <v>0</v>
      </c>
      <c r="E5" s="24">
        <f>IFERROR('Data Sheet'!C17,0)</f>
        <v>1608.26</v>
      </c>
      <c r="F5" s="24">
        <f>IFERROR('Data Sheet'!D17,0)</f>
        <v>1729.13</v>
      </c>
      <c r="G5" s="24">
        <f>IFERROR('Data Sheet'!E17,0)</f>
        <v>1691.02</v>
      </c>
      <c r="H5" s="24">
        <f>IFERROR('Data Sheet'!F17,0)</f>
        <v>1884.46</v>
      </c>
      <c r="I5" s="24">
        <f>IFERROR('Data Sheet'!G17,0)</f>
        <v>2507.9699999999998</v>
      </c>
      <c r="J5" s="24">
        <f>IFERROR('Data Sheet'!H17,0)</f>
        <v>3936.55</v>
      </c>
      <c r="K5" s="24">
        <f>IFERROR('Data Sheet'!I17,0)</f>
        <v>4562.6000000000004</v>
      </c>
      <c r="L5" s="24">
        <f>IFERROR('Data Sheet'!J17,0)</f>
        <v>5406.02</v>
      </c>
      <c r="M5" s="24">
        <f>IFERROR('Data Sheet'!K17,0)</f>
        <v>7028.46</v>
      </c>
      <c r="N5" s="24">
        <f>IFERROR(SUM('Data Sheet'!H42:K42),0)</f>
        <v>7028.4599999999991</v>
      </c>
    </row>
    <row r="6" spans="1:14" x14ac:dyDescent="0.3">
      <c r="B6" s="25" t="s">
        <v>21</v>
      </c>
      <c r="C6" s="25"/>
      <c r="D6" s="25" t="s">
        <v>84</v>
      </c>
      <c r="E6" s="26"/>
      <c r="F6" s="26">
        <f t="shared" ref="F6:N6" si="0">F5/E5 - 1</f>
        <v>7.5155758397274175E-2</v>
      </c>
      <c r="G6" s="26">
        <f t="shared" si="0"/>
        <v>-2.2039985426197006E-2</v>
      </c>
      <c r="H6" s="26">
        <f t="shared" si="0"/>
        <v>0.1143924968362291</v>
      </c>
      <c r="I6" s="26">
        <f t="shared" si="0"/>
        <v>0.33086932065419261</v>
      </c>
      <c r="J6" s="26">
        <f t="shared" si="0"/>
        <v>0.56961606398800635</v>
      </c>
      <c r="K6" s="26">
        <f t="shared" si="0"/>
        <v>0.15903519579327074</v>
      </c>
      <c r="L6" s="26">
        <f t="shared" si="0"/>
        <v>0.18485512646298163</v>
      </c>
      <c r="M6" s="26">
        <f t="shared" si="0"/>
        <v>0.30011727666564303</v>
      </c>
      <c r="N6" s="26">
        <f t="shared" si="0"/>
        <v>0</v>
      </c>
    </row>
    <row r="8" spans="1:14" x14ac:dyDescent="0.3">
      <c r="B8" t="s">
        <v>85</v>
      </c>
      <c r="D8" s="24">
        <f>IFERROR(SUM('Data Sheet'!B18,'Data Sheet'!B20:B22)-1*'Data Sheet'!B19,0)</f>
        <v>0</v>
      </c>
      <c r="E8" s="24">
        <f>IFERROR(SUM('Data Sheet'!C18,'Data Sheet'!C20:C22)-1*'Data Sheet'!C19,0)</f>
        <v>853.13</v>
      </c>
      <c r="F8" s="24">
        <f>IFERROR(SUM('Data Sheet'!D18,'Data Sheet'!D20:D22)-1*'Data Sheet'!D19,0)</f>
        <v>950.67</v>
      </c>
      <c r="G8" s="24">
        <f>IFERROR(SUM('Data Sheet'!E18,'Data Sheet'!E20:E22)-1*'Data Sheet'!E19,0)</f>
        <v>889.55</v>
      </c>
      <c r="H8" s="24">
        <f>IFERROR(SUM('Data Sheet'!F18,'Data Sheet'!F20:F22)-1*'Data Sheet'!F19,0)</f>
        <v>1379.5200000000002</v>
      </c>
      <c r="I8" s="24">
        <f>IFERROR(SUM('Data Sheet'!G18,'Data Sheet'!G20:G22)-1*'Data Sheet'!G19,0)</f>
        <v>1853.1999999999998</v>
      </c>
      <c r="J8" s="24">
        <f>IFERROR(SUM('Data Sheet'!H18,'Data Sheet'!H20:H22)-1*'Data Sheet'!H19,0)</f>
        <v>2684.81</v>
      </c>
      <c r="K8" s="24">
        <f>IFERROR(SUM('Data Sheet'!I18,'Data Sheet'!I20:I22)-1*'Data Sheet'!I19,0)</f>
        <v>2924.5899999999997</v>
      </c>
      <c r="L8" s="24">
        <f>IFERROR(SUM('Data Sheet'!J18,'Data Sheet'!J20:J22)-1*'Data Sheet'!J19,0)</f>
        <v>3408.0899999999997</v>
      </c>
      <c r="M8" s="24">
        <f>IFERROR(SUM('Data Sheet'!K18,'Data Sheet'!K20:K22)-1*'Data Sheet'!K19,0)</f>
        <v>2651.06</v>
      </c>
      <c r="N8" s="24">
        <f>IFERROR(SUM('Data Sheet'!H43:K43),0)</f>
        <v>5179.76</v>
      </c>
    </row>
    <row r="9" spans="1:14" x14ac:dyDescent="0.3">
      <c r="B9" s="25" t="s">
        <v>86</v>
      </c>
      <c r="C9" s="25"/>
      <c r="D9" s="26"/>
      <c r="E9" s="26">
        <f t="shared" ref="E9:N9" si="1">E8/E5</f>
        <v>0.53046771044482854</v>
      </c>
      <c r="F9" s="26">
        <f t="shared" si="1"/>
        <v>0.54979671858102042</v>
      </c>
      <c r="G9" s="26">
        <f t="shared" si="1"/>
        <v>0.52604345306383127</v>
      </c>
      <c r="H9" s="26">
        <f t="shared" si="1"/>
        <v>0.73205056090338883</v>
      </c>
      <c r="I9" s="26">
        <f t="shared" si="1"/>
        <v>0.73892430930194541</v>
      </c>
      <c r="J9" s="26">
        <f t="shared" si="1"/>
        <v>0.68202105904916732</v>
      </c>
      <c r="K9" s="26">
        <f t="shared" si="1"/>
        <v>0.64099197825801069</v>
      </c>
      <c r="L9" s="26">
        <f t="shared" si="1"/>
        <v>0.63042497068083347</v>
      </c>
      <c r="M9" s="26">
        <f t="shared" si="1"/>
        <v>0.37718931316390786</v>
      </c>
      <c r="N9" s="26">
        <f t="shared" si="1"/>
        <v>0.73696940723857018</v>
      </c>
    </row>
    <row r="11" spans="1:14" x14ac:dyDescent="0.3">
      <c r="B11" s="69" t="s">
        <v>87</v>
      </c>
      <c r="C11" s="69"/>
      <c r="D11" s="70">
        <f t="shared" ref="D11:N11" si="2">D5-D8</f>
        <v>0</v>
      </c>
      <c r="E11" s="70">
        <f t="shared" si="2"/>
        <v>755.13</v>
      </c>
      <c r="F11" s="70">
        <f t="shared" si="2"/>
        <v>778.46000000000015</v>
      </c>
      <c r="G11" s="70">
        <f t="shared" si="2"/>
        <v>801.47</v>
      </c>
      <c r="H11" s="70">
        <f t="shared" si="2"/>
        <v>504.93999999999983</v>
      </c>
      <c r="I11" s="70">
        <f t="shared" si="2"/>
        <v>654.77</v>
      </c>
      <c r="J11" s="70">
        <f t="shared" si="2"/>
        <v>1251.7400000000002</v>
      </c>
      <c r="K11" s="70">
        <f t="shared" si="2"/>
        <v>1638.0100000000007</v>
      </c>
      <c r="L11" s="70">
        <f t="shared" si="2"/>
        <v>1997.9300000000007</v>
      </c>
      <c r="M11" s="70">
        <f t="shared" si="2"/>
        <v>4377.3999999999996</v>
      </c>
      <c r="N11" s="70">
        <f t="shared" si="2"/>
        <v>1848.6999999999989</v>
      </c>
    </row>
    <row r="12" spans="1:14" x14ac:dyDescent="0.3">
      <c r="B12" s="28" t="s">
        <v>145</v>
      </c>
      <c r="C12" s="28"/>
      <c r="D12" s="28"/>
      <c r="E12" s="28">
        <f t="shared" ref="E12:N12" si="3">(E5-E8)/E5</f>
        <v>0.4695322895551714</v>
      </c>
      <c r="F12" s="28">
        <f t="shared" si="3"/>
        <v>0.45020328141897953</v>
      </c>
      <c r="G12" s="28">
        <f t="shared" si="3"/>
        <v>0.47395654693616873</v>
      </c>
      <c r="H12" s="28">
        <f t="shared" si="3"/>
        <v>0.26794943909661112</v>
      </c>
      <c r="I12" s="28">
        <f t="shared" si="3"/>
        <v>0.26107569069805464</v>
      </c>
      <c r="J12" s="28">
        <f t="shared" si="3"/>
        <v>0.31797894095083262</v>
      </c>
      <c r="K12" s="28">
        <f t="shared" si="3"/>
        <v>0.35900802174198931</v>
      </c>
      <c r="L12" s="28">
        <f t="shared" si="3"/>
        <v>0.36957502931916653</v>
      </c>
      <c r="M12" s="28">
        <f t="shared" si="3"/>
        <v>0.62281068683609209</v>
      </c>
      <c r="N12" s="28">
        <f t="shared" si="3"/>
        <v>0.26303059276142982</v>
      </c>
    </row>
    <row r="14" spans="1:14" x14ac:dyDescent="0.3">
      <c r="B14" t="s">
        <v>88</v>
      </c>
      <c r="D14" s="27">
        <f>IFERROR(SUM('Data Sheet'!B23:B24),0)</f>
        <v>0</v>
      </c>
      <c r="E14" s="27">
        <f>IFERROR(SUM('Data Sheet'!C23:C24),0)</f>
        <v>614.21</v>
      </c>
      <c r="F14" s="27">
        <f>IFERROR(SUM('Data Sheet'!D23:D24),0)</f>
        <v>665.06000000000006</v>
      </c>
      <c r="G14" s="27">
        <f>IFERROR(SUM('Data Sheet'!E23:E24),0)</f>
        <v>645.41</v>
      </c>
      <c r="H14" s="27">
        <f>IFERROR(SUM('Data Sheet'!F23:F24),0)</f>
        <v>215.64</v>
      </c>
      <c r="I14" s="27">
        <f>IFERROR(SUM('Data Sheet'!G23:G24),0)</f>
        <v>247.37</v>
      </c>
      <c r="J14" s="27">
        <f>IFERROR(SUM('Data Sheet'!H23:H24),0)</f>
        <v>301.03000000000003</v>
      </c>
      <c r="K14" s="27">
        <f>IFERROR(SUM('Data Sheet'!I23:I24),0)</f>
        <v>397.48</v>
      </c>
      <c r="L14" s="27">
        <f>IFERROR(SUM('Data Sheet'!J23:J24),0)</f>
        <v>505.80999999999995</v>
      </c>
      <c r="M14" s="27">
        <f>IFERROR(SUM('Data Sheet'!K23:K24),0)</f>
        <v>2528.6</v>
      </c>
      <c r="N14" s="27">
        <f>IFERROR(SUM('Data Sheet'!L23:L24),0)</f>
        <v>0</v>
      </c>
    </row>
    <row r="15" spans="1:14" x14ac:dyDescent="0.3">
      <c r="B15" s="25" t="s">
        <v>89</v>
      </c>
      <c r="C15" s="25"/>
      <c r="D15" s="26"/>
      <c r="E15" s="26">
        <f t="shared" ref="D15:N15" si="4">E14/E5</f>
        <v>0.3819096414758808</v>
      </c>
      <c r="F15" s="26">
        <f t="shared" si="4"/>
        <v>0.38462116787054762</v>
      </c>
      <c r="G15" s="26">
        <f t="shared" si="4"/>
        <v>0.38166905181488092</v>
      </c>
      <c r="H15" s="26">
        <f t="shared" si="4"/>
        <v>0.1144306591808794</v>
      </c>
      <c r="I15" s="26">
        <f t="shared" si="4"/>
        <v>9.8633556222761848E-2</v>
      </c>
      <c r="J15" s="26">
        <f t="shared" si="4"/>
        <v>7.6470513520722469E-2</v>
      </c>
      <c r="K15" s="26">
        <f t="shared" si="4"/>
        <v>8.7116994696006658E-2</v>
      </c>
      <c r="L15" s="26">
        <f t="shared" si="4"/>
        <v>9.3564211749124104E-2</v>
      </c>
      <c r="M15" s="26">
        <f t="shared" si="4"/>
        <v>0.35976586620682194</v>
      </c>
      <c r="N15" s="26">
        <f t="shared" si="4"/>
        <v>0</v>
      </c>
    </row>
    <row r="17" spans="2:14" x14ac:dyDescent="0.3">
      <c r="B17" s="69" t="s">
        <v>90</v>
      </c>
      <c r="C17" s="69"/>
      <c r="D17" s="70">
        <f>D11-D14</f>
        <v>0</v>
      </c>
      <c r="E17" s="70">
        <f t="shared" ref="E17:N17" si="5">E11-E14</f>
        <v>140.91999999999996</v>
      </c>
      <c r="F17" s="70">
        <f t="shared" si="5"/>
        <v>113.40000000000009</v>
      </c>
      <c r="G17" s="70">
        <f t="shared" si="5"/>
        <v>156.06000000000006</v>
      </c>
      <c r="H17" s="70">
        <f t="shared" si="5"/>
        <v>289.29999999999984</v>
      </c>
      <c r="I17" s="70">
        <f t="shared" si="5"/>
        <v>407.4</v>
      </c>
      <c r="J17" s="70">
        <f t="shared" si="5"/>
        <v>950.71000000000026</v>
      </c>
      <c r="K17" s="70">
        <f t="shared" si="5"/>
        <v>1240.5300000000007</v>
      </c>
      <c r="L17" s="70">
        <f t="shared" si="5"/>
        <v>1492.1200000000008</v>
      </c>
      <c r="M17" s="70">
        <f t="shared" si="5"/>
        <v>1848.7999999999997</v>
      </c>
      <c r="N17" s="70">
        <f t="shared" si="5"/>
        <v>1848.6999999999989</v>
      </c>
    </row>
    <row r="18" spans="2:14" x14ac:dyDescent="0.3">
      <c r="B18" s="28" t="s">
        <v>149</v>
      </c>
      <c r="C18" s="28"/>
      <c r="D18" s="28"/>
      <c r="E18" s="28">
        <f t="shared" ref="E18:N18" si="6">E17/E5</f>
        <v>8.7622648079290641E-2</v>
      </c>
      <c r="F18" s="28">
        <f t="shared" si="6"/>
        <v>6.5582113548431922E-2</v>
      </c>
      <c r="G18" s="28">
        <f t="shared" si="6"/>
        <v>9.2287495121287783E-2</v>
      </c>
      <c r="H18" s="28">
        <f t="shared" si="6"/>
        <v>0.15351877991573173</v>
      </c>
      <c r="I18" s="28">
        <f t="shared" si="6"/>
        <v>0.16244213447529277</v>
      </c>
      <c r="J18" s="28">
        <f t="shared" si="6"/>
        <v>0.24150842743011017</v>
      </c>
      <c r="K18" s="28">
        <f t="shared" si="6"/>
        <v>0.27189102704598267</v>
      </c>
      <c r="L18" s="28">
        <f t="shared" si="6"/>
        <v>0.27601081757004242</v>
      </c>
      <c r="M18" s="28">
        <f t="shared" si="6"/>
        <v>0.26304482062927009</v>
      </c>
      <c r="N18" s="28">
        <f t="shared" si="6"/>
        <v>0.26303059276142982</v>
      </c>
    </row>
    <row r="19" spans="2:14" x14ac:dyDescent="0.3">
      <c r="B19" s="25" t="s">
        <v>91</v>
      </c>
      <c r="C19" s="25"/>
      <c r="D19" s="26"/>
      <c r="E19" s="26">
        <f t="shared" ref="D19:N19" si="7">E17/E5</f>
        <v>8.7622648079290641E-2</v>
      </c>
      <c r="F19" s="26">
        <f t="shared" si="7"/>
        <v>6.5582113548431922E-2</v>
      </c>
      <c r="G19" s="26">
        <f t="shared" si="7"/>
        <v>9.2287495121287783E-2</v>
      </c>
      <c r="H19" s="26">
        <f t="shared" si="7"/>
        <v>0.15351877991573173</v>
      </c>
      <c r="I19" s="26">
        <f t="shared" si="7"/>
        <v>0.16244213447529277</v>
      </c>
      <c r="J19" s="26">
        <f t="shared" si="7"/>
        <v>0.24150842743011017</v>
      </c>
      <c r="K19" s="26">
        <f t="shared" si="7"/>
        <v>0.27189102704598267</v>
      </c>
      <c r="L19" s="26">
        <f t="shared" si="7"/>
        <v>0.27601081757004242</v>
      </c>
      <c r="M19" s="26">
        <f t="shared" si="7"/>
        <v>0.26304482062927009</v>
      </c>
      <c r="N19" s="26">
        <f t="shared" si="7"/>
        <v>0.26303059276142982</v>
      </c>
    </row>
    <row r="21" spans="2:14" x14ac:dyDescent="0.3">
      <c r="B21" t="s">
        <v>10</v>
      </c>
      <c r="D21" s="27">
        <f>IFERROR('Data Sheet'!B27,0)</f>
        <v>0</v>
      </c>
      <c r="E21" s="27">
        <f>IFERROR('Data Sheet'!C27,0)</f>
        <v>99.68</v>
      </c>
      <c r="F21" s="27">
        <f>IFERROR('Data Sheet'!D27,0)</f>
        <v>99.37</v>
      </c>
      <c r="G21" s="27">
        <f>IFERROR('Data Sheet'!E27,0)</f>
        <v>101.27</v>
      </c>
      <c r="H21" s="27">
        <f>IFERROR('Data Sheet'!F27,0)</f>
        <v>152.66</v>
      </c>
      <c r="I21" s="27">
        <f>IFERROR('Data Sheet'!G27,0)</f>
        <v>179.46</v>
      </c>
      <c r="J21" s="27">
        <f>IFERROR('Data Sheet'!H27,0)</f>
        <v>100.87</v>
      </c>
      <c r="K21" s="27">
        <f>IFERROR('Data Sheet'!I27,0)</f>
        <v>83.86</v>
      </c>
      <c r="L21" s="27">
        <f>IFERROR('Data Sheet'!J27,0)</f>
        <v>59.89</v>
      </c>
      <c r="M21" s="27">
        <f>IFERROR('Data Sheet'!K27,0)</f>
        <v>165.02</v>
      </c>
      <c r="N21" s="27">
        <f>IFERROR('Data Sheet'!L27,0)</f>
        <v>0</v>
      </c>
    </row>
    <row r="22" spans="2:14" x14ac:dyDescent="0.3">
      <c r="B22" s="25" t="s">
        <v>92</v>
      </c>
      <c r="C22" s="25"/>
      <c r="D22" s="28"/>
      <c r="E22" s="28">
        <f t="shared" ref="D22:N22" si="8">E21/E5</f>
        <v>6.1980028104908415E-2</v>
      </c>
      <c r="F22" s="28">
        <f t="shared" si="8"/>
        <v>5.7468206554741399E-2</v>
      </c>
      <c r="G22" s="28">
        <f t="shared" si="8"/>
        <v>5.9886932147461297E-2</v>
      </c>
      <c r="H22" s="28">
        <f t="shared" si="8"/>
        <v>8.100994449338271E-2</v>
      </c>
      <c r="I22" s="28">
        <f t="shared" si="8"/>
        <v>7.1555879855022195E-2</v>
      </c>
      <c r="J22" s="28">
        <f t="shared" si="8"/>
        <v>2.5623960066555741E-2</v>
      </c>
      <c r="K22" s="28">
        <f t="shared" si="8"/>
        <v>1.8379871126112304E-2</v>
      </c>
      <c r="L22" s="28">
        <f t="shared" si="8"/>
        <v>1.1078390387012995E-2</v>
      </c>
      <c r="M22" s="28">
        <f t="shared" si="8"/>
        <v>2.3478827509867028E-2</v>
      </c>
      <c r="N22" s="28">
        <f t="shared" si="8"/>
        <v>0</v>
      </c>
    </row>
    <row r="24" spans="2:14" x14ac:dyDescent="0.3">
      <c r="B24" t="s">
        <v>9</v>
      </c>
      <c r="D24" s="27">
        <f>IFERROR('Data Sheet'!B26,0)</f>
        <v>0</v>
      </c>
      <c r="E24" s="27">
        <f>IFERROR('Data Sheet'!C26,0)</f>
        <v>95.51</v>
      </c>
      <c r="F24" s="27">
        <f>IFERROR('Data Sheet'!D26,0)</f>
        <v>94.42</v>
      </c>
      <c r="G24" s="27">
        <f>IFERROR('Data Sheet'!E26,0)</f>
        <v>102.64</v>
      </c>
      <c r="H24" s="27">
        <f>IFERROR('Data Sheet'!F26,0)</f>
        <v>119.74</v>
      </c>
      <c r="I24" s="27">
        <f>IFERROR('Data Sheet'!G26,0)</f>
        <v>174.09</v>
      </c>
      <c r="J24" s="27">
        <f>IFERROR('Data Sheet'!H26,0)</f>
        <v>221.12</v>
      </c>
      <c r="K24" s="27">
        <f>IFERROR('Data Sheet'!I26,0)</f>
        <v>232.19</v>
      </c>
      <c r="L24" s="27">
        <f>IFERROR('Data Sheet'!J26,0)</f>
        <v>244.98</v>
      </c>
      <c r="M24" s="27">
        <f>IFERROR('Data Sheet'!K26,0)</f>
        <v>359.42</v>
      </c>
      <c r="N24" s="27">
        <f>IFERROR(SUM('Data Sheet'!H45:K45),0)</f>
        <v>359.42</v>
      </c>
    </row>
    <row r="25" spans="2:14" x14ac:dyDescent="0.3">
      <c r="B25" s="25" t="s">
        <v>93</v>
      </c>
      <c r="D25" s="28"/>
      <c r="E25" s="28">
        <f t="shared" ref="D25:N25" si="9">E24/E5</f>
        <v>5.9387163767052595E-2</v>
      </c>
      <c r="F25" s="28">
        <f t="shared" si="9"/>
        <v>5.4605495249055884E-2</v>
      </c>
      <c r="G25" s="28">
        <f t="shared" si="9"/>
        <v>6.069709406157231E-2</v>
      </c>
      <c r="H25" s="28">
        <f t="shared" si="9"/>
        <v>6.3540749074005282E-2</v>
      </c>
      <c r="I25" s="28">
        <f t="shared" si="9"/>
        <v>6.9414705917534902E-2</v>
      </c>
      <c r="J25" s="28">
        <f t="shared" si="9"/>
        <v>5.6171012688775702E-2</v>
      </c>
      <c r="K25" s="28">
        <f t="shared" si="9"/>
        <v>5.0889843510279219E-2</v>
      </c>
      <c r="L25" s="28">
        <f t="shared" si="9"/>
        <v>4.5316147554023099E-2</v>
      </c>
      <c r="M25" s="28">
        <f t="shared" si="9"/>
        <v>5.1137802591179296E-2</v>
      </c>
      <c r="N25" s="28">
        <f t="shared" si="9"/>
        <v>5.1137802591179303E-2</v>
      </c>
    </row>
    <row r="27" spans="2:14" x14ac:dyDescent="0.3">
      <c r="B27" s="69" t="s">
        <v>94</v>
      </c>
      <c r="C27" s="69"/>
      <c r="D27" s="71">
        <f>IFERROR(D17-SUM(D21,D24),0)</f>
        <v>0</v>
      </c>
      <c r="E27" s="71">
        <f t="shared" ref="E27:N27" si="10">IFERROR(E17-SUM(E21,E24),0)</f>
        <v>-54.270000000000039</v>
      </c>
      <c r="F27" s="71">
        <f t="shared" si="10"/>
        <v>-80.38999999999993</v>
      </c>
      <c r="G27" s="71">
        <f t="shared" si="10"/>
        <v>-47.849999999999937</v>
      </c>
      <c r="H27" s="71">
        <f t="shared" si="10"/>
        <v>16.899999999999864</v>
      </c>
      <c r="I27" s="71">
        <f t="shared" si="10"/>
        <v>53.849999999999966</v>
      </c>
      <c r="J27" s="71">
        <f t="shared" si="10"/>
        <v>628.72000000000025</v>
      </c>
      <c r="K27" s="71">
        <f t="shared" si="10"/>
        <v>924.4800000000007</v>
      </c>
      <c r="L27" s="71">
        <f t="shared" si="10"/>
        <v>1187.2500000000009</v>
      </c>
      <c r="M27" s="71">
        <f t="shared" si="10"/>
        <v>1324.3599999999997</v>
      </c>
      <c r="N27" s="71">
        <f t="shared" si="10"/>
        <v>1489.2799999999988</v>
      </c>
    </row>
    <row r="28" spans="2:14" x14ac:dyDescent="0.3">
      <c r="B28" s="25" t="s">
        <v>95</v>
      </c>
      <c r="C28" s="25"/>
      <c r="D28" s="28"/>
      <c r="E28" s="28">
        <f t="shared" ref="D28:N28" si="11">E27/E5</f>
        <v>-3.3744543792670362E-2</v>
      </c>
      <c r="F28" s="28">
        <f t="shared" si="11"/>
        <v>-4.6491588255365368E-2</v>
      </c>
      <c r="G28" s="28">
        <f t="shared" si="11"/>
        <v>-2.8296531087745821E-2</v>
      </c>
      <c r="H28" s="28">
        <f t="shared" si="11"/>
        <v>8.9680863483437498E-3</v>
      </c>
      <c r="I28" s="28">
        <f t="shared" si="11"/>
        <v>2.1471548702735668E-2</v>
      </c>
      <c r="J28" s="28">
        <f t="shared" si="11"/>
        <v>0.15971345467477874</v>
      </c>
      <c r="K28" s="28">
        <f t="shared" si="11"/>
        <v>0.20262131240959116</v>
      </c>
      <c r="L28" s="28">
        <f t="shared" si="11"/>
        <v>0.21961627962900634</v>
      </c>
      <c r="M28" s="28">
        <f t="shared" si="11"/>
        <v>0.18842819052822377</v>
      </c>
      <c r="N28" s="28">
        <f t="shared" si="11"/>
        <v>0.21189279017025053</v>
      </c>
    </row>
    <row r="30" spans="2:14" x14ac:dyDescent="0.3">
      <c r="B30" t="s">
        <v>12</v>
      </c>
      <c r="D30" s="24">
        <f>IFERROR('Data Sheet'!B29,0)</f>
        <v>0</v>
      </c>
      <c r="E30" s="24">
        <f>IFERROR('Data Sheet'!C29,0)</f>
        <v>-11.09</v>
      </c>
      <c r="F30" s="24">
        <f>IFERROR('Data Sheet'!D29,0)</f>
        <v>9.9499999999999993</v>
      </c>
      <c r="G30" s="24">
        <f>IFERROR('Data Sheet'!E29,0)</f>
        <v>8.51</v>
      </c>
      <c r="H30" s="24">
        <f>IFERROR('Data Sheet'!F29,0)</f>
        <v>-6.26</v>
      </c>
      <c r="I30" s="24">
        <f>IFERROR('Data Sheet'!G29,0)</f>
        <v>45.85</v>
      </c>
      <c r="J30" s="24">
        <f>IFERROR('Data Sheet'!H29,0)</f>
        <v>133.85</v>
      </c>
      <c r="K30" s="24">
        <f>IFERROR('Data Sheet'!I29,0)</f>
        <v>-39.79</v>
      </c>
      <c r="L30" s="24">
        <f>IFERROR('Data Sheet'!J29,0)</f>
        <v>307.68</v>
      </c>
      <c r="M30" s="24">
        <f>IFERROR('Data Sheet'!K29,0)</f>
        <v>330.49</v>
      </c>
      <c r="N30" s="24">
        <f>IFERROR(SUM('Data Sheet'!H48:K48),0)</f>
        <v>330.49</v>
      </c>
    </row>
    <row r="31" spans="2:14" x14ac:dyDescent="0.3">
      <c r="B31" s="25" t="s">
        <v>97</v>
      </c>
      <c r="C31" s="25"/>
      <c r="D31" s="26"/>
      <c r="E31" s="26">
        <f t="shared" ref="E31:N31" si="12">E30/E27</f>
        <v>0.20434862723419922</v>
      </c>
      <c r="F31" s="26">
        <f t="shared" si="12"/>
        <v>-0.12377161338474944</v>
      </c>
      <c r="G31" s="26">
        <f t="shared" si="12"/>
        <v>-0.17784743991640567</v>
      </c>
      <c r="H31" s="26">
        <f t="shared" si="12"/>
        <v>-0.37041420118343493</v>
      </c>
      <c r="I31" s="26">
        <f t="shared" si="12"/>
        <v>0.85143918291550658</v>
      </c>
      <c r="J31" s="26">
        <f t="shared" si="12"/>
        <v>0.21289286168723748</v>
      </c>
      <c r="K31" s="26">
        <f t="shared" si="12"/>
        <v>-4.3040411907234302E-2</v>
      </c>
      <c r="L31" s="26">
        <f t="shared" si="12"/>
        <v>0.25915350600126325</v>
      </c>
      <c r="M31" s="26">
        <f t="shared" si="12"/>
        <v>0.2495469509800961</v>
      </c>
      <c r="N31" s="26">
        <f t="shared" si="12"/>
        <v>0.22191260206274191</v>
      </c>
    </row>
    <row r="33" spans="1:14" x14ac:dyDescent="0.3">
      <c r="B33" s="69" t="s">
        <v>98</v>
      </c>
      <c r="C33" s="69"/>
      <c r="D33" s="71">
        <f>IFERROR(D27-D30,0)</f>
        <v>0</v>
      </c>
      <c r="E33" s="71">
        <f t="shared" ref="E33:N33" si="13">IFERROR(E27-E30,0)</f>
        <v>-43.180000000000035</v>
      </c>
      <c r="F33" s="71">
        <f t="shared" si="13"/>
        <v>-90.339999999999932</v>
      </c>
      <c r="G33" s="71">
        <f t="shared" si="13"/>
        <v>-56.359999999999935</v>
      </c>
      <c r="H33" s="71">
        <f t="shared" si="13"/>
        <v>23.159999999999862</v>
      </c>
      <c r="I33" s="71">
        <f t="shared" si="13"/>
        <v>7.9999999999999645</v>
      </c>
      <c r="J33" s="71">
        <f t="shared" si="13"/>
        <v>494.87000000000023</v>
      </c>
      <c r="K33" s="71">
        <f t="shared" si="13"/>
        <v>964.27000000000066</v>
      </c>
      <c r="L33" s="71">
        <f t="shared" si="13"/>
        <v>879.57000000000085</v>
      </c>
      <c r="M33" s="71">
        <f t="shared" si="13"/>
        <v>993.86999999999966</v>
      </c>
      <c r="N33" s="71">
        <f t="shared" si="13"/>
        <v>1158.7899999999988</v>
      </c>
    </row>
    <row r="34" spans="1:14" x14ac:dyDescent="0.3">
      <c r="B34" s="26" t="s">
        <v>99</v>
      </c>
      <c r="C34" s="26"/>
      <c r="D34" s="26"/>
      <c r="E34" s="26">
        <f t="shared" ref="D34:N34" si="14">E33/E5</f>
        <v>-2.6848892591993852E-2</v>
      </c>
      <c r="F34" s="26">
        <f t="shared" si="14"/>
        <v>-5.2245927142551413E-2</v>
      </c>
      <c r="G34" s="26">
        <f t="shared" si="14"/>
        <v>-3.3328996700216398E-2</v>
      </c>
      <c r="H34" s="26">
        <f t="shared" si="14"/>
        <v>1.2289992889209567E-2</v>
      </c>
      <c r="I34" s="26">
        <f t="shared" si="14"/>
        <v>3.1898308193479049E-3</v>
      </c>
      <c r="J34" s="26">
        <f t="shared" si="14"/>
        <v>0.12571160025911018</v>
      </c>
      <c r="K34" s="26">
        <f t="shared" si="14"/>
        <v>0.21134221715688437</v>
      </c>
      <c r="L34" s="26">
        <f t="shared" si="14"/>
        <v>0.16270195078819552</v>
      </c>
      <c r="M34" s="26">
        <f t="shared" si="14"/>
        <v>0.1414065101032089</v>
      </c>
      <c r="N34" s="26">
        <f t="shared" si="14"/>
        <v>0.16487110974523564</v>
      </c>
    </row>
    <row r="36" spans="1:14" x14ac:dyDescent="0.3">
      <c r="B36" s="24" t="s">
        <v>63</v>
      </c>
      <c r="C36" s="24"/>
      <c r="D36" s="24">
        <f>IFERROR('Data Sheet'!B93,0)</f>
        <v>0</v>
      </c>
      <c r="E36" s="24">
        <f>IFERROR('Data Sheet'!C93,0)</f>
        <v>53.72</v>
      </c>
      <c r="F36" s="24">
        <f>IFERROR('Data Sheet'!D93,0)</f>
        <v>53.72</v>
      </c>
      <c r="G36" s="24">
        <f>IFERROR('Data Sheet'!E93,0)</f>
        <v>53.72</v>
      </c>
      <c r="H36" s="24">
        <f>IFERROR('Data Sheet'!F93,0)</f>
        <v>53.72</v>
      </c>
      <c r="I36" s="24">
        <f>IFERROR('Data Sheet'!G93,0)</f>
        <v>96.59</v>
      </c>
      <c r="J36" s="24">
        <f>IFERROR('Data Sheet'!H93,0)</f>
        <v>96.96</v>
      </c>
      <c r="K36" s="24">
        <f>IFERROR('Data Sheet'!I93,0)</f>
        <v>97.09</v>
      </c>
      <c r="L36" s="24">
        <f>IFERROR('Data Sheet'!J93,0)</f>
        <v>97.19</v>
      </c>
      <c r="M36" s="24">
        <f>IFERROR('Data Sheet'!K93,0)</f>
        <v>97.21</v>
      </c>
    </row>
    <row r="38" spans="1:14" x14ac:dyDescent="0.3">
      <c r="B38" t="s">
        <v>100</v>
      </c>
      <c r="D38" s="24">
        <f>IFERROR(D33/D36,0)</f>
        <v>0</v>
      </c>
      <c r="E38" s="24">
        <f t="shared" ref="E38:M38" si="15">IFERROR(E33/E36,0)</f>
        <v>-0.803797468354431</v>
      </c>
      <c r="F38" s="24">
        <f t="shared" si="15"/>
        <v>-1.6816827997021582</v>
      </c>
      <c r="G38" s="24">
        <f t="shared" si="15"/>
        <v>-1.0491437081161568</v>
      </c>
      <c r="H38" s="24">
        <f t="shared" si="15"/>
        <v>0.43112434847356407</v>
      </c>
      <c r="I38" s="24">
        <f t="shared" si="15"/>
        <v>8.282430893467195E-2</v>
      </c>
      <c r="J38" s="24">
        <f t="shared" si="15"/>
        <v>5.103857260726075</v>
      </c>
      <c r="K38" s="24">
        <f t="shared" si="15"/>
        <v>9.9317128437532247</v>
      </c>
      <c r="L38" s="24">
        <f t="shared" si="15"/>
        <v>9.0500051445622063</v>
      </c>
      <c r="M38" s="24">
        <f t="shared" si="15"/>
        <v>10.22394815348215</v>
      </c>
    </row>
    <row r="39" spans="1:14" x14ac:dyDescent="0.3">
      <c r="B39" s="26" t="s">
        <v>102</v>
      </c>
      <c r="C39" s="26"/>
      <c r="D39" s="26"/>
      <c r="E39" s="26"/>
      <c r="F39" s="26">
        <f t="shared" ref="F39:M39" si="16">F38/E38-1</f>
        <v>1.0921723019916598</v>
      </c>
      <c r="G39" s="26">
        <f t="shared" si="16"/>
        <v>-0.37613460261235354</v>
      </c>
      <c r="H39" s="26">
        <f t="shared" si="16"/>
        <v>-1.410929737402411</v>
      </c>
      <c r="I39" s="26">
        <f t="shared" si="16"/>
        <v>-0.80788765647795324</v>
      </c>
      <c r="J39" s="26">
        <f t="shared" si="16"/>
        <v>60.622696601691729</v>
      </c>
      <c r="K39" s="26">
        <f t="shared" si="16"/>
        <v>0.945922923859422</v>
      </c>
      <c r="L39" s="26">
        <f t="shared" si="16"/>
        <v>-8.8777002825407791E-2</v>
      </c>
      <c r="M39" s="26">
        <f t="shared" si="16"/>
        <v>0.12971738581003134</v>
      </c>
    </row>
    <row r="40" spans="1:14" x14ac:dyDescent="0.3"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</row>
    <row r="41" spans="1:14" x14ac:dyDescent="0.3">
      <c r="B41" t="s">
        <v>101</v>
      </c>
      <c r="D41" s="24">
        <f>IFERROR('Data Sheet'!B31/'Historical FS'!D36,0)</f>
        <v>0</v>
      </c>
      <c r="E41" s="24">
        <f>IFERROR('Data Sheet'!C31/'Historical FS'!E36,0)</f>
        <v>0</v>
      </c>
      <c r="F41" s="24">
        <f>IFERROR('Data Sheet'!D31/'Historical FS'!F36,0)</f>
        <v>0</v>
      </c>
      <c r="G41" s="24">
        <f>IFERROR('Data Sheet'!E31/'Historical FS'!G36,0)</f>
        <v>0</v>
      </c>
      <c r="H41" s="24">
        <f>IFERROR('Data Sheet'!F31/'Historical FS'!H36,0)</f>
        <v>0</v>
      </c>
      <c r="I41" s="24">
        <f>IFERROR('Data Sheet'!G31/'Historical FS'!I36,0)</f>
        <v>0</v>
      </c>
      <c r="J41" s="24">
        <f>IFERROR('Data Sheet'!H31/'Historical FS'!J36,0)</f>
        <v>0</v>
      </c>
      <c r="K41" s="24">
        <f>IFERROR('Data Sheet'!I31/'Historical FS'!K36,0)</f>
        <v>1</v>
      </c>
      <c r="L41" s="24">
        <f>IFERROR('Data Sheet'!J31/'Historical FS'!L36,0)</f>
        <v>1.5000514456219776</v>
      </c>
      <c r="M41" s="24">
        <f>IFERROR('Data Sheet'!K31/'Historical FS'!M36,0)</f>
        <v>1.5000514350375476</v>
      </c>
    </row>
    <row r="42" spans="1:14" x14ac:dyDescent="0.3">
      <c r="B42" s="26" t="s">
        <v>103</v>
      </c>
      <c r="C42" s="26"/>
      <c r="D42" s="26">
        <f>IFERROR(D41/D38,0)</f>
        <v>0</v>
      </c>
      <c r="E42" s="26">
        <f t="shared" ref="E42:M42" si="17">IFERROR(E41/E38,0)</f>
        <v>0</v>
      </c>
      <c r="F42" s="26">
        <f t="shared" si="17"/>
        <v>0</v>
      </c>
      <c r="G42" s="26">
        <f t="shared" si="17"/>
        <v>0</v>
      </c>
      <c r="H42" s="26">
        <f t="shared" si="17"/>
        <v>0</v>
      </c>
      <c r="I42" s="26">
        <f t="shared" si="17"/>
        <v>0</v>
      </c>
      <c r="J42" s="26">
        <f t="shared" si="17"/>
        <v>0</v>
      </c>
      <c r="K42" s="26">
        <f t="shared" si="17"/>
        <v>0.10068756676034714</v>
      </c>
      <c r="L42" s="26">
        <f t="shared" si="17"/>
        <v>0.16575144672965184</v>
      </c>
      <c r="M42" s="26">
        <f t="shared" si="17"/>
        <v>0.14671938985984084</v>
      </c>
    </row>
    <row r="44" spans="1:14" x14ac:dyDescent="0.3">
      <c r="B44" s="30" t="s">
        <v>104</v>
      </c>
      <c r="D44" s="29">
        <f>IFERROR(IF(D41&lt;D38,1-D41/D38,0),0)</f>
        <v>0</v>
      </c>
      <c r="E44" s="29">
        <f t="shared" ref="E44:M44" si="18">IFERROR(IF(E41&lt;E38,1-E41/E38,0),0)</f>
        <v>0</v>
      </c>
      <c r="F44" s="29">
        <f t="shared" si="18"/>
        <v>0</v>
      </c>
      <c r="G44" s="29">
        <f t="shared" si="18"/>
        <v>0</v>
      </c>
      <c r="H44" s="29">
        <f t="shared" si="18"/>
        <v>1</v>
      </c>
      <c r="I44" s="29">
        <f t="shared" si="18"/>
        <v>1</v>
      </c>
      <c r="J44" s="29">
        <f t="shared" si="18"/>
        <v>1</v>
      </c>
      <c r="K44" s="29">
        <f t="shared" si="18"/>
        <v>0.89931243323965282</v>
      </c>
      <c r="L44" s="29">
        <f t="shared" si="18"/>
        <v>0.83424855327034819</v>
      </c>
      <c r="M44" s="29">
        <f t="shared" si="18"/>
        <v>0.8532806101401591</v>
      </c>
    </row>
    <row r="47" spans="1:14" x14ac:dyDescent="0.3">
      <c r="A47" t="s">
        <v>83</v>
      </c>
      <c r="B47" s="67" t="s">
        <v>105</v>
      </c>
      <c r="C47" s="67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</row>
    <row r="48" spans="1:14" x14ac:dyDescent="0.3">
      <c r="B48" s="6" t="s">
        <v>23</v>
      </c>
      <c r="D48" s="24">
        <f>IFERROR('Data Sheet'!B57,0)</f>
        <v>0</v>
      </c>
      <c r="E48" s="24">
        <f>IFERROR('Data Sheet'!C57,0)</f>
        <v>537.24</v>
      </c>
      <c r="F48" s="24">
        <f>IFERROR('Data Sheet'!D57,0)</f>
        <v>537.24</v>
      </c>
      <c r="G48" s="24">
        <f>IFERROR('Data Sheet'!E57,0)</f>
        <v>537.24</v>
      </c>
      <c r="H48" s="24">
        <f>IFERROR('Data Sheet'!F57,0)</f>
        <v>537.24</v>
      </c>
      <c r="I48" s="24">
        <f>IFERROR('Data Sheet'!G57,0)</f>
        <v>965.95</v>
      </c>
      <c r="J48" s="24">
        <f>IFERROR('Data Sheet'!H57,0)</f>
        <v>969.61</v>
      </c>
      <c r="K48" s="24">
        <f>IFERROR('Data Sheet'!I57,0)</f>
        <v>970.92</v>
      </c>
      <c r="L48" s="24">
        <f>IFERROR('Data Sheet'!J57,0)</f>
        <v>971.91</v>
      </c>
      <c r="M48" s="24">
        <f>IFERROR('Data Sheet'!K57,0)</f>
        <v>972.14</v>
      </c>
    </row>
    <row r="49" spans="1:13" x14ac:dyDescent="0.3">
      <c r="B49" s="6" t="s">
        <v>24</v>
      </c>
      <c r="D49" s="24">
        <f>IFERROR('Data Sheet'!B58,0)</f>
        <v>0</v>
      </c>
      <c r="E49" s="24">
        <f>IFERROR('Data Sheet'!C58,0)</f>
        <v>655.14</v>
      </c>
      <c r="F49" s="24">
        <f>IFERROR('Data Sheet'!D58,0)</f>
        <v>626.66999999999996</v>
      </c>
      <c r="G49" s="24">
        <f>IFERROR('Data Sheet'!E58,0)</f>
        <v>425.95</v>
      </c>
      <c r="H49" s="24">
        <f>IFERROR('Data Sheet'!F58,0)</f>
        <v>450.17</v>
      </c>
      <c r="I49" s="24">
        <f>IFERROR('Data Sheet'!G58,0)</f>
        <v>4672.7299999999996</v>
      </c>
      <c r="J49" s="24">
        <f>IFERROR('Data Sheet'!H58,0)</f>
        <v>5312.86</v>
      </c>
      <c r="K49" s="24">
        <f>IFERROR('Data Sheet'!I58,0)</f>
        <v>6438.67</v>
      </c>
      <c r="L49" s="24">
        <f>IFERROR('Data Sheet'!J58,0)</f>
        <v>7436.23</v>
      </c>
      <c r="M49" s="24">
        <f>IFERROR('Data Sheet'!K58,0)</f>
        <v>8408.73</v>
      </c>
    </row>
    <row r="50" spans="1:13" x14ac:dyDescent="0.3">
      <c r="B50" s="6" t="s">
        <v>60</v>
      </c>
      <c r="D50" s="24">
        <f>IFERROR('Data Sheet'!B59,0)</f>
        <v>0</v>
      </c>
      <c r="E50" s="24">
        <f>IFERROR('Data Sheet'!C59,0)</f>
        <v>874.09</v>
      </c>
      <c r="F50" s="24">
        <f>IFERROR('Data Sheet'!D59,0)</f>
        <v>980.52</v>
      </c>
      <c r="G50" s="24">
        <f>IFERROR('Data Sheet'!E59,0)</f>
        <v>1002.75</v>
      </c>
      <c r="H50" s="24">
        <f>IFERROR('Data Sheet'!F59,0)</f>
        <v>1516.42</v>
      </c>
      <c r="I50" s="24">
        <f>IFERROR('Data Sheet'!G59,0)</f>
        <v>1101.4100000000001</v>
      </c>
      <c r="J50" s="24">
        <f>IFERROR('Data Sheet'!H59,0)</f>
        <v>913.38</v>
      </c>
      <c r="K50" s="24">
        <f>IFERROR('Data Sheet'!I59,0)</f>
        <v>688.96</v>
      </c>
      <c r="L50" s="24">
        <f>IFERROR('Data Sheet'!J59,0)</f>
        <v>1298.95</v>
      </c>
      <c r="M50" s="24">
        <f>IFERROR('Data Sheet'!K59,0)</f>
        <v>3010.29</v>
      </c>
    </row>
    <row r="51" spans="1:13" x14ac:dyDescent="0.3">
      <c r="B51" s="6" t="s">
        <v>61</v>
      </c>
      <c r="D51" s="24">
        <f>IFERROR('Data Sheet'!B60,0)</f>
        <v>0</v>
      </c>
      <c r="E51" s="24">
        <f>IFERROR('Data Sheet'!C60,0)</f>
        <v>1079.6300000000001</v>
      </c>
      <c r="F51" s="24">
        <f>IFERROR('Data Sheet'!D60,0)</f>
        <v>1157.0899999999999</v>
      </c>
      <c r="G51" s="24">
        <f>IFERROR('Data Sheet'!E60,0)</f>
        <v>1388.6</v>
      </c>
      <c r="H51" s="24">
        <f>IFERROR('Data Sheet'!F60,0)</f>
        <v>1300.08</v>
      </c>
      <c r="I51" s="24">
        <f>IFERROR('Data Sheet'!G60,0)</f>
        <v>1803.37</v>
      </c>
      <c r="J51" s="24">
        <f>IFERROR('Data Sheet'!H60,0)</f>
        <v>1993.28</v>
      </c>
      <c r="K51" s="24">
        <f>IFERROR('Data Sheet'!I60,0)</f>
        <v>2003.3</v>
      </c>
      <c r="L51" s="24">
        <f>IFERROR('Data Sheet'!J60,0)</f>
        <v>2292.85</v>
      </c>
      <c r="M51" s="24">
        <f>IFERROR('Data Sheet'!K60,0)</f>
        <v>2823.32</v>
      </c>
    </row>
    <row r="52" spans="1:13" ht="15" thickBot="1" x14ac:dyDescent="0.35">
      <c r="A52" s="54"/>
      <c r="B52" s="72" t="s">
        <v>106</v>
      </c>
      <c r="C52" s="73"/>
      <c r="D52" s="74">
        <f>IFERROR('Data Sheet'!B61,0)</f>
        <v>0</v>
      </c>
      <c r="E52" s="74">
        <f>IFERROR('Data Sheet'!C61,0)</f>
        <v>3146.1</v>
      </c>
      <c r="F52" s="74">
        <f>IFERROR('Data Sheet'!D61,0)</f>
        <v>3301.52</v>
      </c>
      <c r="G52" s="74">
        <f>IFERROR('Data Sheet'!E61,0)</f>
        <v>3354.54</v>
      </c>
      <c r="H52" s="74">
        <f>IFERROR('Data Sheet'!F61,0)</f>
        <v>3803.91</v>
      </c>
      <c r="I52" s="74">
        <f>IFERROR('Data Sheet'!G61,0)</f>
        <v>8543.4599999999991</v>
      </c>
      <c r="J52" s="74">
        <f>IFERROR('Data Sheet'!H61,0)</f>
        <v>9189.1299999999992</v>
      </c>
      <c r="K52" s="74">
        <f>IFERROR('Data Sheet'!I61,0)</f>
        <v>10101.85</v>
      </c>
      <c r="L52" s="74">
        <f>IFERROR('Data Sheet'!J61,0)</f>
        <v>11999.94</v>
      </c>
      <c r="M52" s="74">
        <f>IFERROR('Data Sheet'!K61,0)</f>
        <v>15214.48</v>
      </c>
    </row>
    <row r="53" spans="1:13" x14ac:dyDescent="0.3">
      <c r="B53" s="1"/>
    </row>
    <row r="54" spans="1:13" x14ac:dyDescent="0.3">
      <c r="B54" s="6" t="s">
        <v>108</v>
      </c>
      <c r="D54" s="24">
        <f>IFERROR('Data Sheet'!B62,0)</f>
        <v>0</v>
      </c>
      <c r="E54" s="24">
        <f>IFERROR('Data Sheet'!C62,0)</f>
        <v>2244.2399999999998</v>
      </c>
      <c r="F54" s="24">
        <f>IFERROR('Data Sheet'!D62,0)</f>
        <v>2227.1799999999998</v>
      </c>
      <c r="G54" s="24">
        <f>IFERROR('Data Sheet'!E62,0)</f>
        <v>2192.37</v>
      </c>
      <c r="H54" s="24">
        <f>IFERROR('Data Sheet'!F62,0)</f>
        <v>2379.7199999999998</v>
      </c>
      <c r="I54" s="24">
        <f>IFERROR('Data Sheet'!G62,0)</f>
        <v>6536.38</v>
      </c>
      <c r="J54" s="24">
        <f>IFERROR('Data Sheet'!H62,0)</f>
        <v>7017.58</v>
      </c>
      <c r="K54" s="24">
        <f>IFERROR('Data Sheet'!I62,0)</f>
        <v>7038.7</v>
      </c>
      <c r="L54" s="24">
        <f>IFERROR('Data Sheet'!J62,0)</f>
        <v>8783.69</v>
      </c>
      <c r="M54" s="24">
        <f>IFERROR('Data Sheet'!K62,0)</f>
        <v>11501.86</v>
      </c>
    </row>
    <row r="55" spans="1:13" x14ac:dyDescent="0.3">
      <c r="B55" s="6" t="s">
        <v>27</v>
      </c>
      <c r="D55" s="24">
        <f>IFERROR('Data Sheet'!B63,0)</f>
        <v>0</v>
      </c>
      <c r="E55" s="24">
        <f>IFERROR('Data Sheet'!C63,0)</f>
        <v>46.14</v>
      </c>
      <c r="F55" s="24">
        <f>IFERROR('Data Sheet'!D63,0)</f>
        <v>38.299999999999997</v>
      </c>
      <c r="G55" s="24">
        <f>IFERROR('Data Sheet'!E63,0)</f>
        <v>87.02</v>
      </c>
      <c r="H55" s="24">
        <f>IFERROR('Data Sheet'!F63,0)</f>
        <v>5.66</v>
      </c>
      <c r="I55" s="24">
        <f>IFERROR('Data Sheet'!G63,0)</f>
        <v>26.93</v>
      </c>
      <c r="J55" s="24">
        <f>IFERROR('Data Sheet'!H63,0)</f>
        <v>151.12</v>
      </c>
      <c r="K55" s="24">
        <f>IFERROR('Data Sheet'!I63,0)</f>
        <v>252.43</v>
      </c>
      <c r="L55" s="24">
        <f>IFERROR('Data Sheet'!J63,0)</f>
        <v>553.04</v>
      </c>
      <c r="M55" s="24">
        <f>IFERROR('Data Sheet'!K63,0)</f>
        <v>900.45</v>
      </c>
    </row>
    <row r="56" spans="1:13" x14ac:dyDescent="0.3">
      <c r="B56" s="6" t="s">
        <v>28</v>
      </c>
      <c r="D56" s="24">
        <f>IFERROR('Data Sheet'!B64,0)</f>
        <v>0</v>
      </c>
      <c r="E56" s="24">
        <f>IFERROR('Data Sheet'!C64,0)</f>
        <v>0</v>
      </c>
      <c r="F56" s="24">
        <f>IFERROR('Data Sheet'!D64,0)</f>
        <v>0</v>
      </c>
      <c r="G56" s="24">
        <f>IFERROR('Data Sheet'!E64,0)</f>
        <v>0.51</v>
      </c>
      <c r="H56" s="24">
        <f>IFERROR('Data Sheet'!F64,0)</f>
        <v>0.51</v>
      </c>
      <c r="I56" s="24">
        <f>IFERROR('Data Sheet'!G64,0)</f>
        <v>0.51</v>
      </c>
      <c r="J56" s="24">
        <f>IFERROR('Data Sheet'!H64,0)</f>
        <v>0.51</v>
      </c>
      <c r="K56" s="24">
        <f>IFERROR('Data Sheet'!I64,0)</f>
        <v>0.51</v>
      </c>
      <c r="L56" s="24">
        <f>IFERROR('Data Sheet'!J64,0)</f>
        <v>2.12</v>
      </c>
      <c r="M56" s="24">
        <f>IFERROR('Data Sheet'!K64,0)</f>
        <v>2.89</v>
      </c>
    </row>
    <row r="57" spans="1:13" x14ac:dyDescent="0.3">
      <c r="B57" s="6" t="s">
        <v>62</v>
      </c>
      <c r="D57" s="24">
        <f>IFERROR('Data Sheet'!B65-SUM('Data Sheet'!B67:B69),0)</f>
        <v>0</v>
      </c>
      <c r="E57" s="24">
        <f>IFERROR('Data Sheet'!C65-SUM('Data Sheet'!C67:C69),0)</f>
        <v>575.03</v>
      </c>
      <c r="F57" s="24">
        <f>IFERROR('Data Sheet'!D65-SUM('Data Sheet'!D67:D69),0)</f>
        <v>638.24</v>
      </c>
      <c r="G57" s="24">
        <f>IFERROR('Data Sheet'!E65-SUM('Data Sheet'!E67:E69),0)</f>
        <v>674.38000000000011</v>
      </c>
      <c r="H57" s="24">
        <f>IFERROR('Data Sheet'!F65-SUM('Data Sheet'!F67:F69),0)</f>
        <v>682.69999999999993</v>
      </c>
      <c r="I57" s="24">
        <f>IFERROR('Data Sheet'!G65-SUM('Data Sheet'!G67:G69),0)</f>
        <v>907.0300000000002</v>
      </c>
      <c r="J57" s="24">
        <f>IFERROR('Data Sheet'!H65-SUM('Data Sheet'!H67:H69),0)</f>
        <v>1073.8900000000001</v>
      </c>
      <c r="K57" s="24">
        <f>IFERROR('Data Sheet'!I65-SUM('Data Sheet'!I67:I69),0)</f>
        <v>929.79</v>
      </c>
      <c r="L57" s="24">
        <f>IFERROR('Data Sheet'!J65-SUM('Data Sheet'!J67:J69),0)</f>
        <v>1019.2900000000002</v>
      </c>
      <c r="M57" s="24">
        <f>IFERROR('Data Sheet'!K65-SUM('Data Sheet'!K67:K69),0)</f>
        <v>1333.8700000000003</v>
      </c>
    </row>
    <row r="58" spans="1:13" x14ac:dyDescent="0.3">
      <c r="B58" s="75" t="s">
        <v>109</v>
      </c>
      <c r="C58" s="76"/>
      <c r="D58" s="71">
        <f>IFERROR(SUM(D54:D57),0)</f>
        <v>0</v>
      </c>
      <c r="E58" s="71">
        <f t="shared" ref="E58:M58" si="19">IFERROR(SUM(E54:E57),0)</f>
        <v>2865.41</v>
      </c>
      <c r="F58" s="71">
        <f t="shared" si="19"/>
        <v>2903.7200000000003</v>
      </c>
      <c r="G58" s="71">
        <f t="shared" si="19"/>
        <v>2954.28</v>
      </c>
      <c r="H58" s="71">
        <f t="shared" si="19"/>
        <v>3068.5899999999997</v>
      </c>
      <c r="I58" s="71">
        <f t="shared" si="19"/>
        <v>7470.85</v>
      </c>
      <c r="J58" s="71">
        <f t="shared" si="19"/>
        <v>8243.1</v>
      </c>
      <c r="K58" s="71">
        <f t="shared" si="19"/>
        <v>8221.43</v>
      </c>
      <c r="L58" s="71">
        <f t="shared" si="19"/>
        <v>10358.140000000001</v>
      </c>
      <c r="M58" s="71">
        <f t="shared" si="19"/>
        <v>13739.070000000002</v>
      </c>
    </row>
    <row r="59" spans="1:13" x14ac:dyDescent="0.3">
      <c r="B59" s="1"/>
    </row>
    <row r="60" spans="1:13" x14ac:dyDescent="0.3">
      <c r="B60" s="6" t="s">
        <v>67</v>
      </c>
      <c r="D60" s="24">
        <f>IFERROR('Data Sheet'!B67,0)</f>
        <v>0</v>
      </c>
      <c r="E60" s="24">
        <f>IFERROR('Data Sheet'!C67,0)</f>
        <v>234.82</v>
      </c>
      <c r="F60" s="24">
        <f>IFERROR('Data Sheet'!D67,0)</f>
        <v>279.56</v>
      </c>
      <c r="G60" s="24">
        <f>IFERROR('Data Sheet'!E67,0)</f>
        <v>362.61</v>
      </c>
      <c r="H60" s="24">
        <f>IFERROR('Data Sheet'!F67,0)</f>
        <v>411.16</v>
      </c>
      <c r="I60" s="24">
        <f>IFERROR('Data Sheet'!G67,0)</f>
        <v>365.89</v>
      </c>
      <c r="J60" s="24">
        <f>IFERROR('Data Sheet'!H67,0)</f>
        <v>385.36</v>
      </c>
      <c r="K60" s="24">
        <f>IFERROR('Data Sheet'!I67,0)</f>
        <v>336.12</v>
      </c>
      <c r="L60" s="24">
        <f>IFERROR('Data Sheet'!J67,0)</f>
        <v>462.69</v>
      </c>
      <c r="M60" s="24">
        <f>IFERROR('Data Sheet'!K67,0)</f>
        <v>687.31</v>
      </c>
    </row>
    <row r="61" spans="1:13" x14ac:dyDescent="0.3">
      <c r="B61" s="6" t="s">
        <v>43</v>
      </c>
      <c r="D61" s="24">
        <f>IFERROR('Data Sheet'!B68,0)</f>
        <v>0</v>
      </c>
      <c r="E61" s="24">
        <f>IFERROR('Data Sheet'!C68,0)</f>
        <v>23.12</v>
      </c>
      <c r="F61" s="24">
        <f>IFERROR('Data Sheet'!D68,0)</f>
        <v>28.27</v>
      </c>
      <c r="G61" s="24">
        <f>IFERROR('Data Sheet'!E68,0)</f>
        <v>26.01</v>
      </c>
      <c r="H61" s="24">
        <f>IFERROR('Data Sheet'!F68,0)</f>
        <v>43.37</v>
      </c>
      <c r="I61" s="24">
        <f>IFERROR('Data Sheet'!G68,0)</f>
        <v>53.8</v>
      </c>
      <c r="J61" s="24">
        <f>IFERROR('Data Sheet'!H68,0)</f>
        <v>61.36</v>
      </c>
      <c r="K61" s="24">
        <f>IFERROR('Data Sheet'!I68,0)</f>
        <v>76.23</v>
      </c>
      <c r="L61" s="24">
        <f>IFERROR('Data Sheet'!J68,0)</f>
        <v>79.84</v>
      </c>
      <c r="M61" s="24">
        <f>IFERROR('Data Sheet'!K68,0)</f>
        <v>106.21</v>
      </c>
    </row>
    <row r="62" spans="1:13" x14ac:dyDescent="0.3">
      <c r="B62" s="4" t="s">
        <v>76</v>
      </c>
      <c r="D62" s="24">
        <f>IFERROR('Data Sheet'!B69,0)</f>
        <v>0</v>
      </c>
      <c r="E62" s="24">
        <f>IFERROR('Data Sheet'!C69,0)</f>
        <v>22.75</v>
      </c>
      <c r="F62" s="24">
        <f>IFERROR('Data Sheet'!D69,0)</f>
        <v>89.97</v>
      </c>
      <c r="G62" s="24">
        <f>IFERROR('Data Sheet'!E69,0)</f>
        <v>11.64</v>
      </c>
      <c r="H62" s="24">
        <f>IFERROR('Data Sheet'!F69,0)</f>
        <v>280.79000000000002</v>
      </c>
      <c r="I62" s="24">
        <f>IFERROR('Data Sheet'!G69,0)</f>
        <v>652.91999999999996</v>
      </c>
      <c r="J62" s="24">
        <f>IFERROR('Data Sheet'!H69,0)</f>
        <v>499.31</v>
      </c>
      <c r="K62" s="24">
        <f>IFERROR('Data Sheet'!I69,0)</f>
        <v>1468.07</v>
      </c>
      <c r="L62" s="24">
        <f>IFERROR('Data Sheet'!J69,0)</f>
        <v>1099.27</v>
      </c>
      <c r="M62" s="24">
        <f>IFERROR('Data Sheet'!K69,0)</f>
        <v>681.89</v>
      </c>
    </row>
    <row r="63" spans="1:13" x14ac:dyDescent="0.3">
      <c r="B63" s="75" t="s">
        <v>110</v>
      </c>
      <c r="C63" s="76"/>
      <c r="D63" s="71">
        <f>IFERROR(SUM(D60:D62),0)</f>
        <v>0</v>
      </c>
      <c r="E63" s="71">
        <f t="shared" ref="E63:M63" si="20">IFERROR(SUM(E60:E62),0)</f>
        <v>280.69</v>
      </c>
      <c r="F63" s="71">
        <f t="shared" si="20"/>
        <v>397.79999999999995</v>
      </c>
      <c r="G63" s="71">
        <f t="shared" si="20"/>
        <v>400.26</v>
      </c>
      <c r="H63" s="71">
        <f t="shared" si="20"/>
        <v>735.32</v>
      </c>
      <c r="I63" s="71">
        <f t="shared" si="20"/>
        <v>1072.6099999999999</v>
      </c>
      <c r="J63" s="71">
        <f t="shared" si="20"/>
        <v>946.03</v>
      </c>
      <c r="K63" s="71">
        <f t="shared" si="20"/>
        <v>1880.42</v>
      </c>
      <c r="L63" s="71">
        <f t="shared" si="20"/>
        <v>1641.8</v>
      </c>
      <c r="M63" s="71">
        <f t="shared" si="20"/>
        <v>1475.4099999999999</v>
      </c>
    </row>
    <row r="65" spans="1:14" ht="15" thickBot="1" x14ac:dyDescent="0.35">
      <c r="B65" s="72" t="s">
        <v>107</v>
      </c>
      <c r="C65" s="73"/>
      <c r="D65" s="74">
        <f>IFERROR(SUM(D63,D58),0)</f>
        <v>0</v>
      </c>
      <c r="E65" s="74">
        <f t="shared" ref="E65:M65" si="21">IFERROR(SUM(E63,E58),0)</f>
        <v>3146.1</v>
      </c>
      <c r="F65" s="74">
        <f t="shared" si="21"/>
        <v>3301.5200000000004</v>
      </c>
      <c r="G65" s="74">
        <f t="shared" si="21"/>
        <v>3354.54</v>
      </c>
      <c r="H65" s="74">
        <f t="shared" si="21"/>
        <v>3803.91</v>
      </c>
      <c r="I65" s="74">
        <f t="shared" si="21"/>
        <v>8543.4600000000009</v>
      </c>
      <c r="J65" s="74">
        <f t="shared" si="21"/>
        <v>9189.130000000001</v>
      </c>
      <c r="K65" s="74">
        <f t="shared" si="21"/>
        <v>10101.85</v>
      </c>
      <c r="L65" s="74">
        <f t="shared" si="21"/>
        <v>11999.94</v>
      </c>
      <c r="M65" s="74">
        <f t="shared" si="21"/>
        <v>15214.480000000001</v>
      </c>
    </row>
    <row r="67" spans="1:14" x14ac:dyDescent="0.3">
      <c r="B67" s="31" t="s">
        <v>111</v>
      </c>
      <c r="D67" t="b">
        <f>D65=D52</f>
        <v>1</v>
      </c>
      <c r="E67" t="b">
        <f t="shared" ref="E67:M67" si="22">E65=E52</f>
        <v>1</v>
      </c>
      <c r="F67" t="b">
        <f t="shared" si="22"/>
        <v>1</v>
      </c>
      <c r="G67" t="b">
        <f t="shared" si="22"/>
        <v>1</v>
      </c>
      <c r="H67" t="b">
        <f t="shared" si="22"/>
        <v>1</v>
      </c>
      <c r="I67" t="b">
        <f t="shared" si="22"/>
        <v>1</v>
      </c>
      <c r="J67" t="b">
        <f t="shared" si="22"/>
        <v>1</v>
      </c>
      <c r="K67" t="b">
        <f t="shared" si="22"/>
        <v>1</v>
      </c>
      <c r="L67" t="b">
        <f t="shared" si="22"/>
        <v>1</v>
      </c>
      <c r="M67" t="b">
        <f t="shared" si="22"/>
        <v>1</v>
      </c>
    </row>
    <row r="70" spans="1:14" x14ac:dyDescent="0.3">
      <c r="A70" t="s">
        <v>83</v>
      </c>
      <c r="B70" s="67" t="s">
        <v>139</v>
      </c>
      <c r="C70" s="67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</row>
    <row r="71" spans="1:14" x14ac:dyDescent="0.3">
      <c r="B71" s="2" t="s">
        <v>140</v>
      </c>
    </row>
    <row r="72" spans="1:14" x14ac:dyDescent="0.3">
      <c r="B72" t="s">
        <v>112</v>
      </c>
      <c r="D72" s="24">
        <f>IFERROR('Cash Flow Data'!E4,0)</f>
        <v>43397</v>
      </c>
      <c r="E72" s="24">
        <f>IFERROR('Cash Flow Data'!F4,0)</f>
        <v>38626</v>
      </c>
      <c r="F72" s="24">
        <f>IFERROR('Cash Flow Data'!G4,0)</f>
        <v>28840</v>
      </c>
      <c r="G72" s="24">
        <f>IFERROR('Cash Flow Data'!H4,0)</f>
        <v>33312</v>
      </c>
      <c r="H72" s="24">
        <f>IFERROR('Cash Flow Data'!I4,0)</f>
        <v>28771</v>
      </c>
      <c r="I72" s="24">
        <f>IFERROR('Cash Flow Data'!J4,0)</f>
        <v>23352</v>
      </c>
      <c r="J72" s="24">
        <f>IFERROR('Cash Flow Data'!K4,0)</f>
        <v>31198</v>
      </c>
      <c r="K72" s="24">
        <f>IFERROR('Cash Flow Data'!L4,0)</f>
        <v>26943</v>
      </c>
      <c r="L72" s="24">
        <f>IFERROR('Cash Flow Data'!M4,0)</f>
        <v>41694</v>
      </c>
      <c r="M72" s="24">
        <f>IFERROR('Cash Flow Data'!N4,0)</f>
        <v>65106</v>
      </c>
    </row>
    <row r="73" spans="1:14" x14ac:dyDescent="0.3">
      <c r="B73" t="s">
        <v>67</v>
      </c>
      <c r="D73" s="24">
        <f>IFERROR('Cash Flow Data'!E5,0)</f>
        <v>-3179</v>
      </c>
      <c r="E73" s="24">
        <f>IFERROR('Cash Flow Data'!F5,0)</f>
        <v>-2223</v>
      </c>
      <c r="F73" s="24">
        <f>IFERROR('Cash Flow Data'!G5,0)</f>
        <v>-4152</v>
      </c>
      <c r="G73" s="24">
        <f>IFERROR('Cash Flow Data'!H5,0)</f>
        <v>-10688</v>
      </c>
      <c r="H73" s="24">
        <f>IFERROR('Cash Flow Data'!I5,0)</f>
        <v>-9109</v>
      </c>
      <c r="I73" s="24">
        <f>IFERROR('Cash Flow Data'!J5,0)</f>
        <v>9950</v>
      </c>
      <c r="J73" s="24">
        <f>IFERROR('Cash Flow Data'!K5,0)</f>
        <v>-5505</v>
      </c>
      <c r="K73" s="24">
        <f>IFERROR('Cash Flow Data'!L5,0)</f>
        <v>185</v>
      </c>
      <c r="L73" s="24">
        <f>IFERROR('Cash Flow Data'!M5,0)</f>
        <v>-2213</v>
      </c>
      <c r="M73" s="24">
        <f>IFERROR('Cash Flow Data'!N5,0)</f>
        <v>-1875</v>
      </c>
    </row>
    <row r="74" spans="1:14" x14ac:dyDescent="0.3">
      <c r="B74" t="s">
        <v>43</v>
      </c>
      <c r="D74" s="24">
        <f>IFERROR('Cash Flow Data'!E6,0)</f>
        <v>-3692</v>
      </c>
      <c r="E74" s="24">
        <f>IFERROR('Cash Flow Data'!F6,0)</f>
        <v>-5743</v>
      </c>
      <c r="F74" s="24">
        <f>IFERROR('Cash Flow Data'!G6,0)</f>
        <v>-6621</v>
      </c>
      <c r="G74" s="24">
        <f>IFERROR('Cash Flow Data'!H6,0)</f>
        <v>-3560</v>
      </c>
      <c r="H74" s="24">
        <f>IFERROR('Cash Flow Data'!I6,0)</f>
        <v>2069</v>
      </c>
      <c r="I74" s="24">
        <f>IFERROR('Cash Flow Data'!J6,0)</f>
        <v>2326</v>
      </c>
      <c r="J74" s="24">
        <f>IFERROR('Cash Flow Data'!K6,0)</f>
        <v>3814</v>
      </c>
      <c r="K74" s="24">
        <f>IFERROR('Cash Flow Data'!L6,0)</f>
        <v>472</v>
      </c>
      <c r="L74" s="24">
        <f>IFERROR('Cash Flow Data'!M6,0)</f>
        <v>-5665</v>
      </c>
      <c r="M74" s="24">
        <f>IFERROR('Cash Flow Data'!N6,0)</f>
        <v>-7265</v>
      </c>
    </row>
    <row r="75" spans="1:14" x14ac:dyDescent="0.3">
      <c r="B75" t="s">
        <v>113</v>
      </c>
      <c r="D75" s="24">
        <f>IFERROR('Cash Flow Data'!E7,0)</f>
        <v>3598</v>
      </c>
      <c r="E75" s="24">
        <f>IFERROR('Cash Flow Data'!F7,0)</f>
        <v>3947</v>
      </c>
      <c r="F75" s="24">
        <f>IFERROR('Cash Flow Data'!G7,0)</f>
        <v>9301</v>
      </c>
      <c r="G75" s="24">
        <f>IFERROR('Cash Flow Data'!H7,0)</f>
        <v>7320</v>
      </c>
      <c r="H75" s="24">
        <f>IFERROR('Cash Flow Data'!I7,0)</f>
        <v>-4692</v>
      </c>
      <c r="I75" s="24">
        <f>IFERROR('Cash Flow Data'!J7,0)</f>
        <v>-8085</v>
      </c>
      <c r="J75" s="24">
        <f>IFERROR('Cash Flow Data'!K7,0)</f>
        <v>5748</v>
      </c>
      <c r="K75" s="24">
        <f>IFERROR('Cash Flow Data'!L7,0)</f>
        <v>-7012</v>
      </c>
      <c r="L75" s="24">
        <f>IFERROR('Cash Flow Data'!M7,0)</f>
        <v>6945</v>
      </c>
      <c r="M75" s="24">
        <f>IFERROR('Cash Flow Data'!N7,0)</f>
        <v>13706</v>
      </c>
    </row>
    <row r="76" spans="1:14" x14ac:dyDescent="0.3">
      <c r="B76" t="s">
        <v>114</v>
      </c>
      <c r="D76" s="24">
        <f>IFERROR('Cash Flow Data'!E8,0)</f>
        <v>0</v>
      </c>
      <c r="E76" s="24">
        <f>IFERROR('Cash Flow Data'!F8,0)</f>
        <v>-520</v>
      </c>
      <c r="F76" s="24">
        <f>IFERROR('Cash Flow Data'!G8,0)</f>
        <v>0</v>
      </c>
      <c r="G76" s="24">
        <f>IFERROR('Cash Flow Data'!H8,0)</f>
        <v>0</v>
      </c>
      <c r="H76" s="24">
        <f>IFERROR('Cash Flow Data'!I8,0)</f>
        <v>0</v>
      </c>
      <c r="I76" s="24">
        <f>IFERROR('Cash Flow Data'!J8,0)</f>
        <v>0</v>
      </c>
      <c r="J76" s="24">
        <f>IFERROR('Cash Flow Data'!K8,0)</f>
        <v>0</v>
      </c>
      <c r="K76" s="24">
        <f>IFERROR('Cash Flow Data'!L8,0)</f>
        <v>0</v>
      </c>
      <c r="L76" s="24">
        <f>IFERROR('Cash Flow Data'!M8,0)</f>
        <v>0</v>
      </c>
      <c r="M76" s="24">
        <f>IFERROR('Cash Flow Data'!N8,0)</f>
        <v>0</v>
      </c>
    </row>
    <row r="77" spans="1:14" x14ac:dyDescent="0.3">
      <c r="B77" t="s">
        <v>115</v>
      </c>
      <c r="D77" s="24">
        <f>IFERROR('Cash Flow Data'!E9,0)</f>
        <v>-398</v>
      </c>
      <c r="E77" s="24">
        <f>IFERROR('Cash Flow Data'!F9,0)</f>
        <v>5852</v>
      </c>
      <c r="F77" s="24">
        <f>IFERROR('Cash Flow Data'!G9,0)</f>
        <v>4727</v>
      </c>
      <c r="G77" s="24">
        <f>IFERROR('Cash Flow Data'!H9,0)</f>
        <v>494</v>
      </c>
      <c r="H77" s="24">
        <f>IFERROR('Cash Flow Data'!I9,0)</f>
        <v>4512</v>
      </c>
      <c r="I77" s="24">
        <f>IFERROR('Cash Flow Data'!J9,0)</f>
        <v>875</v>
      </c>
      <c r="J77" s="24">
        <f>IFERROR('Cash Flow Data'!K9,0)</f>
        <v>-4150</v>
      </c>
      <c r="K77" s="24">
        <f>IFERROR('Cash Flow Data'!L9,0)</f>
        <v>-4396</v>
      </c>
      <c r="L77" s="24">
        <f>IFERROR('Cash Flow Data'!M9,0)</f>
        <v>-2194</v>
      </c>
      <c r="M77" s="24">
        <f>IFERROR('Cash Flow Data'!N9,0)</f>
        <v>2760</v>
      </c>
    </row>
    <row r="78" spans="1:14" x14ac:dyDescent="0.3">
      <c r="B78" t="s">
        <v>116</v>
      </c>
      <c r="D78" s="24">
        <f>IFERROR('Cash Flow Data'!E10,0)</f>
        <v>-3672</v>
      </c>
      <c r="E78" s="24">
        <f>IFERROR('Cash Flow Data'!F10,0)</f>
        <v>1313</v>
      </c>
      <c r="F78" s="24">
        <f>IFERROR('Cash Flow Data'!G10,0)</f>
        <v>3254</v>
      </c>
      <c r="G78" s="24">
        <f>IFERROR('Cash Flow Data'!H10,0)</f>
        <v>-6434</v>
      </c>
      <c r="H78" s="24">
        <f>IFERROR('Cash Flow Data'!I10,0)</f>
        <v>-7221</v>
      </c>
      <c r="I78" s="24">
        <f>IFERROR('Cash Flow Data'!J10,0)</f>
        <v>5065</v>
      </c>
      <c r="J78" s="24">
        <f>IFERROR('Cash Flow Data'!K10,0)</f>
        <v>-93</v>
      </c>
      <c r="K78" s="24">
        <f>IFERROR('Cash Flow Data'!L10,0)</f>
        <v>-10750</v>
      </c>
      <c r="L78" s="24">
        <f>IFERROR('Cash Flow Data'!M10,0)</f>
        <v>-3127</v>
      </c>
      <c r="M78" s="24">
        <f>IFERROR('Cash Flow Data'!N10,0)</f>
        <v>7325</v>
      </c>
    </row>
    <row r="79" spans="1:14" x14ac:dyDescent="0.3">
      <c r="B79" t="s">
        <v>117</v>
      </c>
      <c r="D79" s="24">
        <f>IFERROR('Cash Flow Data'!E11,0)</f>
        <v>-4194</v>
      </c>
      <c r="E79" s="24">
        <f>IFERROR('Cash Flow Data'!F11,0)</f>
        <v>-2040</v>
      </c>
      <c r="F79" s="24">
        <f>IFERROR('Cash Flow Data'!G11,0)</f>
        <v>-1895</v>
      </c>
      <c r="G79" s="24">
        <f>IFERROR('Cash Flow Data'!H11,0)</f>
        <v>-3021</v>
      </c>
      <c r="H79" s="24">
        <f>IFERROR('Cash Flow Data'!I11,0)</f>
        <v>-2659</v>
      </c>
      <c r="I79" s="24">
        <f>IFERROR('Cash Flow Data'!J11,0)</f>
        <v>-1785</v>
      </c>
      <c r="J79" s="24">
        <f>IFERROR('Cash Flow Data'!K11,0)</f>
        <v>-2105</v>
      </c>
      <c r="K79" s="24">
        <f>IFERROR('Cash Flow Data'!L11,0)</f>
        <v>-1910</v>
      </c>
      <c r="L79" s="24">
        <f>IFERROR('Cash Flow Data'!M11,0)</f>
        <v>-3179</v>
      </c>
      <c r="M79" s="24">
        <f>IFERROR('Cash Flow Data'!N11,0)</f>
        <v>-4516</v>
      </c>
    </row>
    <row r="80" spans="1:14" x14ac:dyDescent="0.3">
      <c r="B80" s="69" t="s">
        <v>138</v>
      </c>
      <c r="C80" s="76"/>
      <c r="D80" s="71">
        <f>IFERROR(SUM(D72:D79),0)</f>
        <v>31860</v>
      </c>
      <c r="E80" s="71">
        <f t="shared" ref="E80:M80" si="23">IFERROR(SUM(E72:E79),0)</f>
        <v>39212</v>
      </c>
      <c r="F80" s="71">
        <f t="shared" si="23"/>
        <v>33454</v>
      </c>
      <c r="G80" s="71">
        <f t="shared" si="23"/>
        <v>17423</v>
      </c>
      <c r="H80" s="71">
        <f t="shared" si="23"/>
        <v>11671</v>
      </c>
      <c r="I80" s="71">
        <f t="shared" si="23"/>
        <v>31698</v>
      </c>
      <c r="J80" s="71">
        <f t="shared" si="23"/>
        <v>28907</v>
      </c>
      <c r="K80" s="71">
        <f t="shared" si="23"/>
        <v>3532</v>
      </c>
      <c r="L80" s="71">
        <f t="shared" si="23"/>
        <v>32261</v>
      </c>
      <c r="M80" s="71">
        <f t="shared" si="23"/>
        <v>75241</v>
      </c>
    </row>
    <row r="82" spans="2:13" x14ac:dyDescent="0.3">
      <c r="B82" s="2" t="s">
        <v>141</v>
      </c>
    </row>
    <row r="83" spans="2:13" x14ac:dyDescent="0.3">
      <c r="B83" t="s">
        <v>118</v>
      </c>
      <c r="D83" s="24">
        <f>IFERROR('Cash Flow Data'!E13,0)</f>
        <v>-31962</v>
      </c>
      <c r="E83" s="24">
        <f>IFERROR('Cash Flow Data'!F13,0)</f>
        <v>-31503</v>
      </c>
      <c r="F83" s="24">
        <f>IFERROR('Cash Flow Data'!G13,0)</f>
        <v>-16072</v>
      </c>
      <c r="G83" s="24">
        <f>IFERROR('Cash Flow Data'!H13,0)</f>
        <v>-35079</v>
      </c>
      <c r="H83" s="24">
        <f>IFERROR('Cash Flow Data'!I13,0)</f>
        <v>-35304</v>
      </c>
      <c r="I83" s="24">
        <f>IFERROR('Cash Flow Data'!J13,0)</f>
        <v>-29702</v>
      </c>
      <c r="J83" s="24">
        <f>IFERROR('Cash Flow Data'!K13,0)</f>
        <v>-20205</v>
      </c>
      <c r="K83" s="24">
        <f>IFERROR('Cash Flow Data'!L13,0)</f>
        <v>-15168</v>
      </c>
      <c r="L83" s="24">
        <f>IFERROR('Cash Flow Data'!M13,0)</f>
        <v>-19230</v>
      </c>
      <c r="M83" s="24">
        <f>IFERROR('Cash Flow Data'!N13,0)</f>
        <v>-31414</v>
      </c>
    </row>
    <row r="84" spans="2:13" x14ac:dyDescent="0.3">
      <c r="B84" t="s">
        <v>119</v>
      </c>
      <c r="D84" s="24">
        <f>IFERROR('Cash Flow Data'!E14,0)</f>
        <v>74</v>
      </c>
      <c r="E84" s="24">
        <f>IFERROR('Cash Flow Data'!F14,0)</f>
        <v>59</v>
      </c>
      <c r="F84" s="24">
        <f>IFERROR('Cash Flow Data'!G14,0)</f>
        <v>53</v>
      </c>
      <c r="G84" s="24">
        <f>IFERROR('Cash Flow Data'!H14,0)</f>
        <v>30</v>
      </c>
      <c r="H84" s="24">
        <f>IFERROR('Cash Flow Data'!I14,0)</f>
        <v>67</v>
      </c>
      <c r="I84" s="24">
        <f>IFERROR('Cash Flow Data'!J14,0)</f>
        <v>171</v>
      </c>
      <c r="J84" s="24">
        <f>IFERROR('Cash Flow Data'!K14,0)</f>
        <v>351</v>
      </c>
      <c r="K84" s="24">
        <f>IFERROR('Cash Flow Data'!L14,0)</f>
        <v>230</v>
      </c>
      <c r="L84" s="24">
        <f>IFERROR('Cash Flow Data'!M14,0)</f>
        <v>285</v>
      </c>
      <c r="M84" s="24">
        <f>IFERROR('Cash Flow Data'!N14,0)</f>
        <v>231</v>
      </c>
    </row>
    <row r="85" spans="2:13" x14ac:dyDescent="0.3">
      <c r="B85" t="s">
        <v>120</v>
      </c>
      <c r="D85" s="24">
        <f>IFERROR('Cash Flow Data'!E15,0)</f>
        <v>-5461</v>
      </c>
      <c r="E85" s="24">
        <f>IFERROR('Cash Flow Data'!F15,0)</f>
        <v>-4728</v>
      </c>
      <c r="F85" s="24">
        <f>IFERROR('Cash Flow Data'!G15,0)</f>
        <v>-6</v>
      </c>
      <c r="G85" s="24">
        <f>IFERROR('Cash Flow Data'!H15,0)</f>
        <v>-329</v>
      </c>
      <c r="H85" s="24">
        <f>IFERROR('Cash Flow Data'!I15,0)</f>
        <v>-130</v>
      </c>
      <c r="I85" s="24">
        <f>IFERROR('Cash Flow Data'!J15,0)</f>
        <v>-1439</v>
      </c>
      <c r="J85" s="24">
        <f>IFERROR('Cash Flow Data'!K15,0)</f>
        <v>-7530</v>
      </c>
      <c r="K85" s="24">
        <f>IFERROR('Cash Flow Data'!L15,0)</f>
        <v>-3008</v>
      </c>
      <c r="L85" s="24">
        <f>IFERROR('Cash Flow Data'!M15,0)</f>
        <v>-50</v>
      </c>
      <c r="M85" s="24">
        <f>IFERROR('Cash Flow Data'!N15,0)</f>
        <v>-74</v>
      </c>
    </row>
    <row r="86" spans="2:13" x14ac:dyDescent="0.3">
      <c r="B86" t="s">
        <v>121</v>
      </c>
      <c r="D86" s="24">
        <f>IFERROR('Cash Flow Data'!E16,0)</f>
        <v>42</v>
      </c>
      <c r="E86" s="24">
        <f>IFERROR('Cash Flow Data'!F16,0)</f>
        <v>89</v>
      </c>
      <c r="F86" s="24">
        <f>IFERROR('Cash Flow Data'!G16,0)</f>
        <v>1965</v>
      </c>
      <c r="G86" s="24">
        <f>IFERROR('Cash Flow Data'!H16,0)</f>
        <v>2381</v>
      </c>
      <c r="H86" s="24">
        <f>IFERROR('Cash Flow Data'!I16,0)</f>
        <v>5644</v>
      </c>
      <c r="I86" s="24">
        <f>IFERROR('Cash Flow Data'!J16,0)</f>
        <v>21</v>
      </c>
      <c r="J86" s="24">
        <f>IFERROR('Cash Flow Data'!K16,0)</f>
        <v>226</v>
      </c>
      <c r="K86" s="24">
        <f>IFERROR('Cash Flow Data'!L16,0)</f>
        <v>104</v>
      </c>
      <c r="L86" s="24">
        <f>IFERROR('Cash Flow Data'!M16,0)</f>
        <v>6895</v>
      </c>
      <c r="M86" s="24">
        <f>IFERROR('Cash Flow Data'!N16,0)</f>
        <v>10820</v>
      </c>
    </row>
    <row r="87" spans="2:13" x14ac:dyDescent="0.3">
      <c r="B87" t="s">
        <v>122</v>
      </c>
      <c r="D87" s="24">
        <f>IFERROR('Cash Flow Data'!E17,0)</f>
        <v>698</v>
      </c>
      <c r="E87" s="24">
        <f>IFERROR('Cash Flow Data'!F17,0)</f>
        <v>731</v>
      </c>
      <c r="F87" s="24">
        <f>IFERROR('Cash Flow Data'!G17,0)</f>
        <v>638</v>
      </c>
      <c r="G87" s="24">
        <f>IFERROR('Cash Flow Data'!H17,0)</f>
        <v>690</v>
      </c>
      <c r="H87" s="24">
        <f>IFERROR('Cash Flow Data'!I17,0)</f>
        <v>761</v>
      </c>
      <c r="I87" s="24">
        <f>IFERROR('Cash Flow Data'!J17,0)</f>
        <v>1104</v>
      </c>
      <c r="J87" s="24">
        <f>IFERROR('Cash Flow Data'!K17,0)</f>
        <v>428</v>
      </c>
      <c r="K87" s="24">
        <f>IFERROR('Cash Flow Data'!L17,0)</f>
        <v>653</v>
      </c>
      <c r="L87" s="24">
        <f>IFERROR('Cash Flow Data'!M17,0)</f>
        <v>973</v>
      </c>
      <c r="M87" s="24">
        <f>IFERROR('Cash Flow Data'!N17,0)</f>
        <v>2493</v>
      </c>
    </row>
    <row r="88" spans="2:13" x14ac:dyDescent="0.3">
      <c r="B88" t="s">
        <v>123</v>
      </c>
      <c r="D88" s="24">
        <f>IFERROR('Cash Flow Data'!E18,0)</f>
        <v>80</v>
      </c>
      <c r="E88" s="24">
        <f>IFERROR('Cash Flow Data'!F18,0)</f>
        <v>58</v>
      </c>
      <c r="F88" s="24">
        <f>IFERROR('Cash Flow Data'!G18,0)</f>
        <v>620</v>
      </c>
      <c r="G88" s="24">
        <f>IFERROR('Cash Flow Data'!H18,0)</f>
        <v>1797</v>
      </c>
      <c r="H88" s="24">
        <f>IFERROR('Cash Flow Data'!I18,0)</f>
        <v>232</v>
      </c>
      <c r="I88" s="24">
        <f>IFERROR('Cash Flow Data'!J18,0)</f>
        <v>21</v>
      </c>
      <c r="J88" s="24">
        <f>IFERROR('Cash Flow Data'!K18,0)</f>
        <v>18</v>
      </c>
      <c r="K88" s="24">
        <f>IFERROR('Cash Flow Data'!L18,0)</f>
        <v>32</v>
      </c>
      <c r="L88" s="24">
        <f>IFERROR('Cash Flow Data'!M18,0)</f>
        <v>46</v>
      </c>
      <c r="M88" s="24">
        <f>IFERROR('Cash Flow Data'!N18,0)</f>
        <v>47</v>
      </c>
    </row>
    <row r="89" spans="2:13" x14ac:dyDescent="0.3">
      <c r="B89" t="s">
        <v>124</v>
      </c>
      <c r="D89" s="24">
        <f>IFERROR('Cash Flow Data'!E19,0)</f>
        <v>-160</v>
      </c>
      <c r="E89" s="24">
        <f>IFERROR('Cash Flow Data'!F19,0)</f>
        <v>0</v>
      </c>
      <c r="F89" s="24">
        <f>IFERROR('Cash Flow Data'!G19,0)</f>
        <v>-107</v>
      </c>
      <c r="G89" s="24">
        <f>IFERROR('Cash Flow Data'!H19,0)</f>
        <v>-4</v>
      </c>
      <c r="H89" s="24">
        <f>IFERROR('Cash Flow Data'!I19,0)</f>
        <v>-9</v>
      </c>
      <c r="I89" s="24">
        <f>IFERROR('Cash Flow Data'!J19,0)</f>
        <v>-606</v>
      </c>
      <c r="J89" s="24">
        <f>IFERROR('Cash Flow Data'!K19,0)</f>
        <v>-10</v>
      </c>
      <c r="K89" s="24">
        <f>IFERROR('Cash Flow Data'!L19,0)</f>
        <v>0</v>
      </c>
      <c r="L89" s="24">
        <f>IFERROR('Cash Flow Data'!M19,0)</f>
        <v>0</v>
      </c>
      <c r="M89" s="24">
        <f>IFERROR('Cash Flow Data'!N19,0)</f>
        <v>-150</v>
      </c>
    </row>
    <row r="90" spans="2:13" x14ac:dyDescent="0.3">
      <c r="B90" t="s">
        <v>125</v>
      </c>
      <c r="D90" s="24">
        <f>IFERROR('Cash Flow Data'!E20,0)</f>
        <v>0</v>
      </c>
      <c r="E90" s="24">
        <f>IFERROR('Cash Flow Data'!F20,0)</f>
        <v>0</v>
      </c>
      <c r="F90" s="24">
        <f>IFERROR('Cash Flow Data'!G20,0)</f>
        <v>0</v>
      </c>
      <c r="G90" s="24">
        <f>IFERROR('Cash Flow Data'!H20,0)</f>
        <v>14</v>
      </c>
      <c r="H90" s="24">
        <f>IFERROR('Cash Flow Data'!I20,0)</f>
        <v>533</v>
      </c>
      <c r="I90" s="24">
        <f>IFERROR('Cash Flow Data'!J20,0)</f>
        <v>0</v>
      </c>
      <c r="J90" s="24">
        <f>IFERROR('Cash Flow Data'!K20,0)</f>
        <v>0</v>
      </c>
      <c r="K90" s="24">
        <f>IFERROR('Cash Flow Data'!L20,0)</f>
        <v>0</v>
      </c>
      <c r="L90" s="24">
        <f>IFERROR('Cash Flow Data'!M20,0)</f>
        <v>19</v>
      </c>
      <c r="M90" s="24">
        <f>IFERROR('Cash Flow Data'!N20,0)</f>
        <v>108</v>
      </c>
    </row>
    <row r="91" spans="2:13" x14ac:dyDescent="0.3">
      <c r="B91" t="s">
        <v>126</v>
      </c>
      <c r="D91" s="24">
        <f>IFERROR('Cash Flow Data'!E21,0)</f>
        <v>0</v>
      </c>
      <c r="E91" s="24">
        <f>IFERROR('Cash Flow Data'!F21,0)</f>
        <v>-111</v>
      </c>
      <c r="F91" s="24">
        <f>IFERROR('Cash Flow Data'!G21,0)</f>
        <v>0</v>
      </c>
      <c r="G91" s="24">
        <f>IFERROR('Cash Flow Data'!H21,0)</f>
        <v>0</v>
      </c>
      <c r="H91" s="24">
        <f>IFERROR('Cash Flow Data'!I21,0)</f>
        <v>-8</v>
      </c>
      <c r="I91" s="24">
        <f>IFERROR('Cash Flow Data'!J21,0)</f>
        <v>-27</v>
      </c>
      <c r="J91" s="24">
        <f>IFERROR('Cash Flow Data'!K21,0)</f>
        <v>0</v>
      </c>
      <c r="K91" s="24">
        <f>IFERROR('Cash Flow Data'!L21,0)</f>
        <v>-98</v>
      </c>
      <c r="L91" s="24">
        <f>IFERROR('Cash Flow Data'!M21,0)</f>
        <v>0</v>
      </c>
      <c r="M91" s="24">
        <f>IFERROR('Cash Flow Data'!N21,0)</f>
        <v>0</v>
      </c>
    </row>
    <row r="92" spans="2:13" x14ac:dyDescent="0.3">
      <c r="B92" t="s">
        <v>127</v>
      </c>
      <c r="D92" s="24">
        <f>IFERROR('Cash Flow Data'!E22,0)</f>
        <v>0</v>
      </c>
      <c r="E92" s="24">
        <f>IFERROR('Cash Flow Data'!F22,0)</f>
        <v>0</v>
      </c>
      <c r="F92" s="24">
        <f>IFERROR('Cash Flow Data'!G22,0)</f>
        <v>0</v>
      </c>
      <c r="G92" s="24">
        <f>IFERROR('Cash Flow Data'!H22,0)</f>
        <v>0</v>
      </c>
      <c r="H92" s="24">
        <f>IFERROR('Cash Flow Data'!I22,0)</f>
        <v>0</v>
      </c>
      <c r="I92" s="24">
        <f>IFERROR('Cash Flow Data'!J22,0)</f>
        <v>0</v>
      </c>
      <c r="J92" s="24">
        <f>IFERROR('Cash Flow Data'!K22,0)</f>
        <v>0</v>
      </c>
      <c r="K92" s="24">
        <f>IFERROR('Cash Flow Data'!L22,0)</f>
        <v>0</v>
      </c>
      <c r="L92" s="24">
        <f>IFERROR('Cash Flow Data'!M22,0)</f>
        <v>0</v>
      </c>
      <c r="M92" s="24">
        <f>IFERROR('Cash Flow Data'!N22,0)</f>
        <v>-24</v>
      </c>
    </row>
    <row r="93" spans="2:13" x14ac:dyDescent="0.3">
      <c r="B93" t="s">
        <v>128</v>
      </c>
      <c r="D93" s="24">
        <f>IFERROR('Cash Flow Data'!E23,0)</f>
        <v>456</v>
      </c>
      <c r="E93" s="24">
        <f>IFERROR('Cash Flow Data'!F23,0)</f>
        <v>-1289</v>
      </c>
      <c r="F93" s="24">
        <f>IFERROR('Cash Flow Data'!G23,0)</f>
        <v>-26663</v>
      </c>
      <c r="G93" s="24">
        <f>IFERROR('Cash Flow Data'!H23,0)</f>
        <v>5360</v>
      </c>
      <c r="H93" s="24">
        <f>IFERROR('Cash Flow Data'!I23,0)</f>
        <v>7335</v>
      </c>
      <c r="I93" s="24">
        <f>IFERROR('Cash Flow Data'!J23,0)</f>
        <v>-2659</v>
      </c>
      <c r="J93" s="24">
        <f>IFERROR('Cash Flow Data'!K23,0)</f>
        <v>1051</v>
      </c>
      <c r="K93" s="24">
        <f>IFERROR('Cash Flow Data'!L23,0)</f>
        <v>12813</v>
      </c>
      <c r="L93" s="24">
        <f>IFERROR('Cash Flow Data'!M23,0)</f>
        <v>-4357</v>
      </c>
      <c r="M93" s="24">
        <f>IFERROR('Cash Flow Data'!N23,0)</f>
        <v>-4817</v>
      </c>
    </row>
    <row r="94" spans="2:13" x14ac:dyDescent="0.3">
      <c r="B94" s="69" t="s">
        <v>142</v>
      </c>
      <c r="C94" s="76"/>
      <c r="D94" s="71">
        <f>SUM(D83:D93)</f>
        <v>-36233</v>
      </c>
      <c r="E94" s="71">
        <f t="shared" ref="E94:M94" si="24">SUM(E83:E93)</f>
        <v>-36694</v>
      </c>
      <c r="F94" s="71">
        <f t="shared" si="24"/>
        <v>-39572</v>
      </c>
      <c r="G94" s="71">
        <f t="shared" si="24"/>
        <v>-25140</v>
      </c>
      <c r="H94" s="71">
        <f t="shared" si="24"/>
        <v>-20879</v>
      </c>
      <c r="I94" s="71">
        <f t="shared" si="24"/>
        <v>-33116</v>
      </c>
      <c r="J94" s="71">
        <f t="shared" si="24"/>
        <v>-25671</v>
      </c>
      <c r="K94" s="71">
        <f t="shared" si="24"/>
        <v>-4442</v>
      </c>
      <c r="L94" s="71">
        <f t="shared" si="24"/>
        <v>-15419</v>
      </c>
      <c r="M94" s="71">
        <f t="shared" si="24"/>
        <v>-22780</v>
      </c>
    </row>
    <row r="96" spans="2:13" x14ac:dyDescent="0.3">
      <c r="B96" s="2" t="s">
        <v>143</v>
      </c>
    </row>
    <row r="97" spans="2:13" x14ac:dyDescent="0.3">
      <c r="B97" t="s">
        <v>129</v>
      </c>
      <c r="D97" s="24">
        <f>IFERROR('Cash Flow Data'!E25,0)</f>
        <v>0</v>
      </c>
      <c r="E97" s="24">
        <f>IFERROR('Cash Flow Data'!F25,0)</f>
        <v>7433</v>
      </c>
      <c r="F97" s="24">
        <f>IFERROR('Cash Flow Data'!G25,0)</f>
        <v>5</v>
      </c>
      <c r="G97" s="24">
        <f>IFERROR('Cash Flow Data'!H25,0)</f>
        <v>0</v>
      </c>
      <c r="H97" s="24">
        <f>IFERROR('Cash Flow Data'!I25,0)</f>
        <v>0</v>
      </c>
      <c r="I97" s="24">
        <f>IFERROR('Cash Flow Data'!J25,0)</f>
        <v>3889</v>
      </c>
      <c r="J97" s="24">
        <f>IFERROR('Cash Flow Data'!K25,0)</f>
        <v>2603</v>
      </c>
      <c r="K97" s="24">
        <f>IFERROR('Cash Flow Data'!L25,0)</f>
        <v>19</v>
      </c>
      <c r="L97" s="24">
        <f>IFERROR('Cash Flow Data'!M25,0)</f>
        <v>20</v>
      </c>
      <c r="M97" s="24">
        <f>IFERROR('Cash Flow Data'!N25,0)</f>
        <v>82</v>
      </c>
    </row>
    <row r="98" spans="2:13" x14ac:dyDescent="0.3">
      <c r="B98" t="s">
        <v>130</v>
      </c>
      <c r="D98" s="24">
        <f>IFERROR('Cash Flow Data'!E26,0)</f>
        <v>-744</v>
      </c>
      <c r="E98" s="24">
        <f>IFERROR('Cash Flow Data'!F26,0)</f>
        <v>0</v>
      </c>
      <c r="F98" s="24">
        <f>IFERROR('Cash Flow Data'!G26,0)</f>
        <v>0</v>
      </c>
      <c r="G98" s="24">
        <f>IFERROR('Cash Flow Data'!H26,0)</f>
        <v>0</v>
      </c>
      <c r="H98" s="24">
        <f>IFERROR('Cash Flow Data'!I26,0)</f>
        <v>0</v>
      </c>
      <c r="I98" s="24">
        <f>IFERROR('Cash Flow Data'!J26,0)</f>
        <v>0</v>
      </c>
      <c r="J98" s="24">
        <f>IFERROR('Cash Flow Data'!K26,0)</f>
        <v>0</v>
      </c>
      <c r="K98" s="24">
        <f>IFERROR('Cash Flow Data'!L26,0)</f>
        <v>0</v>
      </c>
      <c r="L98" s="24">
        <f>IFERROR('Cash Flow Data'!M26,0)</f>
        <v>0</v>
      </c>
      <c r="M98" s="24">
        <f>IFERROR('Cash Flow Data'!N26,0)</f>
        <v>0</v>
      </c>
    </row>
    <row r="99" spans="2:13" x14ac:dyDescent="0.3">
      <c r="B99" t="s">
        <v>131</v>
      </c>
      <c r="D99" s="24">
        <f>IFERROR('Cash Flow Data'!E27,0)</f>
        <v>36363</v>
      </c>
      <c r="E99" s="24">
        <f>IFERROR('Cash Flow Data'!F27,0)</f>
        <v>19519</v>
      </c>
      <c r="F99" s="24">
        <f>IFERROR('Cash Flow Data'!G27,0)</f>
        <v>33390</v>
      </c>
      <c r="G99" s="24">
        <f>IFERROR('Cash Flow Data'!H27,0)</f>
        <v>37482</v>
      </c>
      <c r="H99" s="24">
        <f>IFERROR('Cash Flow Data'!I27,0)</f>
        <v>51128</v>
      </c>
      <c r="I99" s="24">
        <f>IFERROR('Cash Flow Data'!J27,0)</f>
        <v>38297</v>
      </c>
      <c r="J99" s="24">
        <f>IFERROR('Cash Flow Data'!K27,0)</f>
        <v>46641</v>
      </c>
      <c r="K99" s="24">
        <f>IFERROR('Cash Flow Data'!L27,0)</f>
        <v>46578</v>
      </c>
      <c r="L99" s="24">
        <f>IFERROR('Cash Flow Data'!M27,0)</f>
        <v>43934</v>
      </c>
      <c r="M99" s="24">
        <f>IFERROR('Cash Flow Data'!N27,0)</f>
        <v>18747</v>
      </c>
    </row>
    <row r="100" spans="2:13" x14ac:dyDescent="0.3">
      <c r="B100" t="s">
        <v>132</v>
      </c>
      <c r="D100" s="24">
        <f>IFERROR('Cash Flow Data'!E28,0)</f>
        <v>-23332</v>
      </c>
      <c r="E100" s="24">
        <f>IFERROR('Cash Flow Data'!F28,0)</f>
        <v>-24924</v>
      </c>
      <c r="F100" s="24">
        <f>IFERROR('Cash Flow Data'!G28,0)</f>
        <v>-21732</v>
      </c>
      <c r="G100" s="24">
        <f>IFERROR('Cash Flow Data'!H28,0)</f>
        <v>-29964</v>
      </c>
      <c r="H100" s="24">
        <f>IFERROR('Cash Flow Data'!I28,0)</f>
        <v>-35198</v>
      </c>
      <c r="I100" s="24">
        <f>IFERROR('Cash Flow Data'!J28,0)</f>
        <v>-29847</v>
      </c>
      <c r="J100" s="24">
        <f>IFERROR('Cash Flow Data'!K28,0)</f>
        <v>-29709</v>
      </c>
      <c r="K100" s="24">
        <f>IFERROR('Cash Flow Data'!L28,0)</f>
        <v>-42816</v>
      </c>
      <c r="L100" s="24">
        <f>IFERROR('Cash Flow Data'!M28,0)</f>
        <v>-62557</v>
      </c>
      <c r="M100" s="24">
        <f>IFERROR('Cash Flow Data'!N28,0)</f>
        <v>-47332</v>
      </c>
    </row>
    <row r="101" spans="2:13" x14ac:dyDescent="0.3">
      <c r="B101" t="s">
        <v>133</v>
      </c>
      <c r="D101" s="24">
        <f>IFERROR('Cash Flow Data'!E29,0)</f>
        <v>-6307</v>
      </c>
      <c r="E101" s="24">
        <f>IFERROR('Cash Flow Data'!F29,0)</f>
        <v>-5716</v>
      </c>
      <c r="F101" s="24">
        <f>IFERROR('Cash Flow Data'!G29,0)</f>
        <v>-5336</v>
      </c>
      <c r="G101" s="24">
        <f>IFERROR('Cash Flow Data'!H29,0)</f>
        <v>-5411</v>
      </c>
      <c r="H101" s="24">
        <f>IFERROR('Cash Flow Data'!I29,0)</f>
        <v>-7005</v>
      </c>
      <c r="I101" s="24">
        <f>IFERROR('Cash Flow Data'!J29,0)</f>
        <v>-7518</v>
      </c>
      <c r="J101" s="24">
        <f>IFERROR('Cash Flow Data'!K29,0)</f>
        <v>-8123</v>
      </c>
      <c r="K101" s="24">
        <f>IFERROR('Cash Flow Data'!L29,0)</f>
        <v>-9251</v>
      </c>
      <c r="L101" s="24">
        <f>IFERROR('Cash Flow Data'!M29,0)</f>
        <v>-9336</v>
      </c>
      <c r="M101" s="24">
        <f>IFERROR('Cash Flow Data'!N29,0)</f>
        <v>-9332</v>
      </c>
    </row>
    <row r="102" spans="2:13" x14ac:dyDescent="0.3">
      <c r="B102" t="s">
        <v>134</v>
      </c>
      <c r="D102" s="24">
        <f>IFERROR('Cash Flow Data'!E30,0)</f>
        <v>-720</v>
      </c>
      <c r="E102" s="24">
        <f>IFERROR('Cash Flow Data'!F30,0)</f>
        <v>-108</v>
      </c>
      <c r="F102" s="24">
        <f>IFERROR('Cash Flow Data'!G30,0)</f>
        <v>-121</v>
      </c>
      <c r="G102" s="24">
        <f>IFERROR('Cash Flow Data'!H30,0)</f>
        <v>-96</v>
      </c>
      <c r="H102" s="24">
        <f>IFERROR('Cash Flow Data'!I30,0)</f>
        <v>-95</v>
      </c>
      <c r="I102" s="24">
        <f>IFERROR('Cash Flow Data'!J30,0)</f>
        <v>-57</v>
      </c>
      <c r="J102" s="24">
        <f>IFERROR('Cash Flow Data'!K30,0)</f>
        <v>-30</v>
      </c>
      <c r="K102" s="24">
        <f>IFERROR('Cash Flow Data'!L30,0)</f>
        <v>-100</v>
      </c>
      <c r="L102" s="24">
        <f>IFERROR('Cash Flow Data'!M30,0)</f>
        <v>-141</v>
      </c>
      <c r="M102" s="24">
        <f>IFERROR('Cash Flow Data'!N30,0)</f>
        <v>-1059</v>
      </c>
    </row>
    <row r="103" spans="2:13" x14ac:dyDescent="0.3">
      <c r="B103" t="s">
        <v>135</v>
      </c>
      <c r="D103" s="24">
        <f>IFERROR('Cash Flow Data'!E31,0)</f>
        <v>0</v>
      </c>
      <c r="E103" s="24">
        <f>IFERROR('Cash Flow Data'!F31,0)</f>
        <v>0</v>
      </c>
      <c r="F103" s="24">
        <f>IFERROR('Cash Flow Data'!G31,0)</f>
        <v>0</v>
      </c>
      <c r="G103" s="24">
        <f>IFERROR('Cash Flow Data'!H31,0)</f>
        <v>0</v>
      </c>
      <c r="H103" s="24">
        <f>IFERROR('Cash Flow Data'!I31,0)</f>
        <v>0</v>
      </c>
      <c r="I103" s="24">
        <f>IFERROR('Cash Flow Data'!J31,0)</f>
        <v>-1346</v>
      </c>
      <c r="J103" s="24">
        <f>IFERROR('Cash Flow Data'!K31,0)</f>
        <v>-1477</v>
      </c>
      <c r="K103" s="24">
        <f>IFERROR('Cash Flow Data'!L31,0)</f>
        <v>-1559</v>
      </c>
      <c r="L103" s="24">
        <f>IFERROR('Cash Flow Data'!M31,0)</f>
        <v>-1517</v>
      </c>
      <c r="M103" s="24">
        <f>IFERROR('Cash Flow Data'!N31,0)</f>
        <v>-1924</v>
      </c>
    </row>
    <row r="104" spans="2:13" x14ac:dyDescent="0.3">
      <c r="B104" t="s">
        <v>136</v>
      </c>
      <c r="D104" s="24">
        <f>IFERROR('Cash Flow Data'!E32,0)</f>
        <v>-57</v>
      </c>
      <c r="E104" s="24">
        <f>IFERROR('Cash Flow Data'!F32,0)</f>
        <v>0</v>
      </c>
      <c r="F104" s="24">
        <f>IFERROR('Cash Flow Data'!G32,0)</f>
        <v>0</v>
      </c>
      <c r="G104" s="24">
        <f>IFERROR('Cash Flow Data'!H32,0)</f>
        <v>0</v>
      </c>
      <c r="H104" s="24">
        <f>IFERROR('Cash Flow Data'!I32,0)</f>
        <v>0</v>
      </c>
      <c r="I104" s="24">
        <f>IFERROR('Cash Flow Data'!J32,0)</f>
        <v>-29</v>
      </c>
      <c r="J104" s="24">
        <f>IFERROR('Cash Flow Data'!K32,0)</f>
        <v>0</v>
      </c>
      <c r="K104" s="24">
        <f>IFERROR('Cash Flow Data'!L32,0)</f>
        <v>3750</v>
      </c>
      <c r="L104" s="24">
        <f>IFERROR('Cash Flow Data'!M32,0)</f>
        <v>3355</v>
      </c>
      <c r="M104" s="24">
        <f>IFERROR('Cash Flow Data'!N32,0)</f>
        <v>3812</v>
      </c>
    </row>
    <row r="105" spans="2:13" x14ac:dyDescent="0.3">
      <c r="B105" s="69" t="s">
        <v>144</v>
      </c>
      <c r="C105" s="76"/>
      <c r="D105" s="71">
        <f>SUM(D97:D104)</f>
        <v>5203</v>
      </c>
      <c r="E105" s="71">
        <f t="shared" ref="E105:M105" si="25">SUM(E97:E104)</f>
        <v>-3796</v>
      </c>
      <c r="F105" s="71">
        <f t="shared" si="25"/>
        <v>6206</v>
      </c>
      <c r="G105" s="71">
        <f t="shared" si="25"/>
        <v>2011</v>
      </c>
      <c r="H105" s="71">
        <f t="shared" si="25"/>
        <v>8830</v>
      </c>
      <c r="I105" s="71">
        <f t="shared" si="25"/>
        <v>3389</v>
      </c>
      <c r="J105" s="71">
        <f t="shared" si="25"/>
        <v>9905</v>
      </c>
      <c r="K105" s="71">
        <f t="shared" si="25"/>
        <v>-3379</v>
      </c>
      <c r="L105" s="71">
        <f t="shared" si="25"/>
        <v>-26242</v>
      </c>
      <c r="M105" s="71">
        <f t="shared" si="25"/>
        <v>-37006</v>
      </c>
    </row>
    <row r="107" spans="2:13" ht="15" thickBot="1" x14ac:dyDescent="0.35">
      <c r="B107" s="77" t="s">
        <v>34</v>
      </c>
      <c r="C107" s="73"/>
      <c r="D107" s="74">
        <f>IFERROR(D105+D94+D80,0)</f>
        <v>830</v>
      </c>
      <c r="E107" s="74">
        <f t="shared" ref="E107:M107" si="26">IFERROR(E105+E94+E80,0)</f>
        <v>-1278</v>
      </c>
      <c r="F107" s="74">
        <f t="shared" si="26"/>
        <v>88</v>
      </c>
      <c r="G107" s="74">
        <f t="shared" si="26"/>
        <v>-5706</v>
      </c>
      <c r="H107" s="74">
        <f t="shared" si="26"/>
        <v>-378</v>
      </c>
      <c r="I107" s="74">
        <f t="shared" si="26"/>
        <v>1971</v>
      </c>
      <c r="J107" s="74">
        <f t="shared" si="26"/>
        <v>13141</v>
      </c>
      <c r="K107" s="74">
        <f t="shared" si="26"/>
        <v>-4289</v>
      </c>
      <c r="L107" s="74">
        <f t="shared" si="26"/>
        <v>-9400</v>
      </c>
      <c r="M107" s="74">
        <f t="shared" si="26"/>
        <v>15455</v>
      </c>
    </row>
  </sheetData>
  <mergeCells count="1">
    <mergeCell ref="B2:N2"/>
  </mergeCells>
  <pageMargins left="0.7" right="0.7" top="0.75" bottom="0.75" header="0.3" footer="0.3"/>
  <ignoredErrors>
    <ignoredError sqref="N5 N8 D14:N14 N24 N30 I8:J8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EBC5A-351F-4054-AF2B-AA937EA3E4E4}">
  <dimension ref="B2:N33"/>
  <sheetViews>
    <sheetView workbookViewId="0">
      <selection activeCell="B14" sqref="B14"/>
    </sheetView>
  </sheetViews>
  <sheetFormatPr defaultRowHeight="14.4" x14ac:dyDescent="0.3"/>
  <cols>
    <col min="2" max="2" width="27" customWidth="1"/>
  </cols>
  <sheetData>
    <row r="2" spans="2:14" x14ac:dyDescent="0.3">
      <c r="B2" t="s">
        <v>96</v>
      </c>
      <c r="C2" s="63">
        <v>41334</v>
      </c>
      <c r="D2" s="63">
        <v>41699</v>
      </c>
      <c r="E2" s="63">
        <v>42064</v>
      </c>
      <c r="F2" s="63">
        <v>42430</v>
      </c>
      <c r="G2" s="63">
        <v>42795</v>
      </c>
      <c r="H2" s="63">
        <v>43160</v>
      </c>
      <c r="I2" s="63">
        <v>43525</v>
      </c>
      <c r="J2" s="63">
        <v>43891</v>
      </c>
      <c r="K2" s="63">
        <v>44256</v>
      </c>
      <c r="L2" s="63">
        <v>44621</v>
      </c>
      <c r="M2" s="63">
        <v>44986</v>
      </c>
      <c r="N2" s="63">
        <v>45352</v>
      </c>
    </row>
    <row r="3" spans="2:14" x14ac:dyDescent="0.3">
      <c r="B3" t="s">
        <v>31</v>
      </c>
      <c r="C3" s="64">
        <v>22163</v>
      </c>
      <c r="D3" s="64">
        <v>36151</v>
      </c>
      <c r="E3" s="64">
        <v>35531</v>
      </c>
      <c r="F3" s="64">
        <v>37900</v>
      </c>
      <c r="G3" s="64">
        <v>30199</v>
      </c>
      <c r="H3" s="64">
        <v>23857</v>
      </c>
      <c r="I3" s="64">
        <v>18891</v>
      </c>
      <c r="J3" s="64">
        <v>26633</v>
      </c>
      <c r="K3" s="64">
        <v>29001</v>
      </c>
      <c r="L3" s="64">
        <v>14283</v>
      </c>
      <c r="M3" s="64">
        <v>35388</v>
      </c>
      <c r="N3" s="64">
        <v>67915</v>
      </c>
    </row>
    <row r="4" spans="2:14" x14ac:dyDescent="0.3">
      <c r="B4" t="s">
        <v>112</v>
      </c>
      <c r="C4" s="64">
        <v>24406</v>
      </c>
      <c r="D4" s="64">
        <v>36303</v>
      </c>
      <c r="E4" s="64">
        <v>43397</v>
      </c>
      <c r="F4" s="64">
        <v>38626</v>
      </c>
      <c r="G4" s="64">
        <v>28840</v>
      </c>
      <c r="H4" s="64">
        <v>33312</v>
      </c>
      <c r="I4" s="64">
        <v>28771</v>
      </c>
      <c r="J4" s="64">
        <v>23352</v>
      </c>
      <c r="K4" s="64">
        <v>31198</v>
      </c>
      <c r="L4" s="64">
        <v>26943</v>
      </c>
      <c r="M4" s="64">
        <v>41694</v>
      </c>
      <c r="N4" s="64">
        <v>65106</v>
      </c>
    </row>
    <row r="5" spans="2:14" x14ac:dyDescent="0.3">
      <c r="B5" t="s">
        <v>67</v>
      </c>
      <c r="C5" s="64">
        <v>-5177</v>
      </c>
      <c r="D5" s="65">
        <v>445</v>
      </c>
      <c r="E5" s="64">
        <v>-3179</v>
      </c>
      <c r="F5" s="64">
        <v>-2223</v>
      </c>
      <c r="G5" s="64">
        <v>-4152</v>
      </c>
      <c r="H5" s="64">
        <v>-10688</v>
      </c>
      <c r="I5" s="64">
        <v>-9109</v>
      </c>
      <c r="J5" s="64">
        <v>9950</v>
      </c>
      <c r="K5" s="64">
        <v>-5505</v>
      </c>
      <c r="L5" s="65">
        <v>185</v>
      </c>
      <c r="M5" s="64">
        <v>-2213</v>
      </c>
      <c r="N5" s="64">
        <v>-1875</v>
      </c>
    </row>
    <row r="6" spans="2:14" x14ac:dyDescent="0.3">
      <c r="B6" t="s">
        <v>43</v>
      </c>
      <c r="C6" s="64">
        <v>-2656</v>
      </c>
      <c r="D6" s="64">
        <v>-2853</v>
      </c>
      <c r="E6" s="64">
        <v>-3692</v>
      </c>
      <c r="F6" s="64">
        <v>-5743</v>
      </c>
      <c r="G6" s="64">
        <v>-6621</v>
      </c>
      <c r="H6" s="64">
        <v>-3560</v>
      </c>
      <c r="I6" s="64">
        <v>2069</v>
      </c>
      <c r="J6" s="64">
        <v>2326</v>
      </c>
      <c r="K6" s="64">
        <v>3814</v>
      </c>
      <c r="L6" s="65">
        <v>472</v>
      </c>
      <c r="M6" s="64">
        <v>-5665</v>
      </c>
      <c r="N6" s="64">
        <v>-7265</v>
      </c>
    </row>
    <row r="7" spans="2:14" x14ac:dyDescent="0.3">
      <c r="B7" t="s">
        <v>113</v>
      </c>
      <c r="C7" s="64">
        <v>8132</v>
      </c>
      <c r="D7" s="64">
        <v>4694</v>
      </c>
      <c r="E7" s="64">
        <v>3598</v>
      </c>
      <c r="F7" s="64">
        <v>3947</v>
      </c>
      <c r="G7" s="64">
        <v>9301</v>
      </c>
      <c r="H7" s="64">
        <v>7320</v>
      </c>
      <c r="I7" s="64">
        <v>-4692</v>
      </c>
      <c r="J7" s="64">
        <v>-8085</v>
      </c>
      <c r="K7" s="64">
        <v>5748</v>
      </c>
      <c r="L7" s="64">
        <v>-7012</v>
      </c>
      <c r="M7" s="64">
        <v>6945</v>
      </c>
      <c r="N7" s="64">
        <v>13706</v>
      </c>
    </row>
    <row r="8" spans="2:14" x14ac:dyDescent="0.3">
      <c r="B8" t="s">
        <v>114</v>
      </c>
      <c r="C8" s="65">
        <v>0</v>
      </c>
      <c r="D8" s="65">
        <v>0</v>
      </c>
      <c r="E8" s="65">
        <v>0</v>
      </c>
      <c r="F8" s="65">
        <v>-520</v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 spans="2:14" x14ac:dyDescent="0.3">
      <c r="B9" t="s">
        <v>115</v>
      </c>
      <c r="C9" s="65">
        <v>-303</v>
      </c>
      <c r="D9" s="64">
        <v>1870</v>
      </c>
      <c r="E9" s="65">
        <v>-398</v>
      </c>
      <c r="F9" s="64">
        <v>5852</v>
      </c>
      <c r="G9" s="64">
        <v>4727</v>
      </c>
      <c r="H9" s="65">
        <v>494</v>
      </c>
      <c r="I9" s="64">
        <v>4512</v>
      </c>
      <c r="J9" s="65">
        <v>875</v>
      </c>
      <c r="K9" s="64">
        <v>-4150</v>
      </c>
      <c r="L9" s="64">
        <v>-4396</v>
      </c>
      <c r="M9" s="64">
        <v>-2194</v>
      </c>
      <c r="N9" s="64">
        <v>2760</v>
      </c>
    </row>
    <row r="10" spans="2:14" x14ac:dyDescent="0.3">
      <c r="B10" t="s">
        <v>116</v>
      </c>
      <c r="C10" s="65">
        <v>-3</v>
      </c>
      <c r="D10" s="64">
        <v>4157</v>
      </c>
      <c r="E10" s="64">
        <v>-3672</v>
      </c>
      <c r="F10" s="64">
        <v>1313</v>
      </c>
      <c r="G10" s="64">
        <v>3254</v>
      </c>
      <c r="H10" s="64">
        <v>-6434</v>
      </c>
      <c r="I10" s="64">
        <v>-7221</v>
      </c>
      <c r="J10" s="64">
        <v>5065</v>
      </c>
      <c r="K10" s="65">
        <v>-93</v>
      </c>
      <c r="L10" s="64">
        <v>-10750</v>
      </c>
      <c r="M10" s="64">
        <v>-3127</v>
      </c>
      <c r="N10" s="64">
        <v>7325</v>
      </c>
    </row>
    <row r="11" spans="2:14" x14ac:dyDescent="0.3">
      <c r="B11" t="s">
        <v>117</v>
      </c>
      <c r="C11" s="64">
        <v>-2240</v>
      </c>
      <c r="D11" s="64">
        <v>-4308</v>
      </c>
      <c r="E11" s="64">
        <v>-4194</v>
      </c>
      <c r="F11" s="64">
        <v>-2040</v>
      </c>
      <c r="G11" s="64">
        <v>-1895</v>
      </c>
      <c r="H11" s="64">
        <v>-3021</v>
      </c>
      <c r="I11" s="64">
        <v>-2659</v>
      </c>
      <c r="J11" s="64">
        <v>-1785</v>
      </c>
      <c r="K11" s="64">
        <v>-2105</v>
      </c>
      <c r="L11" s="64">
        <v>-1910</v>
      </c>
      <c r="M11" s="64">
        <v>-3179</v>
      </c>
      <c r="N11" s="64">
        <v>-4516</v>
      </c>
    </row>
    <row r="12" spans="2:14" x14ac:dyDescent="0.3">
      <c r="B12" t="s">
        <v>32</v>
      </c>
      <c r="C12" s="64">
        <v>-22969</v>
      </c>
      <c r="D12" s="64">
        <v>-27991</v>
      </c>
      <c r="E12" s="64">
        <v>-36232</v>
      </c>
      <c r="F12" s="64">
        <v>-36694</v>
      </c>
      <c r="G12" s="64">
        <v>-39571</v>
      </c>
      <c r="H12" s="64">
        <v>-25139</v>
      </c>
      <c r="I12" s="64">
        <v>-20878</v>
      </c>
      <c r="J12" s="64">
        <v>-33115</v>
      </c>
      <c r="K12" s="64">
        <v>-25672</v>
      </c>
      <c r="L12" s="64">
        <v>-4444</v>
      </c>
      <c r="M12" s="64">
        <v>-15417</v>
      </c>
      <c r="N12" s="64">
        <v>-22782</v>
      </c>
    </row>
    <row r="13" spans="2:14" x14ac:dyDescent="0.3">
      <c r="B13" t="s">
        <v>118</v>
      </c>
      <c r="C13" s="64">
        <v>-18863</v>
      </c>
      <c r="D13" s="64">
        <v>-26975</v>
      </c>
      <c r="E13" s="64">
        <v>-31962</v>
      </c>
      <c r="F13" s="64">
        <v>-31503</v>
      </c>
      <c r="G13" s="64">
        <v>-16072</v>
      </c>
      <c r="H13" s="64">
        <v>-35079</v>
      </c>
      <c r="I13" s="64">
        <v>-35304</v>
      </c>
      <c r="J13" s="64">
        <v>-29702</v>
      </c>
      <c r="K13" s="64">
        <v>-20205</v>
      </c>
      <c r="L13" s="64">
        <v>-15168</v>
      </c>
      <c r="M13" s="64">
        <v>-19230</v>
      </c>
      <c r="N13" s="64">
        <v>-31414</v>
      </c>
    </row>
    <row r="14" spans="2:14" x14ac:dyDescent="0.3">
      <c r="B14" t="s">
        <v>119</v>
      </c>
      <c r="C14" s="65">
        <v>37</v>
      </c>
      <c r="D14" s="65">
        <v>50</v>
      </c>
      <c r="E14" s="65">
        <v>74</v>
      </c>
      <c r="F14" s="65">
        <v>59</v>
      </c>
      <c r="G14" s="65">
        <v>53</v>
      </c>
      <c r="H14" s="65">
        <v>30</v>
      </c>
      <c r="I14" s="65">
        <v>67</v>
      </c>
      <c r="J14" s="65">
        <v>171</v>
      </c>
      <c r="K14" s="65">
        <v>351</v>
      </c>
      <c r="L14" s="65">
        <v>230</v>
      </c>
      <c r="M14" s="65">
        <v>285</v>
      </c>
      <c r="N14" s="65">
        <v>231</v>
      </c>
    </row>
    <row r="15" spans="2:14" x14ac:dyDescent="0.3">
      <c r="B15" t="s">
        <v>120</v>
      </c>
      <c r="C15" s="65">
        <v>73</v>
      </c>
      <c r="D15" s="65">
        <v>-429</v>
      </c>
      <c r="E15" s="64">
        <v>-5461</v>
      </c>
      <c r="F15" s="64">
        <v>-4728</v>
      </c>
      <c r="G15" s="65">
        <v>-6</v>
      </c>
      <c r="H15" s="65">
        <v>-329</v>
      </c>
      <c r="I15" s="65">
        <v>-130</v>
      </c>
      <c r="J15" s="64">
        <v>-1439</v>
      </c>
      <c r="K15" s="64">
        <v>-7530</v>
      </c>
      <c r="L15" s="64">
        <v>-3008</v>
      </c>
      <c r="M15" s="65">
        <v>-50</v>
      </c>
      <c r="N15" s="65">
        <v>-74</v>
      </c>
    </row>
    <row r="16" spans="2:14" x14ac:dyDescent="0.3">
      <c r="B16" t="s">
        <v>121</v>
      </c>
      <c r="C16" s="65">
        <v>34</v>
      </c>
      <c r="D16" s="65">
        <v>4</v>
      </c>
      <c r="E16" s="65">
        <v>42</v>
      </c>
      <c r="F16" s="65">
        <v>89</v>
      </c>
      <c r="G16" s="64">
        <v>1965</v>
      </c>
      <c r="H16" s="64">
        <v>2381</v>
      </c>
      <c r="I16" s="64">
        <v>5644</v>
      </c>
      <c r="J16" s="65">
        <v>21</v>
      </c>
      <c r="K16" s="65">
        <v>226</v>
      </c>
      <c r="L16" s="65">
        <v>104</v>
      </c>
      <c r="M16" s="64">
        <v>6895</v>
      </c>
      <c r="N16" s="64">
        <v>10820</v>
      </c>
    </row>
    <row r="17" spans="2:14" x14ac:dyDescent="0.3">
      <c r="B17" t="s">
        <v>122</v>
      </c>
      <c r="C17" s="65">
        <v>713</v>
      </c>
      <c r="D17" s="65">
        <v>653</v>
      </c>
      <c r="E17" s="65">
        <v>698</v>
      </c>
      <c r="F17" s="65">
        <v>731</v>
      </c>
      <c r="G17" s="65">
        <v>638</v>
      </c>
      <c r="H17" s="65">
        <v>690</v>
      </c>
      <c r="I17" s="65">
        <v>761</v>
      </c>
      <c r="J17" s="64">
        <v>1104</v>
      </c>
      <c r="K17" s="65">
        <v>428</v>
      </c>
      <c r="L17" s="65">
        <v>653</v>
      </c>
      <c r="M17" s="65">
        <v>973</v>
      </c>
      <c r="N17" s="64">
        <v>2493</v>
      </c>
    </row>
    <row r="18" spans="2:14" x14ac:dyDescent="0.3">
      <c r="B18" t="s">
        <v>123</v>
      </c>
      <c r="C18" s="65">
        <v>95</v>
      </c>
      <c r="D18" s="65">
        <v>40</v>
      </c>
      <c r="E18" s="65">
        <v>80</v>
      </c>
      <c r="F18" s="65">
        <v>58</v>
      </c>
      <c r="G18" s="65">
        <v>620</v>
      </c>
      <c r="H18" s="64">
        <v>1797</v>
      </c>
      <c r="I18" s="65">
        <v>232</v>
      </c>
      <c r="J18" s="65">
        <v>21</v>
      </c>
      <c r="K18" s="65">
        <v>18</v>
      </c>
      <c r="L18" s="65">
        <v>32</v>
      </c>
      <c r="M18" s="65">
        <v>46</v>
      </c>
      <c r="N18" s="65">
        <v>47</v>
      </c>
    </row>
    <row r="19" spans="2:14" x14ac:dyDescent="0.3">
      <c r="B19" t="s">
        <v>124</v>
      </c>
      <c r="C19" s="65">
        <v>0</v>
      </c>
      <c r="D19" s="65">
        <v>0</v>
      </c>
      <c r="E19" s="65">
        <v>-160</v>
      </c>
      <c r="F19" s="65">
        <v>0</v>
      </c>
      <c r="G19" s="65">
        <v>-107</v>
      </c>
      <c r="H19" s="65">
        <v>-4</v>
      </c>
      <c r="I19" s="65">
        <v>-9</v>
      </c>
      <c r="J19" s="65">
        <v>-606</v>
      </c>
      <c r="K19" s="65">
        <v>-10</v>
      </c>
      <c r="L19" s="65">
        <v>0</v>
      </c>
      <c r="M19" s="65">
        <v>0</v>
      </c>
      <c r="N19" s="65">
        <v>-150</v>
      </c>
    </row>
    <row r="20" spans="2:14" x14ac:dyDescent="0.3">
      <c r="B20" t="s">
        <v>125</v>
      </c>
      <c r="C20" s="65">
        <v>0</v>
      </c>
      <c r="D20" s="65">
        <v>0</v>
      </c>
      <c r="E20" s="65">
        <v>0</v>
      </c>
      <c r="F20" s="65">
        <v>0</v>
      </c>
      <c r="G20" s="65">
        <v>0</v>
      </c>
      <c r="H20" s="65">
        <v>14</v>
      </c>
      <c r="I20" s="65">
        <v>533</v>
      </c>
      <c r="J20" s="65">
        <v>0</v>
      </c>
      <c r="K20" s="65">
        <v>0</v>
      </c>
      <c r="L20" s="65">
        <v>0</v>
      </c>
      <c r="M20" s="65">
        <v>19</v>
      </c>
      <c r="N20" s="65">
        <v>108</v>
      </c>
    </row>
    <row r="21" spans="2:14" x14ac:dyDescent="0.3">
      <c r="B21" t="s">
        <v>126</v>
      </c>
      <c r="C21" s="65">
        <v>0</v>
      </c>
      <c r="D21" s="65">
        <v>-185</v>
      </c>
      <c r="E21" s="65">
        <v>0</v>
      </c>
      <c r="F21" s="65">
        <v>-111</v>
      </c>
      <c r="G21" s="65">
        <v>0</v>
      </c>
      <c r="H21" s="65">
        <v>0</v>
      </c>
      <c r="I21" s="65">
        <v>-8</v>
      </c>
      <c r="J21" s="65">
        <v>-27</v>
      </c>
      <c r="K21" s="65">
        <v>0</v>
      </c>
      <c r="L21" s="65">
        <v>-98</v>
      </c>
      <c r="M21" s="65">
        <v>0</v>
      </c>
      <c r="N21" s="65">
        <v>0</v>
      </c>
    </row>
    <row r="22" spans="2:14" x14ac:dyDescent="0.3">
      <c r="B22" t="s">
        <v>127</v>
      </c>
      <c r="C22" s="65">
        <v>45</v>
      </c>
      <c r="D22" s="65">
        <v>0</v>
      </c>
      <c r="E22" s="65">
        <v>0</v>
      </c>
      <c r="F22" s="65">
        <v>0</v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-24</v>
      </c>
    </row>
    <row r="23" spans="2:14" x14ac:dyDescent="0.3">
      <c r="B23" t="s">
        <v>128</v>
      </c>
      <c r="C23" s="64">
        <v>-5103</v>
      </c>
      <c r="D23" s="64">
        <v>-1149</v>
      </c>
      <c r="E23" s="65">
        <v>456</v>
      </c>
      <c r="F23" s="64">
        <v>-1289</v>
      </c>
      <c r="G23" s="64">
        <v>-26663</v>
      </c>
      <c r="H23" s="64">
        <v>5360</v>
      </c>
      <c r="I23" s="64">
        <v>7335</v>
      </c>
      <c r="J23" s="64">
        <v>-2659</v>
      </c>
      <c r="K23" s="64">
        <v>1051</v>
      </c>
      <c r="L23" s="64">
        <v>12813</v>
      </c>
      <c r="M23" s="64">
        <v>-4357</v>
      </c>
      <c r="N23" s="64">
        <v>-4817</v>
      </c>
    </row>
    <row r="24" spans="2:14" x14ac:dyDescent="0.3">
      <c r="B24" t="s">
        <v>33</v>
      </c>
      <c r="C24" s="64">
        <v>-1692</v>
      </c>
      <c r="D24" s="64">
        <v>-3883</v>
      </c>
      <c r="E24" s="64">
        <v>5201</v>
      </c>
      <c r="F24" s="64">
        <v>-3795</v>
      </c>
      <c r="G24" s="64">
        <v>6205</v>
      </c>
      <c r="H24" s="64">
        <v>2012</v>
      </c>
      <c r="I24" s="64">
        <v>8830</v>
      </c>
      <c r="J24" s="64">
        <v>3390</v>
      </c>
      <c r="K24" s="64">
        <v>9904</v>
      </c>
      <c r="L24" s="64">
        <v>-3380</v>
      </c>
      <c r="M24" s="64">
        <v>-26243</v>
      </c>
      <c r="N24" s="64">
        <v>-37006</v>
      </c>
    </row>
    <row r="25" spans="2:14" x14ac:dyDescent="0.3">
      <c r="B25" t="s">
        <v>129</v>
      </c>
      <c r="C25" s="65">
        <v>1</v>
      </c>
      <c r="D25" s="65">
        <v>0</v>
      </c>
      <c r="E25" s="65">
        <v>0</v>
      </c>
      <c r="F25" s="64">
        <v>7433</v>
      </c>
      <c r="G25" s="65">
        <v>5</v>
      </c>
      <c r="H25" s="65">
        <v>0</v>
      </c>
      <c r="I25" s="65">
        <v>0</v>
      </c>
      <c r="J25" s="64">
        <v>3889</v>
      </c>
      <c r="K25" s="64">
        <v>2603</v>
      </c>
      <c r="L25" s="65">
        <v>19</v>
      </c>
      <c r="M25" s="65">
        <v>20</v>
      </c>
      <c r="N25" s="65">
        <v>82</v>
      </c>
    </row>
    <row r="26" spans="2:14" x14ac:dyDescent="0.3">
      <c r="B26" t="s">
        <v>130</v>
      </c>
      <c r="C26" s="65">
        <v>-97</v>
      </c>
      <c r="D26" s="65">
        <v>-658</v>
      </c>
      <c r="E26" s="65">
        <v>-744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</row>
    <row r="27" spans="2:14" x14ac:dyDescent="0.3">
      <c r="B27" t="s">
        <v>131</v>
      </c>
      <c r="C27" s="64">
        <v>27863</v>
      </c>
      <c r="D27" s="64">
        <v>33258</v>
      </c>
      <c r="E27" s="64">
        <v>36363</v>
      </c>
      <c r="F27" s="64">
        <v>19519</v>
      </c>
      <c r="G27" s="64">
        <v>33390</v>
      </c>
      <c r="H27" s="64">
        <v>37482</v>
      </c>
      <c r="I27" s="64">
        <v>51128</v>
      </c>
      <c r="J27" s="64">
        <v>38297</v>
      </c>
      <c r="K27" s="64">
        <v>46641</v>
      </c>
      <c r="L27" s="64">
        <v>46578</v>
      </c>
      <c r="M27" s="64">
        <v>43934</v>
      </c>
      <c r="N27" s="64">
        <v>18747</v>
      </c>
    </row>
    <row r="28" spans="2:14" x14ac:dyDescent="0.3">
      <c r="B28" t="s">
        <v>132</v>
      </c>
      <c r="C28" s="64">
        <v>-20395</v>
      </c>
      <c r="D28" s="64">
        <v>-29141</v>
      </c>
      <c r="E28" s="64">
        <v>-23332</v>
      </c>
      <c r="F28" s="64">
        <v>-24924</v>
      </c>
      <c r="G28" s="64">
        <v>-21732</v>
      </c>
      <c r="H28" s="64">
        <v>-29964</v>
      </c>
      <c r="I28" s="64">
        <v>-35198</v>
      </c>
      <c r="J28" s="64">
        <v>-29847</v>
      </c>
      <c r="K28" s="64">
        <v>-29709</v>
      </c>
      <c r="L28" s="64">
        <v>-42816</v>
      </c>
      <c r="M28" s="64">
        <v>-62557</v>
      </c>
      <c r="N28" s="64">
        <v>-47332</v>
      </c>
    </row>
    <row r="29" spans="2:14" x14ac:dyDescent="0.3">
      <c r="B29" t="s">
        <v>133</v>
      </c>
      <c r="C29" s="64">
        <v>-4666</v>
      </c>
      <c r="D29" s="64">
        <v>-6171</v>
      </c>
      <c r="E29" s="64">
        <v>-6307</v>
      </c>
      <c r="F29" s="64">
        <v>-5716</v>
      </c>
      <c r="G29" s="64">
        <v>-5336</v>
      </c>
      <c r="H29" s="64">
        <v>-5411</v>
      </c>
      <c r="I29" s="64">
        <v>-7005</v>
      </c>
      <c r="J29" s="64">
        <v>-7518</v>
      </c>
      <c r="K29" s="64">
        <v>-8123</v>
      </c>
      <c r="L29" s="64">
        <v>-9251</v>
      </c>
      <c r="M29" s="64">
        <v>-9336</v>
      </c>
      <c r="N29" s="64">
        <v>-9332</v>
      </c>
    </row>
    <row r="30" spans="2:14" x14ac:dyDescent="0.3">
      <c r="B30" t="s">
        <v>134</v>
      </c>
      <c r="C30" s="64">
        <v>-1551</v>
      </c>
      <c r="D30" s="65">
        <v>-722</v>
      </c>
      <c r="E30" s="65">
        <v>-720</v>
      </c>
      <c r="F30" s="65">
        <v>-108</v>
      </c>
      <c r="G30" s="65">
        <v>-121</v>
      </c>
      <c r="H30" s="65">
        <v>-96</v>
      </c>
      <c r="I30" s="65">
        <v>-95</v>
      </c>
      <c r="J30" s="65">
        <v>-57</v>
      </c>
      <c r="K30" s="65">
        <v>-30</v>
      </c>
      <c r="L30" s="65">
        <v>-100</v>
      </c>
      <c r="M30" s="65">
        <v>-141</v>
      </c>
      <c r="N30" s="64">
        <v>-1059</v>
      </c>
    </row>
    <row r="31" spans="2:14" x14ac:dyDescent="0.3">
      <c r="B31" t="s">
        <v>135</v>
      </c>
      <c r="C31" s="65">
        <v>0</v>
      </c>
      <c r="D31" s="65">
        <v>0</v>
      </c>
      <c r="E31" s="65">
        <v>0</v>
      </c>
      <c r="F31" s="65">
        <v>0</v>
      </c>
      <c r="G31" s="65">
        <v>0</v>
      </c>
      <c r="H31" s="65">
        <v>0</v>
      </c>
      <c r="I31" s="65">
        <v>0</v>
      </c>
      <c r="J31" s="64">
        <v>-1346</v>
      </c>
      <c r="K31" s="64">
        <v>-1477</v>
      </c>
      <c r="L31" s="64">
        <v>-1559</v>
      </c>
      <c r="M31" s="64">
        <v>-1517</v>
      </c>
      <c r="N31" s="64">
        <v>-1924</v>
      </c>
    </row>
    <row r="32" spans="2:14" x14ac:dyDescent="0.3">
      <c r="B32" t="s">
        <v>136</v>
      </c>
      <c r="C32" s="64">
        <v>-2849</v>
      </c>
      <c r="D32" s="65">
        <v>-450</v>
      </c>
      <c r="E32" s="65">
        <v>-57</v>
      </c>
      <c r="F32" s="65">
        <v>0</v>
      </c>
      <c r="G32" s="65">
        <v>0</v>
      </c>
      <c r="H32" s="65">
        <v>0</v>
      </c>
      <c r="I32" s="65">
        <v>0</v>
      </c>
      <c r="J32" s="65">
        <v>-29</v>
      </c>
      <c r="K32" s="65">
        <v>0</v>
      </c>
      <c r="L32" s="64">
        <v>3750</v>
      </c>
      <c r="M32" s="64">
        <v>3355</v>
      </c>
      <c r="N32" s="64">
        <v>3812</v>
      </c>
    </row>
    <row r="33" spans="2:14" x14ac:dyDescent="0.3">
      <c r="B33" t="s">
        <v>137</v>
      </c>
      <c r="C33" s="64">
        <v>-2499</v>
      </c>
      <c r="D33" s="64">
        <v>4277</v>
      </c>
      <c r="E33" s="64">
        <v>4500</v>
      </c>
      <c r="F33" s="64">
        <v>-2589</v>
      </c>
      <c r="G33" s="64">
        <v>-3167</v>
      </c>
      <c r="H33" s="65">
        <v>730</v>
      </c>
      <c r="I33" s="64">
        <v>6843</v>
      </c>
      <c r="J33" s="64">
        <v>-3092</v>
      </c>
      <c r="K33" s="64">
        <v>13232</v>
      </c>
      <c r="L33" s="64">
        <v>6459</v>
      </c>
      <c r="M33" s="64">
        <v>-6272</v>
      </c>
      <c r="N33" s="64">
        <v>8128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C7AD4-A091-4065-A2ED-7AE3A4842C57}">
  <dimension ref="B2:P40"/>
  <sheetViews>
    <sheetView showGridLines="0" tabSelected="1" topLeftCell="H1" workbookViewId="0">
      <pane ySplit="3" topLeftCell="A4" activePane="bottomLeft" state="frozen"/>
      <selection pane="bottomLeft" activeCell="N42" sqref="N42"/>
    </sheetView>
  </sheetViews>
  <sheetFormatPr defaultRowHeight="14.4" x14ac:dyDescent="0.3"/>
  <cols>
    <col min="1" max="1" width="1.88671875" customWidth="1"/>
    <col min="2" max="2" width="16.77734375" customWidth="1"/>
    <col min="4" max="9" width="9" bestFit="1" customWidth="1"/>
    <col min="10" max="10" width="9.6640625" bestFit="1" customWidth="1"/>
    <col min="11" max="11" width="9.77734375" customWidth="1"/>
    <col min="12" max="13" width="9" bestFit="1" customWidth="1"/>
    <col min="14" max="14" width="14.109375" customWidth="1"/>
  </cols>
  <sheetData>
    <row r="2" spans="2:16" x14ac:dyDescent="0.3">
      <c r="B2" s="51" t="str">
        <f>"Ratio Analysis of - "&amp;'Data Sheet'!B1</f>
        <v>Ratio Analysis of - MAX HEALTHCARE INSTITUTE LTD</v>
      </c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</row>
    <row r="3" spans="2:16" x14ac:dyDescent="0.3">
      <c r="B3" s="21" t="s">
        <v>80</v>
      </c>
      <c r="C3" s="21"/>
      <c r="D3" s="22">
        <f>'Data Sheet'!B16</f>
        <v>42094</v>
      </c>
      <c r="E3" s="22">
        <f>'Data Sheet'!C16</f>
        <v>42825</v>
      </c>
      <c r="F3" s="22">
        <f>'Data Sheet'!D16</f>
        <v>43190</v>
      </c>
      <c r="G3" s="22">
        <f>'Data Sheet'!E16</f>
        <v>43555</v>
      </c>
      <c r="H3" s="22">
        <f>'Data Sheet'!F16</f>
        <v>43921</v>
      </c>
      <c r="I3" s="22">
        <f>'Data Sheet'!G16</f>
        <v>44286</v>
      </c>
      <c r="J3" s="22">
        <f>'Data Sheet'!H16</f>
        <v>44651</v>
      </c>
      <c r="K3" s="22">
        <f>'Data Sheet'!I16</f>
        <v>45016</v>
      </c>
      <c r="L3" s="22">
        <f>'Data Sheet'!J16</f>
        <v>45382</v>
      </c>
      <c r="M3" s="22">
        <f>'Data Sheet'!K16</f>
        <v>45747</v>
      </c>
      <c r="N3" s="23" t="s">
        <v>175</v>
      </c>
      <c r="O3" s="38" t="s">
        <v>173</v>
      </c>
      <c r="P3" s="38" t="s">
        <v>174</v>
      </c>
    </row>
    <row r="5" spans="2:16" x14ac:dyDescent="0.3">
      <c r="B5" s="52" t="s">
        <v>21</v>
      </c>
      <c r="C5" s="52"/>
      <c r="D5" s="52"/>
      <c r="E5" s="53">
        <f>IFERROR('Historical FS'!E6,0)</f>
        <v>0</v>
      </c>
      <c r="F5" s="53">
        <f>IFERROR('Historical FS'!F6,0)</f>
        <v>7.5155758397274175E-2</v>
      </c>
      <c r="G5" s="53">
        <f>IFERROR('Historical FS'!G6,0)</f>
        <v>-2.2039985426197006E-2</v>
      </c>
      <c r="H5" s="53">
        <f>IFERROR('Historical FS'!H6,0)</f>
        <v>0.1143924968362291</v>
      </c>
      <c r="I5" s="53">
        <f>IFERROR('Historical FS'!I6,0)</f>
        <v>0.33086932065419261</v>
      </c>
      <c r="J5" s="53">
        <f>IFERROR('Historical FS'!J6,0)</f>
        <v>0.56961606398800635</v>
      </c>
      <c r="K5" s="53">
        <f>IFERROR('Historical FS'!K6,0)</f>
        <v>0.15903519579327074</v>
      </c>
      <c r="L5" s="53">
        <f>IFERROR('Historical FS'!L6,0)</f>
        <v>0.18485512646298163</v>
      </c>
      <c r="M5" s="53">
        <f>IFERROR('Historical FS'!M6,0)</f>
        <v>0.30011727666564303</v>
      </c>
      <c r="N5" s="32"/>
      <c r="O5" s="32">
        <f>IFERROR(AVERAGE(E5:M5),0)</f>
        <v>0.19022236148571117</v>
      </c>
      <c r="P5" s="5">
        <f>IFERROR(MEDIAN(E5:M5),0)</f>
        <v>0.15903519579327074</v>
      </c>
    </row>
    <row r="6" spans="2:16" x14ac:dyDescent="0.3">
      <c r="B6" s="54" t="s">
        <v>146</v>
      </c>
      <c r="C6" s="54"/>
      <c r="D6" s="54"/>
      <c r="E6" s="33">
        <f>IFERROR('Historical FS'!E17/'Historical FS'!D17-1,0)</f>
        <v>0</v>
      </c>
      <c r="F6" s="33">
        <f>IFERROR('Historical FS'!F17/'Historical FS'!E17-1,0)</f>
        <v>-0.19528810672722019</v>
      </c>
      <c r="G6" s="33">
        <f>IFERROR('Historical FS'!G17/'Historical FS'!F17-1,0)</f>
        <v>0.37619047619047552</v>
      </c>
      <c r="H6" s="33">
        <f>IFERROR('Historical FS'!H17/'Historical FS'!G17-1,0)</f>
        <v>0.85377418941432603</v>
      </c>
      <c r="I6" s="33">
        <f>IFERROR('Historical FS'!I17/'Historical FS'!H17-1,0)</f>
        <v>0.40822675423435939</v>
      </c>
      <c r="J6" s="33">
        <f>IFERROR('Historical FS'!J17/'Historical FS'!I17-1,0)</f>
        <v>1.3336033382425141</v>
      </c>
      <c r="K6" s="33">
        <f>IFERROR('Historical FS'!K17/'Historical FS'!J17-1,0)</f>
        <v>0.30484585204741754</v>
      </c>
      <c r="L6" s="33">
        <f>IFERROR('Historical FS'!L17/'Historical FS'!K17-1,0)</f>
        <v>0.20280847702191807</v>
      </c>
      <c r="M6" s="33">
        <f>IFERROR('Historical FS'!M17/'Historical FS'!L17-1,0)</f>
        <v>0.23904243626517885</v>
      </c>
      <c r="N6" s="32"/>
      <c r="O6" s="32">
        <f t="shared" ref="O6:O9" si="0">IFERROR(AVERAGE(E6:M6),0)</f>
        <v>0.39146704629877438</v>
      </c>
      <c r="P6" s="5">
        <f t="shared" ref="P6:P9" si="1">IFERROR(MEDIAN(E6:M6),0)</f>
        <v>0.30484585204741754</v>
      </c>
    </row>
    <row r="7" spans="2:16" x14ac:dyDescent="0.3">
      <c r="B7" s="54" t="s">
        <v>171</v>
      </c>
      <c r="C7" s="54"/>
      <c r="D7" s="54"/>
      <c r="E7" s="33">
        <f>IFERROR('Historical FS'!E27/'Historical FS'!D27-1,0)</f>
        <v>0</v>
      </c>
      <c r="F7" s="33">
        <f>IFERROR('Historical FS'!F27/'Historical FS'!E27-1,0)</f>
        <v>0.48129721761562316</v>
      </c>
      <c r="G7" s="33">
        <f>IFERROR('Historical FS'!G27/'Historical FS'!F27-1,0)</f>
        <v>-0.40477671352158251</v>
      </c>
      <c r="H7" s="33">
        <f>IFERROR('Historical FS'!H27/'Historical FS'!G27-1,0)</f>
        <v>-1.3531870428422128</v>
      </c>
      <c r="I7" s="33">
        <f>IFERROR('Historical FS'!I27/'Historical FS'!H27-1,0)</f>
        <v>2.1863905325444022</v>
      </c>
      <c r="J7" s="33">
        <f>IFERROR('Historical FS'!J27/'Historical FS'!I27-1,0)</f>
        <v>10.675394614670394</v>
      </c>
      <c r="K7" s="33">
        <f>IFERROR('Historical FS'!K27/'Historical FS'!J27-1,0)</f>
        <v>0.47041608347118014</v>
      </c>
      <c r="L7" s="33">
        <f>IFERROR('Historical FS'!L27/'Historical FS'!K27-1,0)</f>
        <v>0.28423546209761175</v>
      </c>
      <c r="M7" s="33">
        <f>IFERROR('Historical FS'!M27/'Historical FS'!L27-1,0)</f>
        <v>0.11548536534007048</v>
      </c>
      <c r="N7" s="32"/>
      <c r="O7" s="32">
        <f t="shared" si="0"/>
        <v>1.3839172799306096</v>
      </c>
      <c r="P7" s="5">
        <f t="shared" si="1"/>
        <v>0.28423546209761175</v>
      </c>
    </row>
    <row r="8" spans="2:16" x14ac:dyDescent="0.3">
      <c r="B8" s="54" t="s">
        <v>147</v>
      </c>
      <c r="C8" s="54"/>
      <c r="D8" s="54"/>
      <c r="E8" s="33">
        <f>IFERROR('Historical FS'!E33/'Historical FS'!D33-1,0)</f>
        <v>0</v>
      </c>
      <c r="F8" s="33">
        <f>IFERROR('Historical FS'!F33/'Historical FS'!E33-1,0)</f>
        <v>1.0921723019916594</v>
      </c>
      <c r="G8" s="33">
        <f>IFERROR('Historical FS'!G33/'Historical FS'!F33-1,0)</f>
        <v>-0.37613460261235354</v>
      </c>
      <c r="H8" s="33">
        <f>IFERROR('Historical FS'!H33/'Historical FS'!G33-1,0)</f>
        <v>-1.410929737402411</v>
      </c>
      <c r="I8" s="33">
        <f>IFERROR('Historical FS'!I33/'Historical FS'!H33-1,0)</f>
        <v>-0.65457685664939502</v>
      </c>
      <c r="J8" s="33">
        <f>IFERROR('Historical FS'!J33/'Historical FS'!I33-1,0)</f>
        <v>60.858750000000306</v>
      </c>
      <c r="K8" s="33">
        <f>IFERROR('Historical FS'!K33/'Historical FS'!J33-1,0)</f>
        <v>0.9485319376806034</v>
      </c>
      <c r="L8" s="33">
        <f>IFERROR('Historical FS'!L33/'Historical FS'!K33-1,0)</f>
        <v>-8.7838468478745324E-2</v>
      </c>
      <c r="M8" s="33">
        <f>IFERROR('Historical FS'!M33/'Historical FS'!L33-1,0)</f>
        <v>0.12994986186431867</v>
      </c>
      <c r="N8" s="32"/>
      <c r="O8" s="32">
        <f t="shared" si="0"/>
        <v>6.7222138262659987</v>
      </c>
      <c r="P8" s="5">
        <f t="shared" si="1"/>
        <v>0</v>
      </c>
    </row>
    <row r="9" spans="2:16" x14ac:dyDescent="0.3">
      <c r="B9" s="55" t="s">
        <v>148</v>
      </c>
      <c r="C9" s="55"/>
      <c r="D9" s="55"/>
      <c r="E9" s="56">
        <f>IFERROR('Historical FS'!E41/'Historical FS'!D41-1,0)</f>
        <v>0</v>
      </c>
      <c r="F9" s="56">
        <f>IFERROR('Historical FS'!F41/'Historical FS'!E41-1,0)</f>
        <v>0</v>
      </c>
      <c r="G9" s="56">
        <f>IFERROR('Historical FS'!G41/'Historical FS'!F41-1,0)</f>
        <v>0</v>
      </c>
      <c r="H9" s="56">
        <f>IFERROR('Historical FS'!H41/'Historical FS'!G41-1,0)</f>
        <v>0</v>
      </c>
      <c r="I9" s="56">
        <f>IFERROR('Historical FS'!I41/'Historical FS'!H41-1,0)</f>
        <v>0</v>
      </c>
      <c r="J9" s="56">
        <f>IFERROR('Historical FS'!J41/'Historical FS'!I41-1,0)</f>
        <v>0</v>
      </c>
      <c r="K9" s="56">
        <f>IFERROR('Historical FS'!K41/'Historical FS'!J41-1,0)</f>
        <v>0</v>
      </c>
      <c r="L9" s="56">
        <f>IFERROR('Historical FS'!L41/'Historical FS'!K41-1,0)</f>
        <v>0.50005144562197756</v>
      </c>
      <c r="M9" s="56">
        <f>IFERROR('Historical FS'!M41/'Historical FS'!L41-1,0)</f>
        <v>-7.0560446374656749E-9</v>
      </c>
      <c r="N9" s="32"/>
      <c r="O9" s="32">
        <f t="shared" si="0"/>
        <v>5.5561270951770325E-2</v>
      </c>
      <c r="P9" s="5">
        <f t="shared" si="1"/>
        <v>0</v>
      </c>
    </row>
    <row r="11" spans="2:16" x14ac:dyDescent="0.3">
      <c r="B11" s="52" t="s">
        <v>145</v>
      </c>
      <c r="C11" s="52"/>
      <c r="D11" s="53">
        <f>IFERROR('Historical FS'!D12,0)</f>
        <v>0</v>
      </c>
      <c r="E11" s="53">
        <f>IFERROR('Historical FS'!E12,0)</f>
        <v>0.4695322895551714</v>
      </c>
      <c r="F11" s="53">
        <f>IFERROR('Historical FS'!F12,0)</f>
        <v>0.45020328141897953</v>
      </c>
      <c r="G11" s="53">
        <f>IFERROR('Historical FS'!G12,0)</f>
        <v>0.47395654693616873</v>
      </c>
      <c r="H11" s="53">
        <f>IFERROR('Historical FS'!H12,0)</f>
        <v>0.26794943909661112</v>
      </c>
      <c r="I11" s="53">
        <f>IFERROR('Historical FS'!I12,0)</f>
        <v>0.26107569069805464</v>
      </c>
      <c r="J11" s="53">
        <f>IFERROR('Historical FS'!J12,0)</f>
        <v>0.31797894095083262</v>
      </c>
      <c r="K11" s="53">
        <f>IFERROR('Historical FS'!K12,0)</f>
        <v>0.35900802174198931</v>
      </c>
      <c r="L11" s="53">
        <f>IFERROR('Historical FS'!L12,0)</f>
        <v>0.36957502931916653</v>
      </c>
      <c r="M11" s="53">
        <f>IFERROR('Historical FS'!M12,0)</f>
        <v>0.62281068683609209</v>
      </c>
      <c r="O11" s="32">
        <f>IFERROR(AVERAGE(D11:M11),0)</f>
        <v>0.35920899265530659</v>
      </c>
      <c r="P11" s="5">
        <f>IFERROR(MEDIAN(D11:M11),0)</f>
        <v>0.36429152553057792</v>
      </c>
    </row>
    <row r="12" spans="2:16" x14ac:dyDescent="0.3">
      <c r="B12" s="54" t="s">
        <v>149</v>
      </c>
      <c r="C12" s="54"/>
      <c r="D12" s="33">
        <f>IFERROR('Historical FS'!D18,0)</f>
        <v>0</v>
      </c>
      <c r="E12" s="33">
        <f>IFERROR('Historical FS'!E18,0)</f>
        <v>8.7622648079290641E-2</v>
      </c>
      <c r="F12" s="33">
        <f>IFERROR('Historical FS'!F18,0)</f>
        <v>6.5582113548431922E-2</v>
      </c>
      <c r="G12" s="33">
        <f>IFERROR('Historical FS'!G18,0)</f>
        <v>9.2287495121287783E-2</v>
      </c>
      <c r="H12" s="33">
        <f>IFERROR('Historical FS'!H18,0)</f>
        <v>0.15351877991573173</v>
      </c>
      <c r="I12" s="33">
        <f>IFERROR('Historical FS'!I18,0)</f>
        <v>0.16244213447529277</v>
      </c>
      <c r="J12" s="33">
        <f>IFERROR('Historical FS'!J18,0)</f>
        <v>0.24150842743011017</v>
      </c>
      <c r="K12" s="33">
        <f>IFERROR('Historical FS'!K18,0)</f>
        <v>0.27189102704598267</v>
      </c>
      <c r="L12" s="33">
        <f>IFERROR('Historical FS'!L18,0)</f>
        <v>0.27601081757004242</v>
      </c>
      <c r="M12" s="33">
        <f>IFERROR('Historical FS'!M18,0)</f>
        <v>0.26304482062927009</v>
      </c>
      <c r="O12" s="32">
        <f t="shared" ref="O12:O15" si="2">IFERROR(AVERAGE(D12:M12),0)</f>
        <v>0.16139082638154403</v>
      </c>
      <c r="P12" s="5">
        <f t="shared" ref="P12:P15" si="3">IFERROR(MEDIAN(D12:M12),0)</f>
        <v>0.15798045719551224</v>
      </c>
    </row>
    <row r="13" spans="2:16" x14ac:dyDescent="0.3">
      <c r="B13" s="54" t="s">
        <v>150</v>
      </c>
      <c r="C13" s="54"/>
      <c r="D13" s="33">
        <f>IFERROR(('Historical FS'!D17-'Historical FS'!D24)/'Historical FS'!D5,0)</f>
        <v>0</v>
      </c>
      <c r="E13" s="33">
        <f>IFERROR(('Historical FS'!E17-'Historical FS'!E24)/'Historical FS'!E5,0)</f>
        <v>2.8235484312238043E-2</v>
      </c>
      <c r="F13" s="33">
        <f>IFERROR(('Historical FS'!F17-'Historical FS'!F24)/'Historical FS'!F5,0)</f>
        <v>1.0976618299376038E-2</v>
      </c>
      <c r="G13" s="33">
        <f>IFERROR(('Historical FS'!G17-'Historical FS'!G24)/'Historical FS'!G5,0)</f>
        <v>3.1590401059715473E-2</v>
      </c>
      <c r="H13" s="33">
        <f>IFERROR(('Historical FS'!H17-'Historical FS'!H24)/'Historical FS'!H5,0)</f>
        <v>8.9978030841726453E-2</v>
      </c>
      <c r="I13" s="33">
        <f>IFERROR(('Historical FS'!I17-'Historical FS'!I24)/'Historical FS'!I5,0)</f>
        <v>9.3027428557757863E-2</v>
      </c>
      <c r="J13" s="33">
        <f>IFERROR(('Historical FS'!J17-'Historical FS'!J24)/'Historical FS'!J5,0)</f>
        <v>0.18533741474133447</v>
      </c>
      <c r="K13" s="33">
        <f>IFERROR(('Historical FS'!K17-'Historical FS'!K24)/'Historical FS'!K5,0)</f>
        <v>0.22100118353570344</v>
      </c>
      <c r="L13" s="33">
        <f>IFERROR(('Historical FS'!L17-'Historical FS'!L24)/'Historical FS'!L5,0)</f>
        <v>0.23069467001601932</v>
      </c>
      <c r="M13" s="33">
        <f>IFERROR(('Historical FS'!M17-'Historical FS'!M24)/'Historical FS'!M5,0)</f>
        <v>0.21190701803809081</v>
      </c>
      <c r="O13" s="32">
        <f t="shared" si="2"/>
        <v>0.11027482494019618</v>
      </c>
      <c r="P13" s="5">
        <f t="shared" si="3"/>
        <v>9.1502729699742158E-2</v>
      </c>
    </row>
    <row r="14" spans="2:16" x14ac:dyDescent="0.3">
      <c r="B14" s="54" t="s">
        <v>151</v>
      </c>
      <c r="C14" s="54"/>
      <c r="D14" s="33">
        <f>IFERROR('Historical FS'!D28,0)</f>
        <v>0</v>
      </c>
      <c r="E14" s="33">
        <f>IFERROR('Historical FS'!E28,0)</f>
        <v>-3.3744543792670362E-2</v>
      </c>
      <c r="F14" s="33">
        <f>IFERROR('Historical FS'!F28,0)</f>
        <v>-4.6491588255365368E-2</v>
      </c>
      <c r="G14" s="33">
        <f>IFERROR('Historical FS'!G28,0)</f>
        <v>-2.8296531087745821E-2</v>
      </c>
      <c r="H14" s="33">
        <f>IFERROR('Historical FS'!H28,0)</f>
        <v>8.9680863483437498E-3</v>
      </c>
      <c r="I14" s="33">
        <f>IFERROR('Historical FS'!I28,0)</f>
        <v>2.1471548702735668E-2</v>
      </c>
      <c r="J14" s="33">
        <f>IFERROR('Historical FS'!J28,0)</f>
        <v>0.15971345467477874</v>
      </c>
      <c r="K14" s="33">
        <f>IFERROR('Historical FS'!K28,0)</f>
        <v>0.20262131240959116</v>
      </c>
      <c r="L14" s="33">
        <f>IFERROR('Historical FS'!L28,0)</f>
        <v>0.21961627962900634</v>
      </c>
      <c r="M14" s="33">
        <f>IFERROR('Historical FS'!M28,0)</f>
        <v>0.18842819052822377</v>
      </c>
      <c r="O14" s="32">
        <f t="shared" si="2"/>
        <v>6.9228620915689792E-2</v>
      </c>
      <c r="P14" s="5">
        <f t="shared" si="3"/>
        <v>1.5219817525539709E-2</v>
      </c>
    </row>
    <row r="15" spans="2:16" x14ac:dyDescent="0.3">
      <c r="B15" s="55" t="s">
        <v>152</v>
      </c>
      <c r="C15" s="55"/>
      <c r="D15" s="56">
        <f>IFERROR('Historical FS'!D34,0)</f>
        <v>0</v>
      </c>
      <c r="E15" s="56">
        <f>IFERROR('Historical FS'!E34,0)</f>
        <v>-2.6848892591993852E-2</v>
      </c>
      <c r="F15" s="56">
        <f>IFERROR('Historical FS'!F34,0)</f>
        <v>-5.2245927142551413E-2</v>
      </c>
      <c r="G15" s="56">
        <f>IFERROR('Historical FS'!G34,0)</f>
        <v>-3.3328996700216398E-2</v>
      </c>
      <c r="H15" s="56">
        <f>IFERROR('Historical FS'!H34,0)</f>
        <v>1.2289992889209567E-2</v>
      </c>
      <c r="I15" s="56">
        <f>IFERROR('Historical FS'!I34,0)</f>
        <v>3.1898308193479049E-3</v>
      </c>
      <c r="J15" s="56">
        <f>IFERROR('Historical FS'!J34,0)</f>
        <v>0.12571160025911018</v>
      </c>
      <c r="K15" s="56">
        <f>IFERROR('Historical FS'!K34,0)</f>
        <v>0.21134221715688437</v>
      </c>
      <c r="L15" s="56">
        <f>IFERROR('Historical FS'!L34,0)</f>
        <v>0.16270195078819552</v>
      </c>
      <c r="M15" s="56">
        <f>IFERROR('Historical FS'!M34,0)</f>
        <v>0.1414065101032089</v>
      </c>
      <c r="O15" s="32">
        <f t="shared" si="2"/>
        <v>5.442182855811948E-2</v>
      </c>
      <c r="P15" s="5">
        <f t="shared" si="3"/>
        <v>7.7399118542787358E-3</v>
      </c>
    </row>
    <row r="17" spans="2:16" x14ac:dyDescent="0.3">
      <c r="B17" s="52" t="s">
        <v>153</v>
      </c>
      <c r="C17" s="52"/>
      <c r="D17" s="53">
        <f>IFERROR('Historical FS'!D15,0)</f>
        <v>0</v>
      </c>
      <c r="E17" s="53">
        <f>IFERROR('Historical FS'!E15,0)</f>
        <v>0.3819096414758808</v>
      </c>
      <c r="F17" s="53">
        <f>IFERROR('Historical FS'!F15,0)</f>
        <v>0.38462116787054762</v>
      </c>
      <c r="G17" s="53">
        <f>IFERROR('Historical FS'!G15,0)</f>
        <v>0.38166905181488092</v>
      </c>
      <c r="H17" s="53">
        <f>IFERROR('Historical FS'!H15,0)</f>
        <v>0.1144306591808794</v>
      </c>
      <c r="I17" s="53">
        <f>IFERROR('Historical FS'!I15,0)</f>
        <v>9.8633556222761848E-2</v>
      </c>
      <c r="J17" s="53">
        <f>IFERROR('Historical FS'!J15,0)</f>
        <v>7.6470513520722469E-2</v>
      </c>
      <c r="K17" s="53">
        <f>IFERROR('Historical FS'!K15,0)</f>
        <v>8.7116994696006658E-2</v>
      </c>
      <c r="L17" s="53">
        <f>IFERROR('Historical FS'!L15,0)</f>
        <v>9.3564211749124104E-2</v>
      </c>
      <c r="M17" s="53">
        <f>IFERROR('Historical FS'!M15,0)</f>
        <v>0.35976586620682194</v>
      </c>
      <c r="O17" s="32">
        <f>IFERROR(AVERAGE(D17:M17),0)</f>
        <v>0.19781816627376256</v>
      </c>
      <c r="P17" s="5">
        <f t="shared" ref="P17:P18" si="4">IFERROR(MEDIAN(D17:M17),0)</f>
        <v>0.10653210770182062</v>
      </c>
    </row>
    <row r="18" spans="2:16" x14ac:dyDescent="0.3">
      <c r="B18" s="54" t="s">
        <v>154</v>
      </c>
      <c r="C18" s="54"/>
      <c r="D18" s="33">
        <f>IFERROR('Historical FS'!D25,0)</f>
        <v>0</v>
      </c>
      <c r="E18" s="33">
        <f>IFERROR('Historical FS'!E25,0)</f>
        <v>5.9387163767052595E-2</v>
      </c>
      <c r="F18" s="33">
        <f>IFERROR('Historical FS'!F25,0)</f>
        <v>5.4605495249055884E-2</v>
      </c>
      <c r="G18" s="33">
        <f>IFERROR('Historical FS'!G25,0)</f>
        <v>6.069709406157231E-2</v>
      </c>
      <c r="H18" s="33">
        <f>IFERROR('Historical FS'!H25,0)</f>
        <v>6.3540749074005282E-2</v>
      </c>
      <c r="I18" s="33">
        <f>IFERROR('Historical FS'!I25,0)</f>
        <v>6.9414705917534902E-2</v>
      </c>
      <c r="J18" s="33">
        <f>IFERROR('Historical FS'!J25,0)</f>
        <v>5.6171012688775702E-2</v>
      </c>
      <c r="K18" s="33">
        <f>IFERROR('Historical FS'!K25,0)</f>
        <v>5.0889843510279219E-2</v>
      </c>
      <c r="L18" s="33">
        <f>IFERROR('Historical FS'!L25,0)</f>
        <v>4.5316147554023099E-2</v>
      </c>
      <c r="M18" s="33">
        <f>IFERROR('Historical FS'!M25,0)</f>
        <v>5.1137802591179296E-2</v>
      </c>
      <c r="O18" s="32">
        <f t="shared" ref="O18:O19" si="5">IFERROR(AVERAGE(D18:M18),0)</f>
        <v>5.1116001441347828E-2</v>
      </c>
      <c r="P18" s="5">
        <f t="shared" si="4"/>
        <v>5.5388253968915793E-2</v>
      </c>
    </row>
    <row r="19" spans="2:16" x14ac:dyDescent="0.3">
      <c r="B19" s="55" t="s">
        <v>155</v>
      </c>
      <c r="C19" s="55"/>
      <c r="D19" s="56">
        <f>D13</f>
        <v>0</v>
      </c>
      <c r="E19" s="56">
        <f t="shared" ref="E19:M19" si="6">E13</f>
        <v>2.8235484312238043E-2</v>
      </c>
      <c r="F19" s="56">
        <f t="shared" si="6"/>
        <v>1.0976618299376038E-2</v>
      </c>
      <c r="G19" s="56">
        <f t="shared" si="6"/>
        <v>3.1590401059715473E-2</v>
      </c>
      <c r="H19" s="56">
        <f t="shared" si="6"/>
        <v>8.9978030841726453E-2</v>
      </c>
      <c r="I19" s="56">
        <f t="shared" si="6"/>
        <v>9.3027428557757863E-2</v>
      </c>
      <c r="J19" s="56">
        <f t="shared" si="6"/>
        <v>0.18533741474133447</v>
      </c>
      <c r="K19" s="56">
        <f t="shared" si="6"/>
        <v>0.22100118353570344</v>
      </c>
      <c r="L19" s="56">
        <f t="shared" si="6"/>
        <v>0.23069467001601932</v>
      </c>
      <c r="M19" s="56">
        <f t="shared" si="6"/>
        <v>0.21190701803809081</v>
      </c>
      <c r="O19" s="32">
        <f t="shared" si="5"/>
        <v>0.11027482494019618</v>
      </c>
      <c r="P19" s="5">
        <f>IFERROR(MEDIAN(D19:M19),0)</f>
        <v>9.1502729699742158E-2</v>
      </c>
    </row>
    <row r="21" spans="2:16" x14ac:dyDescent="0.3">
      <c r="B21" s="52" t="s">
        <v>156</v>
      </c>
      <c r="C21" s="52"/>
      <c r="D21" s="53">
        <f>IFERROR(('Historical FS'!D17-'Historical FS'!D24)/SUM('Historical FS'!D48:D50),0)</f>
        <v>0</v>
      </c>
      <c r="E21" s="53">
        <f>IFERROR(('Historical FS'!E17-'Historical FS'!E24)/SUM('Historical FS'!E48:E50),0)</f>
        <v>2.1974671783282579E-2</v>
      </c>
      <c r="F21" s="53">
        <f>IFERROR(('Historical FS'!F17-'Historical FS'!F24)/SUM('Historical FS'!F48:F50),0)</f>
        <v>8.8508368191081502E-3</v>
      </c>
      <c r="G21" s="53">
        <f>IFERROR(('Historical FS'!G17-'Historical FS'!G24)/SUM('Historical FS'!G48:G50),0)</f>
        <v>2.7172751965980679E-2</v>
      </c>
      <c r="H21" s="53">
        <f>IFERROR(('Historical FS'!H17-'Historical FS'!H24)/SUM('Historical FS'!H48:H50),0)</f>
        <v>6.7720252573058012E-2</v>
      </c>
      <c r="I21" s="53">
        <f>IFERROR(('Historical FS'!I17-'Historical FS'!I24)/SUM('Historical FS'!I48:I50),0)</f>
        <v>3.4615264781330812E-2</v>
      </c>
      <c r="J21" s="53">
        <f>IFERROR(('Historical FS'!J17-'Historical FS'!J24)/SUM('Historical FS'!J48:J50),0)</f>
        <v>0.10139038473564628</v>
      </c>
      <c r="K21" s="53">
        <f>IFERROR(('Historical FS'!K17-'Historical FS'!K24)/SUM('Historical FS'!K48:K50),0)</f>
        <v>0.12450870834902551</v>
      </c>
      <c r="L21" s="53">
        <f>IFERROR(('Historical FS'!L17-'Historical FS'!L24)/SUM('Historical FS'!L48:L50),0)</f>
        <v>0.12847722643964368</v>
      </c>
      <c r="M21" s="53">
        <f>IFERROR(('Historical FS'!M17-'Historical FS'!M24)/SUM('Historical FS'!M48:M50),0)</f>
        <v>0.12019697913673939</v>
      </c>
      <c r="O21" s="32">
        <f>IFERROR(AVERAGE(D21:M21),0)</f>
        <v>6.3490707658381523E-2</v>
      </c>
      <c r="P21" s="5">
        <f>IFERROR(MEDIAN(D21:M21),0)</f>
        <v>5.1167758677194412E-2</v>
      </c>
    </row>
    <row r="22" spans="2:16" x14ac:dyDescent="0.3">
      <c r="B22" s="54" t="s">
        <v>157</v>
      </c>
      <c r="C22" s="54"/>
      <c r="D22" s="33">
        <f>IFERROR('Historical FS'!D44,0)</f>
        <v>0</v>
      </c>
      <c r="E22" s="33">
        <f>IFERROR('Historical FS'!E44,0)</f>
        <v>0</v>
      </c>
      <c r="F22" s="33">
        <f>IFERROR('Historical FS'!F44,0)</f>
        <v>0</v>
      </c>
      <c r="G22" s="33">
        <f>IFERROR('Historical FS'!G44,0)</f>
        <v>0</v>
      </c>
      <c r="H22" s="33">
        <f>IFERROR('Historical FS'!H44,0)</f>
        <v>1</v>
      </c>
      <c r="I22" s="33">
        <f>IFERROR('Historical FS'!I44,0)</f>
        <v>1</v>
      </c>
      <c r="J22" s="33">
        <f>IFERROR('Historical FS'!J44,0)</f>
        <v>1</v>
      </c>
      <c r="K22" s="33">
        <f>IFERROR('Historical FS'!K44,0)</f>
        <v>0.89931243323965282</v>
      </c>
      <c r="L22" s="33">
        <f>IFERROR('Historical FS'!L44,0)</f>
        <v>0.83424855327034819</v>
      </c>
      <c r="M22" s="33">
        <f>IFERROR('Historical FS'!M44,0)</f>
        <v>0.8532806101401591</v>
      </c>
      <c r="O22" s="32">
        <f t="shared" ref="O22:O24" si="7">IFERROR(AVERAGE(D22:M22),0)</f>
        <v>0.55868415966501606</v>
      </c>
      <c r="P22" s="5">
        <f t="shared" ref="P22:P24" si="8">IFERROR(MEDIAN(D22:M22),0)</f>
        <v>0.8437645817052537</v>
      </c>
    </row>
    <row r="23" spans="2:16" x14ac:dyDescent="0.3">
      <c r="B23" s="54" t="s">
        <v>158</v>
      </c>
      <c r="C23" s="54"/>
      <c r="D23" s="33">
        <f>IFERROR('Historical FS'!D33/SUM('Historical FS'!D48:D49),0)</f>
        <v>0</v>
      </c>
      <c r="E23" s="33">
        <f>IFERROR('Historical FS'!E33/SUM('Historical FS'!E48:E49),0)</f>
        <v>-3.6213287710293723E-2</v>
      </c>
      <c r="F23" s="33">
        <f>IFERROR('Historical FS'!F33/SUM('Historical FS'!F48:F49),0)</f>
        <v>-7.7617685216210833E-2</v>
      </c>
      <c r="G23" s="33">
        <f>IFERROR('Historical FS'!G33/SUM('Historical FS'!G48:G49),0)</f>
        <v>-5.8513896531317736E-2</v>
      </c>
      <c r="H23" s="33">
        <f>IFERROR('Historical FS'!H33/SUM('Historical FS'!H48:H49),0)</f>
        <v>2.3455302255395286E-2</v>
      </c>
      <c r="I23" s="33">
        <f>IFERROR('Historical FS'!I33/SUM('Historical FS'!I48:I49),0)</f>
        <v>1.4187717692793287E-3</v>
      </c>
      <c r="J23" s="33">
        <f>IFERROR('Historical FS'!J33/SUM('Historical FS'!J48:J49),0)</f>
        <v>7.8769974229880968E-2</v>
      </c>
      <c r="K23" s="33">
        <f>IFERROR('Historical FS'!K33/SUM('Historical FS'!K48:K49),0)</f>
        <v>0.13013810480741858</v>
      </c>
      <c r="L23" s="33">
        <f>IFERROR('Historical FS'!L33/SUM('Historical FS'!L48:L49),0)</f>
        <v>0.10460934285109441</v>
      </c>
      <c r="M23" s="33">
        <f>IFERROR('Historical FS'!M33/SUM('Historical FS'!M48:M49),0)</f>
        <v>0.10594646338772414</v>
      </c>
      <c r="O23" s="32">
        <f t="shared" si="7"/>
        <v>2.7199308984297038E-2</v>
      </c>
      <c r="P23" s="5">
        <f t="shared" si="8"/>
        <v>1.2437037012337308E-2</v>
      </c>
    </row>
    <row r="24" spans="2:16" x14ac:dyDescent="0.3">
      <c r="B24" s="54" t="s">
        <v>159</v>
      </c>
      <c r="C24" s="54"/>
      <c r="D24" s="33">
        <f>IFERROR(D22*D23,0)</f>
        <v>0</v>
      </c>
      <c r="E24" s="33">
        <f t="shared" ref="E24:M24" si="9">IFERROR(E22*E23,0)</f>
        <v>0</v>
      </c>
      <c r="F24" s="33">
        <f t="shared" si="9"/>
        <v>0</v>
      </c>
      <c r="G24" s="33">
        <f t="shared" si="9"/>
        <v>0</v>
      </c>
      <c r="H24" s="33">
        <f t="shared" si="9"/>
        <v>2.3455302255395286E-2</v>
      </c>
      <c r="I24" s="33">
        <f t="shared" si="9"/>
        <v>1.4187717692793287E-3</v>
      </c>
      <c r="J24" s="33">
        <f t="shared" si="9"/>
        <v>7.8769974229880968E-2</v>
      </c>
      <c r="K24" s="33">
        <f t="shared" si="9"/>
        <v>0.11703481569155656</v>
      </c>
      <c r="L24" s="33">
        <f t="shared" si="9"/>
        <v>8.7270192932087348E-2</v>
      </c>
      <c r="M24" s="33">
        <f t="shared" si="9"/>
        <v>9.0402062921669274E-2</v>
      </c>
      <c r="O24" s="32">
        <f t="shared" si="7"/>
        <v>3.9835111979986883E-2</v>
      </c>
      <c r="P24" s="5">
        <f t="shared" si="8"/>
        <v>1.2437037012337308E-2</v>
      </c>
    </row>
    <row r="25" spans="2:16" x14ac:dyDescent="0.3">
      <c r="B25" s="55" t="s">
        <v>172</v>
      </c>
      <c r="C25" s="55"/>
      <c r="D25" s="57">
        <f>IFERROR(('Historical FS'!D17-'Historical FS'!D24)/'Historical FS'!D21,0)</f>
        <v>0</v>
      </c>
      <c r="E25" s="57">
        <f>IFERROR(('Historical FS'!E17-'Historical FS'!E24)/'Historical FS'!E21,0)</f>
        <v>0.455557784911717</v>
      </c>
      <c r="F25" s="57">
        <f>IFERROR(('Historical FS'!F17-'Historical FS'!F24)/'Historical FS'!F21,0)</f>
        <v>0.19100332092180827</v>
      </c>
      <c r="G25" s="57">
        <f>IFERROR(('Historical FS'!G17-'Historical FS'!G24)/'Historical FS'!G21,0)</f>
        <v>0.52750074059445107</v>
      </c>
      <c r="H25" s="57">
        <f>IFERROR(('Historical FS'!H17-'Historical FS'!H24)/'Historical FS'!H21,0)</f>
        <v>1.1107035241713601</v>
      </c>
      <c r="I25" s="57">
        <f>IFERROR(('Historical FS'!I17-'Historical FS'!I24)/'Historical FS'!I21,0)</f>
        <v>1.3000668672684719</v>
      </c>
      <c r="J25" s="57">
        <f>IFERROR(('Historical FS'!J17-'Historical FS'!J24)/'Historical FS'!J21,0)</f>
        <v>7.2329731337364951</v>
      </c>
      <c r="K25" s="57">
        <f>IFERROR(('Historical FS'!K17-'Historical FS'!K24)/'Historical FS'!K21,0)</f>
        <v>12.024087765323165</v>
      </c>
      <c r="L25" s="57">
        <f>IFERROR(('Historical FS'!L17-'Historical FS'!L24)/'Historical FS'!L21,0)</f>
        <v>20.823843713474716</v>
      </c>
      <c r="M25" s="57">
        <f>IFERROR(('Historical FS'!M17-'Historical FS'!M24)/'Historical FS'!M21,0)</f>
        <v>9.0254514604290357</v>
      </c>
      <c r="O25" s="35">
        <f>IFERROR(AVERAGE(D25:M25),0)</f>
        <v>5.2691188310831221</v>
      </c>
      <c r="P25" s="5">
        <f>IFERROR(MEDIAN(D25:M25),0)</f>
        <v>1.205385195719916</v>
      </c>
    </row>
    <row r="27" spans="2:16" x14ac:dyDescent="0.3">
      <c r="B27" s="52" t="s">
        <v>160</v>
      </c>
      <c r="C27" s="52"/>
      <c r="D27" s="58">
        <f>IFERROR('Historical FS'!D5/'Historical FS'!D60,0)</f>
        <v>0</v>
      </c>
      <c r="E27" s="58">
        <f>IFERROR('Historical FS'!E5/'Historical FS'!E60,0)</f>
        <v>6.8489055446725153</v>
      </c>
      <c r="F27" s="58">
        <f>IFERROR('Historical FS'!F5/'Historical FS'!F60,0)</f>
        <v>6.185183860351982</v>
      </c>
      <c r="G27" s="58">
        <f>IFERROR('Historical FS'!G5/'Historical FS'!G60,0)</f>
        <v>4.6634676374065798</v>
      </c>
      <c r="H27" s="58">
        <f>IFERROR('Historical FS'!H5/'Historical FS'!H60,0)</f>
        <v>4.583276583325226</v>
      </c>
      <c r="I27" s="58">
        <f>IFERROR('Historical FS'!I5/'Historical FS'!I60,0)</f>
        <v>6.8544371259121588</v>
      </c>
      <c r="J27" s="58">
        <f>IFERROR('Historical FS'!J5/'Historical FS'!J60,0)</f>
        <v>10.215253269669919</v>
      </c>
      <c r="K27" s="58">
        <f>IFERROR('Historical FS'!K5/'Historical FS'!K60,0)</f>
        <v>13.574318695703916</v>
      </c>
      <c r="L27" s="58">
        <f>IFERROR('Historical FS'!L5/'Historical FS'!L60,0)</f>
        <v>11.683892022736606</v>
      </c>
      <c r="M27" s="58">
        <f>IFERROR('Historical FS'!M5/'Historical FS'!M60,0)</f>
        <v>10.226040651234523</v>
      </c>
      <c r="O27" s="35">
        <f>IFERROR(AVERAGE(D27:M27),0)</f>
        <v>7.4834775391013437</v>
      </c>
      <c r="P27" s="36">
        <f>IFERROR(MEDIAN(D27:M27),0)</f>
        <v>6.8516713352923375</v>
      </c>
    </row>
    <row r="28" spans="2:16" x14ac:dyDescent="0.3">
      <c r="B28" s="54" t="s">
        <v>161</v>
      </c>
      <c r="C28" s="54"/>
      <c r="D28" s="59">
        <f>IFERROR('Historical FS'!D5/'Historical FS'!D51,0)</f>
        <v>0</v>
      </c>
      <c r="E28" s="59">
        <f>IFERROR('Historical FS'!E5/'Historical FS'!E51,0)</f>
        <v>1.4896399692487239</v>
      </c>
      <c r="F28" s="59">
        <f>IFERROR('Historical FS'!F5/'Historical FS'!F51,0)</f>
        <v>1.4943781382606367</v>
      </c>
      <c r="G28" s="59">
        <f>IFERROR('Historical FS'!G5/'Historical FS'!G51,0)</f>
        <v>1.2177876998415671</v>
      </c>
      <c r="H28" s="59">
        <f>IFERROR('Historical FS'!H5/'Historical FS'!H51,0)</f>
        <v>1.4494954156667283</v>
      </c>
      <c r="I28" s="59">
        <f>IFERROR('Historical FS'!I5/'Historical FS'!I51,0)</f>
        <v>1.3907129429900686</v>
      </c>
      <c r="J28" s="59">
        <f>IFERROR('Historical FS'!J5/'Historical FS'!J51,0)</f>
        <v>1.9749106999518382</v>
      </c>
      <c r="K28" s="59">
        <f>IFERROR('Historical FS'!K5/'Historical FS'!K51,0)</f>
        <v>2.2775420556082464</v>
      </c>
      <c r="L28" s="59">
        <f>IFERROR('Historical FS'!L5/'Historical FS'!L51,0)</f>
        <v>2.3577730771746954</v>
      </c>
      <c r="M28" s="59">
        <f>IFERROR('Historical FS'!M5/'Historical FS'!M51,0)</f>
        <v>2.4894308827904736</v>
      </c>
      <c r="O28" s="35">
        <f t="shared" ref="O28:O31" si="10">IFERROR(AVERAGE(D28:M28),0)</f>
        <v>1.6141670881532977</v>
      </c>
      <c r="P28" s="36">
        <f t="shared" ref="P28:P31" si="11">IFERROR(MEDIAN(D28:M28),0)</f>
        <v>1.4920090537546802</v>
      </c>
    </row>
    <row r="29" spans="2:16" x14ac:dyDescent="0.3">
      <c r="B29" s="54" t="s">
        <v>162</v>
      </c>
      <c r="C29" s="54"/>
      <c r="D29" s="59">
        <f>IFERROR('Historical FS'!D5/'Historical FS'!D61,0)</f>
        <v>0</v>
      </c>
      <c r="E29" s="59">
        <f>IFERROR('Historical FS'!E5/'Historical FS'!E61,0)</f>
        <v>69.561418685121097</v>
      </c>
      <c r="F29" s="59">
        <f>IFERROR('Historical FS'!F5/'Historical FS'!F61,0)</f>
        <v>61.164839051998591</v>
      </c>
      <c r="G29" s="59">
        <f>IFERROR('Historical FS'!G5/'Historical FS'!G61,0)</f>
        <v>65.014225297962312</v>
      </c>
      <c r="H29" s="59">
        <f>IFERROR('Historical FS'!H5/'Historical FS'!H61,0)</f>
        <v>43.450772423334108</v>
      </c>
      <c r="I29" s="59">
        <f>IFERROR('Historical FS'!I5/'Historical FS'!I61,0)</f>
        <v>46.616542750929369</v>
      </c>
      <c r="J29" s="59">
        <f>IFERROR('Historical FS'!J5/'Historical FS'!J61,0)</f>
        <v>64.15498696219035</v>
      </c>
      <c r="K29" s="59">
        <f>IFERROR('Historical FS'!K5/'Historical FS'!K61,0)</f>
        <v>59.85307621671258</v>
      </c>
      <c r="L29" s="59">
        <f>IFERROR('Historical FS'!L5/'Historical FS'!L61,0)</f>
        <v>67.710671342685373</v>
      </c>
      <c r="M29" s="59">
        <f>IFERROR('Historical FS'!M5/'Historical FS'!M61,0)</f>
        <v>66.175124752848134</v>
      </c>
      <c r="O29" s="35">
        <f t="shared" si="10"/>
        <v>54.370165748378191</v>
      </c>
      <c r="P29" s="36">
        <f t="shared" si="11"/>
        <v>62.659913007094474</v>
      </c>
    </row>
    <row r="30" spans="2:16" x14ac:dyDescent="0.3">
      <c r="B30" s="54" t="s">
        <v>163</v>
      </c>
      <c r="C30" s="54"/>
      <c r="D30" s="59">
        <f>IFERROR('Historical FS'!D5/'Historical FS'!D54,0)</f>
        <v>0</v>
      </c>
      <c r="E30" s="59">
        <f>IFERROR('Historical FS'!E5/'Historical FS'!E54,0)</f>
        <v>0.71661676113071693</v>
      </c>
      <c r="F30" s="59">
        <f>IFERROR('Historical FS'!F5/'Historical FS'!F54,0)</f>
        <v>0.77637640424213594</v>
      </c>
      <c r="G30" s="59">
        <f>IFERROR('Historical FS'!G5/'Historical FS'!G54,0)</f>
        <v>0.77132053439884696</v>
      </c>
      <c r="H30" s="59">
        <f>IFERROR('Historical FS'!H5/'Historical FS'!H54,0)</f>
        <v>0.79188307868152563</v>
      </c>
      <c r="I30" s="59">
        <f>IFERROR('Historical FS'!I5/'Historical FS'!I54,0)</f>
        <v>0.38369403247669198</v>
      </c>
      <c r="J30" s="59">
        <f>IFERROR('Historical FS'!J5/'Historical FS'!J54,0)</f>
        <v>0.56095548607924672</v>
      </c>
      <c r="K30" s="59">
        <f>IFERROR('Historical FS'!K5/'Historical FS'!K54,0)</f>
        <v>0.64821628993990377</v>
      </c>
      <c r="L30" s="59">
        <f>IFERROR('Historical FS'!L5/'Historical FS'!L54,0)</f>
        <v>0.61546115584680239</v>
      </c>
      <c r="M30" s="59">
        <f>IFERROR('Historical FS'!M5/'Historical FS'!M54,0)</f>
        <v>0.61107160059329535</v>
      </c>
      <c r="O30" s="35">
        <f t="shared" si="10"/>
        <v>0.5875595343389165</v>
      </c>
      <c r="P30" s="36">
        <f t="shared" si="11"/>
        <v>0.63183872289335308</v>
      </c>
    </row>
    <row r="31" spans="2:16" x14ac:dyDescent="0.3">
      <c r="B31" s="55" t="s">
        <v>164</v>
      </c>
      <c r="C31" s="55"/>
      <c r="D31" s="57">
        <f>IFERROR('Historical FS'!D5/SUM('Historical FS'!D48:D49),0)</f>
        <v>0</v>
      </c>
      <c r="E31" s="57">
        <f>IFERROR('Historical FS'!E5/SUM('Historical FS'!E48:E49),0)</f>
        <v>1.3487814287391602</v>
      </c>
      <c r="F31" s="57">
        <f>IFERROR('Historical FS'!F5/SUM('Historical FS'!F48:F49),0)</f>
        <v>1.4856217405125829</v>
      </c>
      <c r="G31" s="57">
        <f>IFERROR('Historical FS'!G5/SUM('Historical FS'!G48:G49),0)</f>
        <v>1.755645303626491</v>
      </c>
      <c r="H31" s="57">
        <f>IFERROR('Historical FS'!H5/SUM('Historical FS'!H48:H49),0)</f>
        <v>1.908487862184908</v>
      </c>
      <c r="I31" s="57">
        <f>IFERROR('Historical FS'!I5/SUM('Historical FS'!I48:I49),0)</f>
        <v>0.44477962927493669</v>
      </c>
      <c r="J31" s="57">
        <f>IFERROR('Historical FS'!J5/SUM('Historical FS'!J48:J49),0)</f>
        <v>0.62659272547262468</v>
      </c>
      <c r="K31" s="57">
        <f>IFERROR('Historical FS'!K5/SUM('Historical FS'!K48:K49),0)</f>
        <v>0.61576956349811529</v>
      </c>
      <c r="L31" s="57">
        <f>IFERROR('Historical FS'!L5/SUM('Historical FS'!L48:L49),0)</f>
        <v>0.64295075962103398</v>
      </c>
      <c r="M31" s="57">
        <f>IFERROR('Historical FS'!M5/SUM('Historical FS'!M48:M49),0)</f>
        <v>0.74923328006890633</v>
      </c>
      <c r="O31" s="35">
        <f t="shared" si="10"/>
        <v>0.95778622929987589</v>
      </c>
      <c r="P31" s="36">
        <f t="shared" si="11"/>
        <v>0.69609201984497016</v>
      </c>
    </row>
    <row r="33" spans="2:16" x14ac:dyDescent="0.3">
      <c r="B33" s="52" t="s">
        <v>44</v>
      </c>
      <c r="C33" s="52"/>
      <c r="D33" s="60">
        <f>IFERROR(365/D27,0)</f>
        <v>0</v>
      </c>
      <c r="E33" s="60">
        <f t="shared" ref="E33:M33" si="12">IFERROR(365/E27,0)</f>
        <v>53.293186425080521</v>
      </c>
      <c r="F33" s="60">
        <f t="shared" si="12"/>
        <v>59.011988687952901</v>
      </c>
      <c r="G33" s="60">
        <f t="shared" si="12"/>
        <v>78.26793887712742</v>
      </c>
      <c r="H33" s="60">
        <f t="shared" si="12"/>
        <v>79.637349691688868</v>
      </c>
      <c r="I33" s="60">
        <f t="shared" si="12"/>
        <v>53.250178431161459</v>
      </c>
      <c r="J33" s="60">
        <f t="shared" si="12"/>
        <v>35.7308811014721</v>
      </c>
      <c r="K33" s="60">
        <f t="shared" si="12"/>
        <v>26.88901065182133</v>
      </c>
      <c r="L33" s="60">
        <f t="shared" si="12"/>
        <v>31.239590308581914</v>
      </c>
      <c r="M33" s="60">
        <f t="shared" si="12"/>
        <v>35.693188835107549</v>
      </c>
      <c r="O33" s="34">
        <f>IFERROR(AVERAGE(D33:M33),0)</f>
        <v>45.301331300999408</v>
      </c>
      <c r="P33" s="37">
        <f>IFERROR(MEDIAN(D33:M33),0)</f>
        <v>44.490529766316783</v>
      </c>
    </row>
    <row r="34" spans="2:16" x14ac:dyDescent="0.3">
      <c r="B34" s="54" t="s">
        <v>165</v>
      </c>
      <c r="C34" s="54"/>
      <c r="D34" s="61">
        <f>IFERROR(365/D28,0)</f>
        <v>0</v>
      </c>
      <c r="E34" s="61">
        <f t="shared" ref="E34:M34" si="13">IFERROR(365/E28,0)</f>
        <v>245.02564883787451</v>
      </c>
      <c r="F34" s="61">
        <f t="shared" si="13"/>
        <v>244.24875515432615</v>
      </c>
      <c r="G34" s="61">
        <f t="shared" si="13"/>
        <v>299.72383531832855</v>
      </c>
      <c r="H34" s="61">
        <f t="shared" si="13"/>
        <v>251.81176570476421</v>
      </c>
      <c r="I34" s="61">
        <f t="shared" si="13"/>
        <v>262.4553124638652</v>
      </c>
      <c r="J34" s="61">
        <f t="shared" si="13"/>
        <v>184.81848318959496</v>
      </c>
      <c r="K34" s="61">
        <f t="shared" si="13"/>
        <v>160.26048744137114</v>
      </c>
      <c r="L34" s="61">
        <f t="shared" si="13"/>
        <v>154.8070946833345</v>
      </c>
      <c r="M34" s="61">
        <f t="shared" si="13"/>
        <v>146.61985698147248</v>
      </c>
      <c r="O34" s="34">
        <f t="shared" ref="O34:O36" si="14">IFERROR(AVERAGE(D34:M34),0)</f>
        <v>194.97712397749314</v>
      </c>
      <c r="P34" s="37">
        <f t="shared" ref="P34:P36" si="15">IFERROR(MEDIAN(D34:M34),0)</f>
        <v>214.53361917196054</v>
      </c>
    </row>
    <row r="35" spans="2:16" x14ac:dyDescent="0.3">
      <c r="B35" s="54" t="s">
        <v>166</v>
      </c>
      <c r="C35" s="54"/>
      <c r="D35" s="61">
        <f>IFERROR(365/D29,0)</f>
        <v>0</v>
      </c>
      <c r="E35" s="61">
        <f t="shared" ref="E35:M35" si="16">IFERROR(365/E29,0)</f>
        <v>5.2471615286085589</v>
      </c>
      <c r="F35" s="61">
        <f t="shared" si="16"/>
        <v>5.9674807562184444</v>
      </c>
      <c r="G35" s="61">
        <f t="shared" si="16"/>
        <v>5.6141559532116716</v>
      </c>
      <c r="H35" s="61">
        <f t="shared" si="16"/>
        <v>8.4003109644142082</v>
      </c>
      <c r="I35" s="61">
        <f t="shared" si="16"/>
        <v>7.8298384749418855</v>
      </c>
      <c r="J35" s="61">
        <f t="shared" si="16"/>
        <v>5.6893472710876276</v>
      </c>
      <c r="K35" s="61">
        <f t="shared" si="16"/>
        <v>6.0982663393679042</v>
      </c>
      <c r="L35" s="61">
        <f t="shared" si="16"/>
        <v>5.3905830907025871</v>
      </c>
      <c r="M35" s="61">
        <f t="shared" si="16"/>
        <v>5.5156677280656075</v>
      </c>
      <c r="O35" s="34">
        <f t="shared" si="14"/>
        <v>5.5752812106618492</v>
      </c>
      <c r="P35" s="37">
        <f t="shared" si="15"/>
        <v>5.6517516121496492</v>
      </c>
    </row>
    <row r="36" spans="2:16" x14ac:dyDescent="0.3">
      <c r="B36" s="55" t="s">
        <v>167</v>
      </c>
      <c r="C36" s="55"/>
      <c r="D36" s="62">
        <f>IFERROR(SUM(D33,D35)-D34,0)</f>
        <v>0</v>
      </c>
      <c r="E36" s="62">
        <f t="shared" ref="E36:M36" si="17">IFERROR(SUM(E33,E35)-E34,0)</f>
        <v>-186.48530088418545</v>
      </c>
      <c r="F36" s="62">
        <f t="shared" si="17"/>
        <v>-179.2692857101548</v>
      </c>
      <c r="G36" s="62">
        <f t="shared" si="17"/>
        <v>-215.84174048798945</v>
      </c>
      <c r="H36" s="62">
        <f t="shared" si="17"/>
        <v>-163.77410504866114</v>
      </c>
      <c r="I36" s="62">
        <f t="shared" si="17"/>
        <v>-201.37529555776186</v>
      </c>
      <c r="J36" s="62">
        <f t="shared" si="17"/>
        <v>-143.39825481703522</v>
      </c>
      <c r="K36" s="62">
        <f t="shared" si="17"/>
        <v>-127.27321045018191</v>
      </c>
      <c r="L36" s="62">
        <f t="shared" si="17"/>
        <v>-118.17692128405</v>
      </c>
      <c r="M36" s="62">
        <f t="shared" si="17"/>
        <v>-105.41100041829932</v>
      </c>
      <c r="O36" s="34">
        <f t="shared" si="14"/>
        <v>-144.10051146583194</v>
      </c>
      <c r="P36" s="37">
        <f t="shared" si="15"/>
        <v>-153.58617993284818</v>
      </c>
    </row>
    <row r="38" spans="2:16" x14ac:dyDescent="0.3">
      <c r="B38" s="52" t="s">
        <v>168</v>
      </c>
      <c r="C38" s="52"/>
      <c r="D38" s="53">
        <f>IFERROR('Historical FS'!D80/'Historical FS'!D5,0)</f>
        <v>0</v>
      </c>
      <c r="E38" s="53">
        <f>IFERROR('Historical FS'!E80/'Historical FS'!E5,0)</f>
        <v>24.381629835971797</v>
      </c>
      <c r="F38" s="53">
        <f>IFERROR('Historical FS'!F80/'Historical FS'!F5,0)</f>
        <v>19.347301822303702</v>
      </c>
      <c r="G38" s="53">
        <f>IFERROR('Historical FS'!G80/'Historical FS'!G5,0)</f>
        <v>10.303248926683304</v>
      </c>
      <c r="H38" s="53">
        <f>IFERROR('Historical FS'!H80/'Historical FS'!H5,0)</f>
        <v>6.1932861403266717</v>
      </c>
      <c r="I38" s="53">
        <f>IFERROR('Historical FS'!I80/'Historical FS'!I5,0)</f>
        <v>12.638907163961292</v>
      </c>
      <c r="J38" s="53">
        <f>IFERROR('Historical FS'!J80/'Historical FS'!J5,0)</f>
        <v>7.3432320178836799</v>
      </c>
      <c r="K38" s="53">
        <f>IFERROR('Historical FS'!K80/'Historical FS'!K5,0)</f>
        <v>0.77412001928724838</v>
      </c>
      <c r="L38" s="53">
        <f>IFERROR('Historical FS'!L80/'Historical FS'!L5,0)</f>
        <v>5.9676064831428661</v>
      </c>
      <c r="M38" s="53">
        <f>IFERROR('Historical FS'!M80/'Historical FS'!M5,0)</f>
        <v>10.705190041630742</v>
      </c>
      <c r="O38" s="32">
        <f>IFERROR(AVERAGE(D38:M38),0)</f>
        <v>9.7654522451191301</v>
      </c>
      <c r="P38" s="5">
        <f>IFERROR(MEDIAN(D38:M38),0)</f>
        <v>8.8232404722834925</v>
      </c>
    </row>
    <row r="39" spans="2:16" x14ac:dyDescent="0.3">
      <c r="B39" s="54" t="s">
        <v>169</v>
      </c>
      <c r="C39" s="54"/>
      <c r="D39" s="33">
        <f>IFERROR('Historical FS'!D80/'Historical FS'!D65,0)</f>
        <v>0</v>
      </c>
      <c r="E39" s="33">
        <f>IFERROR('Historical FS'!E80/'Historical FS'!E65,0)</f>
        <v>12.463685197546168</v>
      </c>
      <c r="F39" s="33">
        <f>IFERROR('Historical FS'!F80/'Historical FS'!F65,0)</f>
        <v>10.132908478518983</v>
      </c>
      <c r="G39" s="33">
        <f>IFERROR('Historical FS'!G80/'Historical FS'!G65,0)</f>
        <v>5.1938566837778053</v>
      </c>
      <c r="H39" s="33">
        <f>IFERROR('Historical FS'!H80/'Historical FS'!H65,0)</f>
        <v>3.0681588155345421</v>
      </c>
      <c r="I39" s="33">
        <f>IFERROR('Historical FS'!I80/'Historical FS'!I65,0)</f>
        <v>3.7102064034946025</v>
      </c>
      <c r="J39" s="33">
        <f>IFERROR('Historical FS'!J80/'Historical FS'!J65,0)</f>
        <v>3.1457820272430577</v>
      </c>
      <c r="K39" s="33">
        <f>IFERROR('Historical FS'!K80/'Historical FS'!K65,0)</f>
        <v>0.34963892752317643</v>
      </c>
      <c r="L39" s="33">
        <f>IFERROR('Historical FS'!L80/'Historical FS'!L65,0)</f>
        <v>2.6884301088172107</v>
      </c>
      <c r="M39" s="33">
        <f>IFERROR('Historical FS'!M80/'Historical FS'!M65,0)</f>
        <v>4.9453546884283917</v>
      </c>
      <c r="O39" s="32">
        <f t="shared" ref="O39:O40" si="18">IFERROR(AVERAGE(D39:M39),0)</f>
        <v>4.5698021330883929</v>
      </c>
      <c r="P39" s="5">
        <f t="shared" ref="P39:P40" si="19">IFERROR(MEDIAN(D39:M39),0)</f>
        <v>3.4279942153688303</v>
      </c>
    </row>
    <row r="40" spans="2:16" x14ac:dyDescent="0.3">
      <c r="B40" s="55" t="s">
        <v>170</v>
      </c>
      <c r="C40" s="55"/>
      <c r="D40" s="56">
        <f>IFERROR('Historical FS'!D80/'Historical FS'!D50,0)</f>
        <v>0</v>
      </c>
      <c r="E40" s="56">
        <f>IFERROR('Historical FS'!E80/'Historical FS'!E50,0)</f>
        <v>44.860369069546614</v>
      </c>
      <c r="F40" s="56">
        <f>IFERROR('Historical FS'!F80/'Historical FS'!F50,0)</f>
        <v>34.118630930526663</v>
      </c>
      <c r="G40" s="56">
        <f>IFERROR('Historical FS'!G80/'Historical FS'!G50,0)</f>
        <v>17.37521815008726</v>
      </c>
      <c r="H40" s="56">
        <f>IFERROR('Historical FS'!H80/'Historical FS'!H50,0)</f>
        <v>7.6964165600559209</v>
      </c>
      <c r="I40" s="56">
        <f>IFERROR('Historical FS'!I80/'Historical FS'!I50,0)</f>
        <v>28.779473583860685</v>
      </c>
      <c r="J40" s="56">
        <f>IFERROR('Historical FS'!J80/'Historical FS'!J50,0)</f>
        <v>31.648382929339377</v>
      </c>
      <c r="K40" s="56">
        <f>IFERROR('Historical FS'!K80/'Historical FS'!K50,0)</f>
        <v>5.1265675801207617</v>
      </c>
      <c r="L40" s="56">
        <f>IFERROR('Historical FS'!L80/'Historical FS'!L50,0)</f>
        <v>24.836213865044844</v>
      </c>
      <c r="M40" s="56">
        <f>IFERROR('Historical FS'!M80/'Historical FS'!M50,0)</f>
        <v>24.994601848991294</v>
      </c>
      <c r="O40" s="32">
        <f t="shared" si="18"/>
        <v>21.943587451757345</v>
      </c>
      <c r="P40" s="5">
        <f t="shared" si="19"/>
        <v>24.915407857018067</v>
      </c>
    </row>
  </sheetData>
  <mergeCells count="1">
    <mergeCell ref="B2:P2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xr2:uid="{508E476B-3467-421F-96B7-D51E9C81F8C0}">
          <x14:colorSeries theme="2" tint="-0.499984740745262"/>
          <x14:colorNegative theme="5"/>
          <x14:colorAxis rgb="FF000000"/>
          <x14:colorMarkers theme="1"/>
          <x14:colorFirst theme="4" tint="-0.249977111117893"/>
          <x14:colorLast theme="4" tint="-0.249977111117893"/>
          <x14:colorHigh theme="4" tint="-0.249977111117893"/>
          <x14:colorLow theme="4" tint="-0.249977111117893"/>
          <x14:sparklines>
            <x14:sparkline>
              <xm:f>'Ratio Analysis'!E5:M5</xm:f>
              <xm:sqref>N5</xm:sqref>
            </x14:sparkline>
            <x14:sparkline>
              <xm:f>'Ratio Analysis'!E6:M6</xm:f>
              <xm:sqref>N6</xm:sqref>
            </x14:sparkline>
            <x14:sparkline>
              <xm:f>'Ratio Analysis'!E7:M7</xm:f>
              <xm:sqref>N7</xm:sqref>
            </x14:sparkline>
            <x14:sparkline>
              <xm:f>'Ratio Analysis'!E8:M8</xm:f>
              <xm:sqref>N8</xm:sqref>
            </x14:sparkline>
            <x14:sparkline>
              <xm:f>'Ratio Analysis'!E9:M9</xm:f>
              <xm:sqref>N9</xm:sqref>
            </x14:sparkline>
          </x14:sparklines>
        </x14:sparklineGroup>
        <x14:sparklineGroup displayEmptyCellsAs="gap" markers="1" xr2:uid="{F518F338-9286-44AF-B081-22646AD0D2C8}">
          <x14:colorSeries theme="2" tint="-0.499984740745262"/>
          <x14:colorNegative rgb="FFD00000"/>
          <x14:colorAxis rgb="FF000000"/>
          <x14:colorMarkers theme="1"/>
          <x14:colorFirst rgb="FFD00000"/>
          <x14:colorLast rgb="FFD00000"/>
          <x14:colorHigh rgb="FFD00000"/>
          <x14:colorLow rgb="FFD00000"/>
          <x14:sparklines>
            <x14:sparkline>
              <xm:f>'Ratio Analysis'!D11:M11</xm:f>
              <xm:sqref>N11</xm:sqref>
            </x14:sparkline>
            <x14:sparkline>
              <xm:f>'Ratio Analysis'!D12:M12</xm:f>
              <xm:sqref>N12</xm:sqref>
            </x14:sparkline>
            <x14:sparkline>
              <xm:f>'Ratio Analysis'!D13:M13</xm:f>
              <xm:sqref>N13</xm:sqref>
            </x14:sparkline>
            <x14:sparkline>
              <xm:f>'Ratio Analysis'!D14:M14</xm:f>
              <xm:sqref>N14</xm:sqref>
            </x14:sparkline>
            <x14:sparkline>
              <xm:f>'Ratio Analysis'!D15:M15</xm:f>
              <xm:sqref>N15</xm:sqref>
            </x14:sparkline>
            <x14:sparkline>
              <xm:f>'Ratio Analysis'!D16:M16</xm:f>
              <xm:sqref>N16</xm:sqref>
            </x14:sparkline>
            <x14:sparkline>
              <xm:f>'Ratio Analysis'!D17:M17</xm:f>
              <xm:sqref>N17</xm:sqref>
            </x14:sparkline>
            <x14:sparkline>
              <xm:f>'Ratio Analysis'!D18:M18</xm:f>
              <xm:sqref>N18</xm:sqref>
            </x14:sparkline>
            <x14:sparkline>
              <xm:f>'Ratio Analysis'!D19:M19</xm:f>
              <xm:sqref>N19</xm:sqref>
            </x14:sparkline>
            <x14:sparkline>
              <xm:f>'Ratio Analysis'!D20:M20</xm:f>
              <xm:sqref>N20</xm:sqref>
            </x14:sparkline>
            <x14:sparkline>
              <xm:f>'Ratio Analysis'!D21:M21</xm:f>
              <xm:sqref>N21</xm:sqref>
            </x14:sparkline>
            <x14:sparkline>
              <xm:f>'Ratio Analysis'!D22:M22</xm:f>
              <xm:sqref>N22</xm:sqref>
            </x14:sparkline>
            <x14:sparkline>
              <xm:f>'Ratio Analysis'!D23:M23</xm:f>
              <xm:sqref>N23</xm:sqref>
            </x14:sparkline>
            <x14:sparkline>
              <xm:f>'Ratio Analysis'!D24:M24</xm:f>
              <xm:sqref>N24</xm:sqref>
            </x14:sparkline>
            <x14:sparkline>
              <xm:f>'Ratio Analysis'!D25:M25</xm:f>
              <xm:sqref>N25</xm:sqref>
            </x14:sparkline>
            <x14:sparkline>
              <xm:f>'Ratio Analysis'!D26:M26</xm:f>
              <xm:sqref>N26</xm:sqref>
            </x14:sparkline>
            <x14:sparkline>
              <xm:f>'Ratio Analysis'!D27:M27</xm:f>
              <xm:sqref>N27</xm:sqref>
            </x14:sparkline>
            <x14:sparkline>
              <xm:f>'Ratio Analysis'!D28:M28</xm:f>
              <xm:sqref>N28</xm:sqref>
            </x14:sparkline>
            <x14:sparkline>
              <xm:f>'Ratio Analysis'!D29:M29</xm:f>
              <xm:sqref>N29</xm:sqref>
            </x14:sparkline>
            <x14:sparkline>
              <xm:f>'Ratio Analysis'!D30:M30</xm:f>
              <xm:sqref>N30</xm:sqref>
            </x14:sparkline>
            <x14:sparkline>
              <xm:f>'Ratio Analysis'!D31:M31</xm:f>
              <xm:sqref>N31</xm:sqref>
            </x14:sparkline>
            <x14:sparkline>
              <xm:f>'Ratio Analysis'!D32:M32</xm:f>
              <xm:sqref>N32</xm:sqref>
            </x14:sparkline>
            <x14:sparkline>
              <xm:f>'Ratio Analysis'!D33:M33</xm:f>
              <xm:sqref>N33</xm:sqref>
            </x14:sparkline>
            <x14:sparkline>
              <xm:f>'Ratio Analysis'!D34:M34</xm:f>
              <xm:sqref>N34</xm:sqref>
            </x14:sparkline>
            <x14:sparkline>
              <xm:f>'Ratio Analysis'!D35:M35</xm:f>
              <xm:sqref>N35</xm:sqref>
            </x14:sparkline>
            <x14:sparkline>
              <xm:f>'Ratio Analysis'!D36:M36</xm:f>
              <xm:sqref>N36</xm:sqref>
            </x14:sparkline>
            <x14:sparkline>
              <xm:f>'Ratio Analysis'!D37:M37</xm:f>
              <xm:sqref>N37</xm:sqref>
            </x14:sparkline>
            <x14:sparkline>
              <xm:f>'Ratio Analysis'!D38:M38</xm:f>
              <xm:sqref>N38</xm:sqref>
            </x14:sparkline>
            <x14:sparkline>
              <xm:f>'Ratio Analysis'!D39:M39</xm:f>
              <xm:sqref>N39</xm:sqref>
            </x14:sparkline>
            <x14:sparkline>
              <xm:f>'Ratio Analysis'!D40:M40</xm:f>
              <xm:sqref>N40</xm:sqref>
            </x14:sparkline>
          </x14:sparklines>
        </x14:sparklineGroup>
      </x14:sparklineGroup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43D59-AF85-4E5C-AB94-4B7E0B8C7D5C}">
  <dimension ref="B2:O18"/>
  <sheetViews>
    <sheetView showGridLines="0" workbookViewId="0">
      <selection activeCell="M23" sqref="M23"/>
    </sheetView>
  </sheetViews>
  <sheetFormatPr defaultRowHeight="14.4" x14ac:dyDescent="0.3"/>
  <cols>
    <col min="1" max="1" width="2.33203125" customWidth="1"/>
    <col min="2" max="2" width="12.88671875" customWidth="1"/>
    <col min="4" max="4" width="9.5546875" bestFit="1" customWidth="1"/>
    <col min="5" max="5" width="12" customWidth="1"/>
    <col min="7" max="7" width="14.77734375" customWidth="1"/>
    <col min="9" max="9" width="8.77734375" customWidth="1"/>
    <col min="10" max="10" width="17.6640625" customWidth="1"/>
    <col min="12" max="12" width="13" customWidth="1"/>
    <col min="14" max="14" width="8.6640625" customWidth="1"/>
    <col min="15" max="15" width="19.44140625" customWidth="1"/>
  </cols>
  <sheetData>
    <row r="2" spans="2:15" x14ac:dyDescent="0.3">
      <c r="B2" s="43" t="str">
        <f>'Data Sheet'!$B$1&amp;" -" &amp;'Data Sheet'!A17</f>
        <v>MAX HEALTHCARE INSTITUTE LTD -Sales</v>
      </c>
      <c r="C2" s="43"/>
      <c r="D2" s="43"/>
      <c r="E2" s="43"/>
      <c r="G2" s="44" t="str">
        <f>'Data Sheet'!$B$1&amp;" - "&amp;'Historical FS'!B17</f>
        <v>MAX HEALTHCARE INSTITUTE LTD - EBITDA</v>
      </c>
      <c r="H2" s="44"/>
      <c r="I2" s="44"/>
      <c r="J2" s="44"/>
      <c r="L2" s="44" t="str">
        <f>'Data Sheet'!B1&amp; " - " &amp;'Historical FS'!B38</f>
        <v>MAX HEALTHCARE INSTITUTE LTD - EPS(Earning per share)</v>
      </c>
      <c r="M2" s="44"/>
      <c r="N2" s="44"/>
      <c r="O2" s="44"/>
    </row>
    <row r="3" spans="2:15" x14ac:dyDescent="0.3">
      <c r="B3" s="45" t="s">
        <v>176</v>
      </c>
      <c r="C3" s="45" t="s">
        <v>177</v>
      </c>
      <c r="D3" s="46" t="s">
        <v>5</v>
      </c>
      <c r="E3" s="46" t="s">
        <v>21</v>
      </c>
      <c r="G3" s="45" t="s">
        <v>176</v>
      </c>
      <c r="H3" s="45" t="s">
        <v>177</v>
      </c>
      <c r="I3" s="46" t="s">
        <v>5</v>
      </c>
      <c r="J3" s="46" t="s">
        <v>21</v>
      </c>
      <c r="L3" s="45" t="s">
        <v>176</v>
      </c>
      <c r="M3" s="45" t="s">
        <v>177</v>
      </c>
      <c r="N3" s="46" t="s">
        <v>5</v>
      </c>
      <c r="O3" s="46" t="s">
        <v>21</v>
      </c>
    </row>
    <row r="4" spans="2:15" x14ac:dyDescent="0.3">
      <c r="B4">
        <v>1</v>
      </c>
      <c r="C4" s="39">
        <v>2015</v>
      </c>
      <c r="D4" s="41">
        <f t="array" ref="D4:D13">TRANSPOSE('Data Sheet'!B17:K17)</f>
        <v>0</v>
      </c>
      <c r="G4">
        <v>1</v>
      </c>
      <c r="H4" s="39">
        <v>2015</v>
      </c>
      <c r="I4" s="41">
        <f t="array" ref="I4:I13">TRANSPOSE('Historical FS'!D17:M17)</f>
        <v>0</v>
      </c>
      <c r="L4">
        <v>1</v>
      </c>
      <c r="M4" s="39">
        <v>2015</v>
      </c>
      <c r="N4" s="41">
        <f t="array" ref="N4:N13">TRANSPOSE('Historical FS'!D38:M38)</f>
        <v>0</v>
      </c>
    </row>
    <row r="5" spans="2:15" x14ac:dyDescent="0.3">
      <c r="B5">
        <f>B4+1</f>
        <v>2</v>
      </c>
      <c r="C5" s="39">
        <f>C4+1</f>
        <v>2016</v>
      </c>
      <c r="D5" s="41">
        <v>1608.26</v>
      </c>
      <c r="E5" s="29"/>
      <c r="G5">
        <f>G4+1</f>
        <v>2</v>
      </c>
      <c r="H5" s="39">
        <f>H4+1</f>
        <v>2016</v>
      </c>
      <c r="I5" s="41">
        <v>140.91999999999996</v>
      </c>
      <c r="J5" s="32"/>
      <c r="L5">
        <f>L4+1</f>
        <v>2</v>
      </c>
      <c r="M5" s="39">
        <f>M4+1</f>
        <v>2016</v>
      </c>
      <c r="N5" s="41">
        <v>-0.803797468354431</v>
      </c>
      <c r="O5" s="32"/>
    </row>
    <row r="6" spans="2:15" x14ac:dyDescent="0.3">
      <c r="B6">
        <f t="shared" ref="B6:B18" si="0">B5+1</f>
        <v>3</v>
      </c>
      <c r="C6" s="39">
        <f t="shared" ref="C6:C18" si="1">C5+1</f>
        <v>2017</v>
      </c>
      <c r="D6" s="41">
        <v>1729.13</v>
      </c>
      <c r="E6" s="29">
        <f t="shared" ref="E6:E18" si="2">D6/D5-1</f>
        <v>7.5155758397274175E-2</v>
      </c>
      <c r="G6">
        <f t="shared" ref="G6:H18" si="3">G5+1</f>
        <v>3</v>
      </c>
      <c r="H6" s="39">
        <f t="shared" si="3"/>
        <v>2017</v>
      </c>
      <c r="I6" s="41">
        <v>113.40000000000009</v>
      </c>
      <c r="J6" s="29">
        <f t="shared" ref="J6:J18" si="4">I6/I5-1</f>
        <v>-0.19528810672722019</v>
      </c>
      <c r="L6">
        <f t="shared" ref="L6:M6" si="5">L5+1</f>
        <v>3</v>
      </c>
      <c r="M6" s="39">
        <f t="shared" si="5"/>
        <v>2017</v>
      </c>
      <c r="N6" s="41">
        <v>-1.6816827997021582</v>
      </c>
      <c r="O6" s="29">
        <f t="shared" ref="O6:O18" si="6">N6/N5-1</f>
        <v>1.0921723019916598</v>
      </c>
    </row>
    <row r="7" spans="2:15" x14ac:dyDescent="0.3">
      <c r="B7">
        <f t="shared" si="0"/>
        <v>4</v>
      </c>
      <c r="C7" s="39">
        <f t="shared" si="1"/>
        <v>2018</v>
      </c>
      <c r="D7" s="41">
        <v>1691.02</v>
      </c>
      <c r="E7" s="29">
        <f t="shared" si="2"/>
        <v>-2.2039985426197006E-2</v>
      </c>
      <c r="G7">
        <f t="shared" si="3"/>
        <v>4</v>
      </c>
      <c r="H7" s="39">
        <f t="shared" si="3"/>
        <v>2018</v>
      </c>
      <c r="I7" s="41">
        <v>156.06000000000006</v>
      </c>
      <c r="J7" s="29">
        <f t="shared" si="4"/>
        <v>0.37619047619047552</v>
      </c>
      <c r="L7">
        <f t="shared" ref="L7:M7" si="7">L6+1</f>
        <v>4</v>
      </c>
      <c r="M7" s="39">
        <f t="shared" si="7"/>
        <v>2018</v>
      </c>
      <c r="N7" s="41">
        <v>-1.0491437081161568</v>
      </c>
      <c r="O7" s="29">
        <f t="shared" si="6"/>
        <v>-0.37613460261235354</v>
      </c>
    </row>
    <row r="8" spans="2:15" x14ac:dyDescent="0.3">
      <c r="B8">
        <f t="shared" si="0"/>
        <v>5</v>
      </c>
      <c r="C8" s="39">
        <f t="shared" si="1"/>
        <v>2019</v>
      </c>
      <c r="D8" s="41">
        <v>1884.46</v>
      </c>
      <c r="E8" s="29">
        <f t="shared" si="2"/>
        <v>0.1143924968362291</v>
      </c>
      <c r="G8">
        <f t="shared" si="3"/>
        <v>5</v>
      </c>
      <c r="H8" s="39">
        <f t="shared" si="3"/>
        <v>2019</v>
      </c>
      <c r="I8" s="41">
        <v>289.29999999999984</v>
      </c>
      <c r="J8" s="29">
        <f t="shared" si="4"/>
        <v>0.85377418941432603</v>
      </c>
      <c r="L8">
        <f t="shared" ref="L8:M8" si="8">L7+1</f>
        <v>5</v>
      </c>
      <c r="M8" s="39">
        <f t="shared" si="8"/>
        <v>2019</v>
      </c>
      <c r="N8" s="41">
        <v>0.43112434847356407</v>
      </c>
      <c r="O8" s="29">
        <f t="shared" si="6"/>
        <v>-1.410929737402411</v>
      </c>
    </row>
    <row r="9" spans="2:15" x14ac:dyDescent="0.3">
      <c r="B9">
        <f t="shared" si="0"/>
        <v>6</v>
      </c>
      <c r="C9" s="39">
        <f t="shared" si="1"/>
        <v>2020</v>
      </c>
      <c r="D9" s="41">
        <v>2507.9699999999998</v>
      </c>
      <c r="E9" s="29">
        <f t="shared" si="2"/>
        <v>0.33086932065419261</v>
      </c>
      <c r="G9">
        <f t="shared" si="3"/>
        <v>6</v>
      </c>
      <c r="H9" s="39">
        <f t="shared" si="3"/>
        <v>2020</v>
      </c>
      <c r="I9" s="41">
        <v>407.4</v>
      </c>
      <c r="J9" s="29">
        <f t="shared" si="4"/>
        <v>0.40822675423435939</v>
      </c>
      <c r="L9">
        <f t="shared" ref="L9:M9" si="9">L8+1</f>
        <v>6</v>
      </c>
      <c r="M9" s="39">
        <f t="shared" si="9"/>
        <v>2020</v>
      </c>
      <c r="N9" s="41">
        <v>8.282430893467195E-2</v>
      </c>
      <c r="O9" s="29">
        <f t="shared" si="6"/>
        <v>-0.80788765647795324</v>
      </c>
    </row>
    <row r="10" spans="2:15" x14ac:dyDescent="0.3">
      <c r="B10">
        <f t="shared" si="0"/>
        <v>7</v>
      </c>
      <c r="C10" s="39">
        <f t="shared" si="1"/>
        <v>2021</v>
      </c>
      <c r="D10" s="41">
        <v>3936.55</v>
      </c>
      <c r="E10" s="29">
        <f t="shared" si="2"/>
        <v>0.56961606398800635</v>
      </c>
      <c r="G10">
        <f t="shared" si="3"/>
        <v>7</v>
      </c>
      <c r="H10" s="39">
        <f t="shared" si="3"/>
        <v>2021</v>
      </c>
      <c r="I10" s="41">
        <v>950.71000000000026</v>
      </c>
      <c r="J10" s="29">
        <f t="shared" si="4"/>
        <v>1.3336033382425141</v>
      </c>
      <c r="L10">
        <f t="shared" ref="L10:M10" si="10">L9+1</f>
        <v>7</v>
      </c>
      <c r="M10" s="39">
        <f t="shared" si="10"/>
        <v>2021</v>
      </c>
      <c r="N10" s="41">
        <v>5.103857260726075</v>
      </c>
      <c r="O10" s="29">
        <f t="shared" si="6"/>
        <v>60.622696601691729</v>
      </c>
    </row>
    <row r="11" spans="2:15" x14ac:dyDescent="0.3">
      <c r="B11">
        <f t="shared" si="0"/>
        <v>8</v>
      </c>
      <c r="C11" s="39">
        <f t="shared" si="1"/>
        <v>2022</v>
      </c>
      <c r="D11" s="41">
        <v>4562.6000000000004</v>
      </c>
      <c r="E11" s="29">
        <f t="shared" si="2"/>
        <v>0.15903519579327074</v>
      </c>
      <c r="G11">
        <f t="shared" si="3"/>
        <v>8</v>
      </c>
      <c r="H11" s="39">
        <f t="shared" si="3"/>
        <v>2022</v>
      </c>
      <c r="I11" s="41">
        <v>1240.5300000000007</v>
      </c>
      <c r="J11" s="29">
        <f t="shared" si="4"/>
        <v>0.30484585204741754</v>
      </c>
      <c r="L11">
        <f t="shared" ref="L11:M11" si="11">L10+1</f>
        <v>8</v>
      </c>
      <c r="M11" s="39">
        <f t="shared" si="11"/>
        <v>2022</v>
      </c>
      <c r="N11" s="41">
        <v>9.9317128437532247</v>
      </c>
      <c r="O11" s="29">
        <f t="shared" si="6"/>
        <v>0.945922923859422</v>
      </c>
    </row>
    <row r="12" spans="2:15" x14ac:dyDescent="0.3">
      <c r="B12">
        <f t="shared" si="0"/>
        <v>9</v>
      </c>
      <c r="C12" s="39">
        <f t="shared" si="1"/>
        <v>2023</v>
      </c>
      <c r="D12" s="41">
        <v>5406.02</v>
      </c>
      <c r="E12" s="29">
        <f t="shared" si="2"/>
        <v>0.18485512646298163</v>
      </c>
      <c r="G12">
        <f t="shared" si="3"/>
        <v>9</v>
      </c>
      <c r="H12" s="39">
        <f t="shared" si="3"/>
        <v>2023</v>
      </c>
      <c r="I12" s="41">
        <v>1492.1200000000008</v>
      </c>
      <c r="J12" s="29">
        <f t="shared" si="4"/>
        <v>0.20280847702191807</v>
      </c>
      <c r="L12">
        <f t="shared" ref="L12:M12" si="12">L11+1</f>
        <v>9</v>
      </c>
      <c r="M12" s="39">
        <f t="shared" si="12"/>
        <v>2023</v>
      </c>
      <c r="N12" s="41">
        <v>9.0500051445622063</v>
      </c>
      <c r="O12" s="29">
        <f t="shared" si="6"/>
        <v>-8.8777002825407791E-2</v>
      </c>
    </row>
    <row r="13" spans="2:15" x14ac:dyDescent="0.3">
      <c r="B13">
        <f t="shared" si="0"/>
        <v>10</v>
      </c>
      <c r="C13" s="39">
        <f t="shared" si="1"/>
        <v>2024</v>
      </c>
      <c r="D13" s="41">
        <v>7028.46</v>
      </c>
      <c r="E13" s="29">
        <f t="shared" si="2"/>
        <v>0.30011727666564303</v>
      </c>
      <c r="G13">
        <f t="shared" si="3"/>
        <v>10</v>
      </c>
      <c r="H13" s="39">
        <f t="shared" si="3"/>
        <v>2024</v>
      </c>
      <c r="I13" s="41">
        <v>1848.7999999999997</v>
      </c>
      <c r="J13" s="29">
        <f t="shared" si="4"/>
        <v>0.23904243626517885</v>
      </c>
      <c r="L13">
        <f t="shared" ref="L13:M13" si="13">L12+1</f>
        <v>10</v>
      </c>
      <c r="M13" s="39">
        <f t="shared" si="13"/>
        <v>2024</v>
      </c>
      <c r="N13" s="41">
        <v>10.22394815348215</v>
      </c>
      <c r="O13" s="29">
        <f t="shared" si="6"/>
        <v>0.12971738581003134</v>
      </c>
    </row>
    <row r="14" spans="2:15" x14ac:dyDescent="0.3">
      <c r="B14" s="47">
        <f t="shared" si="0"/>
        <v>11</v>
      </c>
      <c r="C14" s="48">
        <f t="shared" si="1"/>
        <v>2025</v>
      </c>
      <c r="D14" s="49">
        <f>FORECAST(B14,$D$4:$D$13,$B$4:$B$13)</f>
        <v>6747.7106666666668</v>
      </c>
      <c r="E14" s="50">
        <f t="shared" si="2"/>
        <v>-3.9944644108856453E-2</v>
      </c>
      <c r="G14" s="47">
        <f t="shared" si="3"/>
        <v>11</v>
      </c>
      <c r="H14" s="48">
        <f t="shared" si="3"/>
        <v>2025</v>
      </c>
      <c r="I14" s="49">
        <f>FORECAST(G14,$I$4:$I$13,$G$4:$G$13)</f>
        <v>1805.1006666666672</v>
      </c>
      <c r="J14" s="50">
        <f t="shared" si="4"/>
        <v>-2.3636593105437309E-2</v>
      </c>
      <c r="L14">
        <f t="shared" ref="L14:M14" si="14">L13+1</f>
        <v>11</v>
      </c>
      <c r="M14" s="40">
        <f t="shared" si="14"/>
        <v>2025</v>
      </c>
      <c r="N14" s="41">
        <f>FORECAST(L14,$N$4:$N$13,$L$4:$L$13)</f>
        <v>11.034545900243264</v>
      </c>
      <c r="O14" s="29">
        <f t="shared" si="6"/>
        <v>7.9284219226506414E-2</v>
      </c>
    </row>
    <row r="15" spans="2:15" x14ac:dyDescent="0.3">
      <c r="B15" s="47">
        <f t="shared" si="0"/>
        <v>12</v>
      </c>
      <c r="C15" s="48">
        <f t="shared" si="1"/>
        <v>2026</v>
      </c>
      <c r="D15" s="49">
        <f t="shared" ref="D15:D18" si="15">FORECAST(B15,$D$4:$D$13,$B$4:$B$13)</f>
        <v>7422.6676969696964</v>
      </c>
      <c r="E15" s="50">
        <f t="shared" si="2"/>
        <v>0.10002755951544895</v>
      </c>
      <c r="G15" s="47">
        <f t="shared" si="3"/>
        <v>12</v>
      </c>
      <c r="H15" s="48">
        <f t="shared" si="3"/>
        <v>2026</v>
      </c>
      <c r="I15" s="49">
        <f t="shared" ref="I15:I18" si="16">FORECAST(G15,$I$4:$I$13,$G$4:$G$13)</f>
        <v>2012.5873333333343</v>
      </c>
      <c r="J15" s="50">
        <f t="shared" si="4"/>
        <v>0.11494465128629971</v>
      </c>
      <c r="L15">
        <f t="shared" ref="L15:M15" si="17">L14+1</f>
        <v>12</v>
      </c>
      <c r="M15" s="40">
        <f t="shared" si="17"/>
        <v>2026</v>
      </c>
      <c r="N15" s="41">
        <f t="shared" ref="N15:N18" si="18">FORECAST(L15,$N$4:$N$13,$L$4:$L$13)</f>
        <v>12.471938826037329</v>
      </c>
      <c r="O15" s="29">
        <f t="shared" si="6"/>
        <v>0.13026298850797069</v>
      </c>
    </row>
    <row r="16" spans="2:15" x14ac:dyDescent="0.3">
      <c r="B16" s="47">
        <f t="shared" si="0"/>
        <v>13</v>
      </c>
      <c r="C16" s="48">
        <f t="shared" si="1"/>
        <v>2027</v>
      </c>
      <c r="D16" s="49">
        <f t="shared" si="15"/>
        <v>8097.6247272727269</v>
      </c>
      <c r="E16" s="50">
        <f t="shared" si="2"/>
        <v>9.0931866797510308E-2</v>
      </c>
      <c r="G16" s="47">
        <f t="shared" si="3"/>
        <v>13</v>
      </c>
      <c r="H16" s="48">
        <f t="shared" si="3"/>
        <v>2027</v>
      </c>
      <c r="I16" s="49">
        <f t="shared" si="16"/>
        <v>2220.074000000001</v>
      </c>
      <c r="J16" s="50">
        <f t="shared" si="4"/>
        <v>0.10309449097198597</v>
      </c>
      <c r="L16">
        <f t="shared" ref="L16:M16" si="19">L15+1</f>
        <v>13</v>
      </c>
      <c r="M16" s="40">
        <f t="shared" si="19"/>
        <v>2027</v>
      </c>
      <c r="N16" s="41">
        <f t="shared" si="18"/>
        <v>13.909331751831393</v>
      </c>
      <c r="O16" s="29">
        <f t="shared" si="6"/>
        <v>0.11525015844314912</v>
      </c>
    </row>
    <row r="17" spans="2:15" x14ac:dyDescent="0.3">
      <c r="B17" s="47">
        <f t="shared" si="0"/>
        <v>14</v>
      </c>
      <c r="C17" s="48">
        <f t="shared" si="1"/>
        <v>2028</v>
      </c>
      <c r="D17" s="49">
        <f t="shared" si="15"/>
        <v>8772.5817575757574</v>
      </c>
      <c r="E17" s="50">
        <f t="shared" si="2"/>
        <v>8.3352471006686857E-2</v>
      </c>
      <c r="G17" s="47">
        <f t="shared" si="3"/>
        <v>14</v>
      </c>
      <c r="H17" s="48">
        <f t="shared" si="3"/>
        <v>2028</v>
      </c>
      <c r="I17" s="49">
        <f t="shared" si="16"/>
        <v>2427.5606666666677</v>
      </c>
      <c r="J17" s="50">
        <f t="shared" si="4"/>
        <v>9.3459347150890659E-2</v>
      </c>
      <c r="L17">
        <f t="shared" ref="L17:M17" si="20">L16+1</f>
        <v>14</v>
      </c>
      <c r="M17" s="40">
        <f t="shared" si="20"/>
        <v>2028</v>
      </c>
      <c r="N17" s="41">
        <f t="shared" si="18"/>
        <v>15.346724677625454</v>
      </c>
      <c r="O17" s="29">
        <f t="shared" si="6"/>
        <v>0.10334018567101944</v>
      </c>
    </row>
    <row r="18" spans="2:15" x14ac:dyDescent="0.3">
      <c r="B18" s="47">
        <f t="shared" si="0"/>
        <v>15</v>
      </c>
      <c r="C18" s="48">
        <f t="shared" si="1"/>
        <v>2029</v>
      </c>
      <c r="D18" s="49">
        <f t="shared" si="15"/>
        <v>9447.5387878787878</v>
      </c>
      <c r="E18" s="50">
        <f t="shared" si="2"/>
        <v>7.6939383291601215E-2</v>
      </c>
      <c r="G18" s="47">
        <f t="shared" si="3"/>
        <v>15</v>
      </c>
      <c r="H18" s="48">
        <f t="shared" si="3"/>
        <v>2029</v>
      </c>
      <c r="I18" s="49">
        <f t="shared" si="16"/>
        <v>2635.0473333333343</v>
      </c>
      <c r="J18" s="50">
        <f t="shared" si="4"/>
        <v>8.547125907735631E-2</v>
      </c>
      <c r="L18">
        <f t="shared" ref="L18:M18" si="21">L17+1</f>
        <v>15</v>
      </c>
      <c r="M18" s="40">
        <f t="shared" si="21"/>
        <v>2029</v>
      </c>
      <c r="N18" s="41">
        <f t="shared" si="18"/>
        <v>16.784117603419517</v>
      </c>
      <c r="O18" s="29">
        <f t="shared" si="6"/>
        <v>9.3661218011533709E-2</v>
      </c>
    </row>
  </sheetData>
  <mergeCells count="3">
    <mergeCell ref="B2:E2"/>
    <mergeCell ref="G2:J2"/>
    <mergeCell ref="L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Profit &amp; Loss</vt:lpstr>
      <vt:lpstr>Quarters</vt:lpstr>
      <vt:lpstr>Balance Sheet</vt:lpstr>
      <vt:lpstr>Cash Flow</vt:lpstr>
      <vt:lpstr>Data&gt;</vt:lpstr>
      <vt:lpstr>Data Sheet</vt:lpstr>
      <vt:lpstr>Financials&gt;</vt:lpstr>
      <vt:lpstr>Historical FS</vt:lpstr>
      <vt:lpstr>Cash Flow Data</vt:lpstr>
      <vt:lpstr>Ratio Analysis</vt:lpstr>
      <vt:lpstr>Forecasting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Dell Laptop</cp:lastModifiedBy>
  <cp:lastPrinted>2012-12-06T18:14:13Z</cp:lastPrinted>
  <dcterms:created xsi:type="dcterms:W3CDTF">2012-08-17T09:55:37Z</dcterms:created>
  <dcterms:modified xsi:type="dcterms:W3CDTF">2025-06-17T21:54:49Z</dcterms:modified>
</cp:coreProperties>
</file>