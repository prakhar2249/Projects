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A7812A1-2872-4269-BB51-48E11F221420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&gt;" sheetId="9" r:id="rId6"/>
    <sheet name="Data Sheet" sheetId="6" r:id="rId7"/>
    <sheet name="Financials&gt;" sheetId="7" r:id="rId8"/>
    <sheet name="Historical FS" sheetId="8" r:id="rId9"/>
    <sheet name="Cash Flow Data" sheetId="10" r:id="rId10"/>
    <sheet name="Ratio Analysis" sheetId="11" r:id="rId11"/>
    <sheet name="Forecasting" sheetId="12" r:id="rId12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2" l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M30" i="11"/>
  <c r="K30" i="11"/>
  <c r="J29" i="11"/>
  <c r="J35" i="11" s="1"/>
  <c r="H29" i="11"/>
  <c r="H35" i="11" s="1"/>
  <c r="G28" i="11"/>
  <c r="G34" i="11" s="1"/>
  <c r="E28" i="11"/>
  <c r="E34" i="11" s="1"/>
  <c r="D31" i="11"/>
  <c r="D29" i="11"/>
  <c r="N21" i="8"/>
  <c r="M21" i="8"/>
  <c r="L21" i="8"/>
  <c r="K21" i="8"/>
  <c r="J21" i="8"/>
  <c r="I21" i="8"/>
  <c r="H21" i="8"/>
  <c r="G21" i="8"/>
  <c r="F21" i="8"/>
  <c r="E21" i="8"/>
  <c r="D21" i="8"/>
  <c r="B2" i="11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L60" i="8"/>
  <c r="K60" i="8"/>
  <c r="J60" i="8"/>
  <c r="I60" i="8"/>
  <c r="H60" i="8"/>
  <c r="G60" i="8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L54" i="8"/>
  <c r="K54" i="8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D52" i="8"/>
  <c r="D51" i="8"/>
  <c r="D50" i="8"/>
  <c r="D49" i="8"/>
  <c r="D48" i="8"/>
  <c r="M36" i="8"/>
  <c r="M41" i="8" s="1"/>
  <c r="L36" i="8"/>
  <c r="L41" i="8" s="1"/>
  <c r="K36" i="8"/>
  <c r="K41" i="8" s="1"/>
  <c r="J36" i="8"/>
  <c r="J41" i="8" s="1"/>
  <c r="I36" i="8"/>
  <c r="I41" i="8" s="1"/>
  <c r="H36" i="8"/>
  <c r="H41" i="8" s="1"/>
  <c r="G36" i="8"/>
  <c r="G41" i="8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H25" i="8" s="1"/>
  <c r="H18" i="11" s="1"/>
  <c r="G24" i="8"/>
  <c r="F24" i="8"/>
  <c r="E24" i="8"/>
  <c r="D24" i="8"/>
  <c r="N24" i="8"/>
  <c r="N14" i="8"/>
  <c r="M14" i="8"/>
  <c r="L14" i="8"/>
  <c r="K14" i="8"/>
  <c r="J14" i="8"/>
  <c r="I14" i="8"/>
  <c r="H14" i="8"/>
  <c r="H15" i="8" s="1"/>
  <c r="H17" i="11" s="1"/>
  <c r="G14" i="8"/>
  <c r="F14" i="8"/>
  <c r="E14" i="8"/>
  <c r="D14" i="8"/>
  <c r="N8" i="8"/>
  <c r="M8" i="8"/>
  <c r="M12" i="8" s="1"/>
  <c r="M11" i="11" s="1"/>
  <c r="L8" i="8"/>
  <c r="K8" i="8"/>
  <c r="J8" i="8"/>
  <c r="I8" i="8"/>
  <c r="H8" i="8"/>
  <c r="G8" i="8"/>
  <c r="F8" i="8"/>
  <c r="E8" i="8"/>
  <c r="D8" i="8"/>
  <c r="N5" i="8"/>
  <c r="N12" i="8" s="1"/>
  <c r="M5" i="8"/>
  <c r="L5" i="8"/>
  <c r="L12" i="8" s="1"/>
  <c r="L11" i="11" s="1"/>
  <c r="K5" i="8"/>
  <c r="K12" i="8" s="1"/>
  <c r="K11" i="11" s="1"/>
  <c r="J5" i="8"/>
  <c r="J30" i="11" s="1"/>
  <c r="I5" i="8"/>
  <c r="I30" i="11" s="1"/>
  <c r="H5" i="8"/>
  <c r="H30" i="11" s="1"/>
  <c r="G5" i="8"/>
  <c r="G29" i="11" s="1"/>
  <c r="G35" i="11" s="1"/>
  <c r="F5" i="8"/>
  <c r="F29" i="11" s="1"/>
  <c r="F35" i="11" s="1"/>
  <c r="E5" i="8"/>
  <c r="E29" i="11" s="1"/>
  <c r="E35" i="11" s="1"/>
  <c r="D5" i="8"/>
  <c r="D28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I6" i="1" s="1"/>
  <c r="I19" i="1" s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F18" i="2"/>
  <c r="G18" i="2"/>
  <c r="H18" i="2"/>
  <c r="I18" i="2"/>
  <c r="I21" i="2" s="1"/>
  <c r="J18" i="2"/>
  <c r="K18" i="2"/>
  <c r="K21" i="2" s="1"/>
  <c r="B17" i="2"/>
  <c r="C4" i="2"/>
  <c r="D4" i="2"/>
  <c r="E4" i="2"/>
  <c r="E5" i="2"/>
  <c r="F4" i="2"/>
  <c r="G4" i="2"/>
  <c r="H4" i="2"/>
  <c r="I4" i="2"/>
  <c r="I5" i="2"/>
  <c r="J4" i="2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H16" i="2" s="1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J12" i="3"/>
  <c r="K12" i="3"/>
  <c r="L12" i="1" s="1"/>
  <c r="L13" i="1" s="1"/>
  <c r="L14" i="1" s="1"/>
  <c r="L25" i="1" s="1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E4" i="1"/>
  <c r="E20" i="2" s="1"/>
  <c r="F4" i="1"/>
  <c r="G4" i="1"/>
  <c r="H4" i="1"/>
  <c r="I4" i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23" i="2" s="1"/>
  <c r="H12" i="1"/>
  <c r="I12" i="1"/>
  <c r="I13" i="1" s="1"/>
  <c r="J12" i="1"/>
  <c r="J13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6" i="1" s="1"/>
  <c r="B19" i="1" s="1"/>
  <c r="A1" i="1"/>
  <c r="E1" i="6"/>
  <c r="H1" i="1" s="1"/>
  <c r="E1" i="3"/>
  <c r="F23" i="2"/>
  <c r="C16" i="2"/>
  <c r="F16" i="2"/>
  <c r="H23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J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/>
  <c r="K20" i="2"/>
  <c r="D20" i="2"/>
  <c r="L6" i="1"/>
  <c r="L4" i="1"/>
  <c r="A1" i="3"/>
  <c r="A1" i="2"/>
  <c r="A1" i="4" s="1"/>
  <c r="H23" i="1"/>
  <c r="P28" i="11" l="1"/>
  <c r="D34" i="11"/>
  <c r="P29" i="11"/>
  <c r="J14" i="1"/>
  <c r="I23" i="1"/>
  <c r="I16" i="2"/>
  <c r="M15" i="8"/>
  <c r="M17" i="11" s="1"/>
  <c r="H22" i="8"/>
  <c r="D30" i="11"/>
  <c r="F28" i="11"/>
  <c r="F34" i="11" s="1"/>
  <c r="I29" i="11"/>
  <c r="I35" i="11" s="1"/>
  <c r="L30" i="11"/>
  <c r="E21" i="2"/>
  <c r="D35" i="11"/>
  <c r="P31" i="11"/>
  <c r="C23" i="2"/>
  <c r="G9" i="11"/>
  <c r="D12" i="8"/>
  <c r="D11" i="11" s="1"/>
  <c r="E27" i="11"/>
  <c r="E33" i="11" s="1"/>
  <c r="E36" i="11" s="1"/>
  <c r="H28" i="11"/>
  <c r="H34" i="11" s="1"/>
  <c r="K29" i="11"/>
  <c r="K35" i="11" s="1"/>
  <c r="E31" i="11"/>
  <c r="O31" i="11" s="1"/>
  <c r="H9" i="11"/>
  <c r="E12" i="8"/>
  <c r="E11" i="11" s="1"/>
  <c r="F27" i="11"/>
  <c r="F33" i="11" s="1"/>
  <c r="I28" i="11"/>
  <c r="I34" i="11" s="1"/>
  <c r="I36" i="11" s="1"/>
  <c r="L29" i="11"/>
  <c r="L35" i="11" s="1"/>
  <c r="F31" i="11"/>
  <c r="K23" i="2"/>
  <c r="G15" i="8"/>
  <c r="G17" i="11" s="1"/>
  <c r="G80" i="8"/>
  <c r="F12" i="8"/>
  <c r="F11" i="11" s="1"/>
  <c r="G27" i="11"/>
  <c r="G33" i="11" s="1"/>
  <c r="G36" i="11" s="1"/>
  <c r="J28" i="11"/>
  <c r="J34" i="11" s="1"/>
  <c r="M29" i="11"/>
  <c r="M35" i="11" s="1"/>
  <c r="G31" i="11"/>
  <c r="G12" i="8"/>
  <c r="G11" i="11" s="1"/>
  <c r="H27" i="11"/>
  <c r="H33" i="11" s="1"/>
  <c r="K28" i="11"/>
  <c r="K34" i="11" s="1"/>
  <c r="K36" i="11" s="1"/>
  <c r="E30" i="11"/>
  <c r="H31" i="11"/>
  <c r="E23" i="2"/>
  <c r="G13" i="1"/>
  <c r="G14" i="1" s="1"/>
  <c r="H12" i="8"/>
  <c r="H11" i="11" s="1"/>
  <c r="I27" i="11"/>
  <c r="I33" i="11" s="1"/>
  <c r="L28" i="11"/>
  <c r="L34" i="11" s="1"/>
  <c r="F30" i="11"/>
  <c r="I31" i="11"/>
  <c r="E1" i="2"/>
  <c r="C14" i="1"/>
  <c r="L9" i="11"/>
  <c r="I12" i="8"/>
  <c r="I11" i="11" s="1"/>
  <c r="J27" i="11"/>
  <c r="J33" i="11" s="1"/>
  <c r="M28" i="11"/>
  <c r="M34" i="11" s="1"/>
  <c r="G30" i="11"/>
  <c r="J31" i="11"/>
  <c r="G14" i="3"/>
  <c r="D16" i="2"/>
  <c r="D23" i="2"/>
  <c r="M9" i="11"/>
  <c r="J12" i="8"/>
  <c r="J11" i="11" s="1"/>
  <c r="K27" i="11"/>
  <c r="K33" i="11" s="1"/>
  <c r="K31" i="11"/>
  <c r="G6" i="1"/>
  <c r="G19" i="1" s="1"/>
  <c r="J20" i="2"/>
  <c r="H63" i="8"/>
  <c r="D27" i="11"/>
  <c r="L27" i="11"/>
  <c r="L33" i="11" s="1"/>
  <c r="L31" i="11"/>
  <c r="L23" i="1"/>
  <c r="C21" i="2"/>
  <c r="F20" i="2"/>
  <c r="L5" i="1"/>
  <c r="E14" i="3"/>
  <c r="M27" i="11"/>
  <c r="M33" i="11" s="1"/>
  <c r="M31" i="11"/>
  <c r="B15" i="12"/>
  <c r="D13" i="12"/>
  <c r="D12" i="12"/>
  <c r="D11" i="12"/>
  <c r="D10" i="12"/>
  <c r="D9" i="12"/>
  <c r="E9" i="12" s="1"/>
  <c r="D8" i="12"/>
  <c r="D7" i="12"/>
  <c r="D6" i="12"/>
  <c r="D5" i="12"/>
  <c r="E5" i="12" s="1"/>
  <c r="J9" i="11"/>
  <c r="K9" i="11"/>
  <c r="G63" i="8"/>
  <c r="L58" i="8"/>
  <c r="F80" i="8"/>
  <c r="H80" i="8"/>
  <c r="I63" i="8"/>
  <c r="G94" i="8"/>
  <c r="E105" i="8"/>
  <c r="G105" i="8"/>
  <c r="D58" i="8"/>
  <c r="J63" i="8"/>
  <c r="H94" i="8"/>
  <c r="F94" i="8"/>
  <c r="K80" i="8"/>
  <c r="I105" i="8"/>
  <c r="I107" i="8" s="1"/>
  <c r="M105" i="8"/>
  <c r="D94" i="8"/>
  <c r="E58" i="8"/>
  <c r="G58" i="8"/>
  <c r="K63" i="8"/>
  <c r="E94" i="8"/>
  <c r="N25" i="8"/>
  <c r="F9" i="11"/>
  <c r="F58" i="8"/>
  <c r="L63" i="8"/>
  <c r="D80" i="8"/>
  <c r="I80" i="8"/>
  <c r="L80" i="8"/>
  <c r="M63" i="8"/>
  <c r="J80" i="8"/>
  <c r="D105" i="8"/>
  <c r="H58" i="8"/>
  <c r="G107" i="8"/>
  <c r="I9" i="11"/>
  <c r="I58" i="8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L107" i="8" s="1"/>
  <c r="K94" i="8"/>
  <c r="H105" i="8"/>
  <c r="H107" i="8" s="1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I25" i="8"/>
  <c r="I18" i="11" s="1"/>
  <c r="N6" i="8"/>
  <c r="J22" i="8"/>
  <c r="J25" i="8"/>
  <c r="J18" i="11" s="1"/>
  <c r="K25" i="8"/>
  <c r="K18" i="11" s="1"/>
  <c r="J15" i="8"/>
  <c r="J17" i="11" s="1"/>
  <c r="D22" i="8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25" i="8"/>
  <c r="D18" i="11" s="1"/>
  <c r="M22" i="8"/>
  <c r="L22" i="8"/>
  <c r="I11" i="8"/>
  <c r="I17" i="8" s="1"/>
  <c r="F25" i="8"/>
  <c r="F18" i="11" s="1"/>
  <c r="D15" i="8"/>
  <c r="D17" i="11" s="1"/>
  <c r="E9" i="8"/>
  <c r="F15" i="8"/>
  <c r="F17" i="11" s="1"/>
  <c r="G9" i="8"/>
  <c r="I6" i="8"/>
  <c r="I5" i="11" s="1"/>
  <c r="I9" i="8"/>
  <c r="L25" i="8"/>
  <c r="L18" i="11" s="1"/>
  <c r="D9" i="8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6" i="8"/>
  <c r="E5" i="11" s="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M11" i="1"/>
  <c r="B14" i="1"/>
  <c r="L19" i="1"/>
  <c r="L24" i="1" s="1"/>
  <c r="G20" i="2"/>
  <c r="D6" i="1"/>
  <c r="D19" i="1" s="1"/>
  <c r="J16" i="2"/>
  <c r="G16" i="2"/>
  <c r="D13" i="1"/>
  <c r="E13" i="1" s="1"/>
  <c r="E14" i="1" s="1"/>
  <c r="I25" i="1" s="1"/>
  <c r="E24" i="2"/>
  <c r="L7" i="1"/>
  <c r="D14" i="3"/>
  <c r="D24" i="2"/>
  <c r="F21" i="2"/>
  <c r="K24" i="2"/>
  <c r="B14" i="3"/>
  <c r="G21" i="2"/>
  <c r="E6" i="1"/>
  <c r="E19" i="1" s="1"/>
  <c r="I24" i="1" s="1"/>
  <c r="I14" i="1"/>
  <c r="K25" i="1" s="1"/>
  <c r="M25" i="1" s="1"/>
  <c r="M14" i="1" s="1"/>
  <c r="C24" i="2"/>
  <c r="I23" i="2"/>
  <c r="J23" i="1"/>
  <c r="H21" i="2"/>
  <c r="B23" i="2"/>
  <c r="H14" i="1"/>
  <c r="C6" i="1"/>
  <c r="C19" i="1" s="1"/>
  <c r="L8" i="1"/>
  <c r="J24" i="2"/>
  <c r="B20" i="2"/>
  <c r="K14" i="3"/>
  <c r="I24" i="2"/>
  <c r="H24" i="1"/>
  <c r="H24" i="2"/>
  <c r="B16" i="2"/>
  <c r="G24" i="2"/>
  <c r="K24" i="1"/>
  <c r="L9" i="1"/>
  <c r="E16" i="2"/>
  <c r="F24" i="2"/>
  <c r="J25" i="1"/>
  <c r="M9" i="1"/>
  <c r="N9" i="1"/>
  <c r="N8" i="1"/>
  <c r="M8" i="1"/>
  <c r="I20" i="2"/>
  <c r="J24" i="1"/>
  <c r="H20" i="2"/>
  <c r="K23" i="1"/>
  <c r="H6" i="1"/>
  <c r="H19" i="1" s="1"/>
  <c r="F6" i="1"/>
  <c r="F19" i="1" s="1"/>
  <c r="E1" i="4"/>
  <c r="E38" i="11" l="1"/>
  <c r="E40" i="11"/>
  <c r="P27" i="11"/>
  <c r="O27" i="11"/>
  <c r="D33" i="11"/>
  <c r="G38" i="11"/>
  <c r="G40" i="11"/>
  <c r="I18" i="8"/>
  <c r="I12" i="11" s="1"/>
  <c r="I25" i="11"/>
  <c r="I21" i="11"/>
  <c r="I13" i="11"/>
  <c r="I19" i="11" s="1"/>
  <c r="M36" i="11"/>
  <c r="O11" i="11"/>
  <c r="P11" i="11"/>
  <c r="H65" i="8"/>
  <c r="H67" i="8" s="1"/>
  <c r="E6" i="11"/>
  <c r="E13" i="11"/>
  <c r="E19" i="11" s="1"/>
  <c r="E18" i="8"/>
  <c r="E12" i="11" s="1"/>
  <c r="E25" i="11"/>
  <c r="E21" i="11"/>
  <c r="J18" i="8"/>
  <c r="J12" i="11" s="1"/>
  <c r="J25" i="11"/>
  <c r="J21" i="11"/>
  <c r="J13" i="11"/>
  <c r="J19" i="11" s="1"/>
  <c r="H38" i="11"/>
  <c r="H39" i="11"/>
  <c r="H40" i="11"/>
  <c r="O35" i="11"/>
  <c r="P35" i="11"/>
  <c r="O34" i="11"/>
  <c r="P34" i="11"/>
  <c r="D36" i="11"/>
  <c r="O5" i="11"/>
  <c r="P5" i="11"/>
  <c r="L40" i="11"/>
  <c r="L38" i="11"/>
  <c r="F38" i="11"/>
  <c r="F40" i="11"/>
  <c r="O28" i="11"/>
  <c r="L18" i="8"/>
  <c r="L12" i="11" s="1"/>
  <c r="L25" i="11"/>
  <c r="L21" i="11"/>
  <c r="L13" i="11"/>
  <c r="L19" i="11" s="1"/>
  <c r="D40" i="11"/>
  <c r="D38" i="11"/>
  <c r="K40" i="11"/>
  <c r="K38" i="11"/>
  <c r="L36" i="11"/>
  <c r="J36" i="11"/>
  <c r="F36" i="11"/>
  <c r="M23" i="1"/>
  <c r="M4" i="1" s="1"/>
  <c r="D21" i="11"/>
  <c r="I4" i="12" a="1"/>
  <c r="D13" i="11"/>
  <c r="D18" i="8"/>
  <c r="D12" i="11" s="1"/>
  <c r="D25" i="11"/>
  <c r="O18" i="11"/>
  <c r="P18" i="11"/>
  <c r="G27" i="8"/>
  <c r="G18" i="8"/>
  <c r="G12" i="11" s="1"/>
  <c r="G25" i="11"/>
  <c r="G21" i="11"/>
  <c r="G13" i="11"/>
  <c r="G19" i="11" s="1"/>
  <c r="J40" i="11"/>
  <c r="J38" i="11"/>
  <c r="I38" i="11"/>
  <c r="I40" i="11"/>
  <c r="M25" i="11"/>
  <c r="M21" i="11"/>
  <c r="M13" i="11"/>
  <c r="M19" i="11" s="1"/>
  <c r="M18" i="8"/>
  <c r="M12" i="11" s="1"/>
  <c r="L65" i="8"/>
  <c r="L67" i="8" s="1"/>
  <c r="K18" i="8"/>
  <c r="K12" i="11" s="1"/>
  <c r="K25" i="11"/>
  <c r="K21" i="11"/>
  <c r="K13" i="11"/>
  <c r="K19" i="11" s="1"/>
  <c r="P9" i="11"/>
  <c r="O9" i="11"/>
  <c r="O30" i="11"/>
  <c r="P30" i="11"/>
  <c r="M24" i="1"/>
  <c r="M6" i="1" s="1"/>
  <c r="M10" i="1" s="1"/>
  <c r="M12" i="1" s="1"/>
  <c r="M13" i="1" s="1"/>
  <c r="M15" i="1" s="1"/>
  <c r="F6" i="11"/>
  <c r="F18" i="8"/>
  <c r="F12" i="11" s="1"/>
  <c r="F25" i="11"/>
  <c r="F21" i="11"/>
  <c r="F13" i="11"/>
  <c r="F19" i="11" s="1"/>
  <c r="O17" i="11"/>
  <c r="P17" i="11"/>
  <c r="H18" i="8"/>
  <c r="H12" i="11" s="1"/>
  <c r="H25" i="11"/>
  <c r="H21" i="11"/>
  <c r="H13" i="11"/>
  <c r="H19" i="11" s="1"/>
  <c r="M107" i="8"/>
  <c r="M40" i="11"/>
  <c r="M38" i="11"/>
  <c r="M39" i="11"/>
  <c r="I65" i="8"/>
  <c r="I67" i="8" s="1"/>
  <c r="H36" i="11"/>
  <c r="O29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G67" i="8" s="1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G28" i="8"/>
  <c r="G14" i="11" s="1"/>
  <c r="G33" i="8"/>
  <c r="G23" i="11" s="1"/>
  <c r="M27" i="8"/>
  <c r="M19" i="8"/>
  <c r="G31" i="8"/>
  <c r="D19" i="8"/>
  <c r="D27" i="8"/>
  <c r="N27" i="8"/>
  <c r="N19" i="8"/>
  <c r="L27" i="8"/>
  <c r="L19" i="8"/>
  <c r="K27" i="8"/>
  <c r="K19" i="8"/>
  <c r="F19" i="8"/>
  <c r="F27" i="8"/>
  <c r="G7" i="11" s="1"/>
  <c r="D14" i="1"/>
  <c r="H25" i="1" s="1"/>
  <c r="N25" i="1" s="1"/>
  <c r="N14" i="1" s="1"/>
  <c r="N24" i="1"/>
  <c r="N23" i="1"/>
  <c r="N4" i="1" s="1"/>
  <c r="O13" i="11" l="1"/>
  <c r="D19" i="11"/>
  <c r="P13" i="11"/>
  <c r="P40" i="11"/>
  <c r="O40" i="11"/>
  <c r="I4" i="12"/>
  <c r="I6" i="12"/>
  <c r="J6" i="12" s="1"/>
  <c r="I7" i="12"/>
  <c r="I11" i="12"/>
  <c r="I9" i="12"/>
  <c r="J9" i="12" s="1"/>
  <c r="I5" i="12"/>
  <c r="J5" i="12" s="1"/>
  <c r="I10" i="12"/>
  <c r="I13" i="12"/>
  <c r="I8" i="12"/>
  <c r="I12" i="12"/>
  <c r="J12" i="12" s="1"/>
  <c r="J39" i="11"/>
  <c r="O21" i="11"/>
  <c r="P21" i="11"/>
  <c r="P36" i="11"/>
  <c r="O36" i="11"/>
  <c r="G39" i="11"/>
  <c r="O6" i="11"/>
  <c r="P6" i="11"/>
  <c r="O33" i="11"/>
  <c r="P33" i="11"/>
  <c r="F39" i="11"/>
  <c r="K39" i="11"/>
  <c r="N6" i="1"/>
  <c r="N10" i="1" s="1"/>
  <c r="N12" i="1" s="1"/>
  <c r="N13" i="1" s="1"/>
  <c r="I39" i="11"/>
  <c r="P25" i="11"/>
  <c r="O25" i="11"/>
  <c r="P38" i="11"/>
  <c r="O38" i="11"/>
  <c r="E39" i="11"/>
  <c r="O12" i="11"/>
  <c r="P12" i="11"/>
  <c r="D39" i="11"/>
  <c r="L39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28" i="8"/>
  <c r="D14" i="11" s="1"/>
  <c r="D31" i="8"/>
  <c r="N15" i="1"/>
  <c r="M5" i="1"/>
  <c r="J10" i="12" l="1"/>
  <c r="O23" i="11"/>
  <c r="J11" i="12"/>
  <c r="K8" i="11"/>
  <c r="K23" i="11"/>
  <c r="P23" i="11" s="1"/>
  <c r="J7" i="12"/>
  <c r="I15" i="12"/>
  <c r="I17" i="12"/>
  <c r="I14" i="12"/>
  <c r="J14" i="12" s="1"/>
  <c r="I18" i="12"/>
  <c r="J18" i="12" s="1"/>
  <c r="I16" i="12"/>
  <c r="J16" i="12" s="1"/>
  <c r="O14" i="11"/>
  <c r="P14" i="11"/>
  <c r="J8" i="12"/>
  <c r="O19" i="11"/>
  <c r="P19" i="11"/>
  <c r="N5" i="1"/>
  <c r="P7" i="11"/>
  <c r="O7" i="11"/>
  <c r="P39" i="11"/>
  <c r="O39" i="11"/>
  <c r="J13" i="12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34" i="8"/>
  <c r="D15" i="11" s="1"/>
  <c r="D38" i="8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J17" i="12" l="1"/>
  <c r="J15" i="12"/>
  <c r="O15" i="11"/>
  <c r="P15" i="11"/>
  <c r="P8" i="11"/>
  <c r="O8" i="11"/>
  <c r="N4" i="12" a="1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39" i="8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N8" i="12" l="1"/>
  <c r="N7" i="12"/>
  <c r="N13" i="12"/>
  <c r="N4" i="12"/>
  <c r="N12" i="12"/>
  <c r="N9" i="12"/>
  <c r="O9" i="12" s="1"/>
  <c r="N6" i="12"/>
  <c r="N11" i="12"/>
  <c r="O11" i="12" s="1"/>
  <c r="N10" i="12"/>
  <c r="N5" i="12"/>
  <c r="D24" i="11"/>
  <c r="P22" i="11"/>
  <c r="O22" i="11"/>
  <c r="N14" i="12" l="1"/>
  <c r="O14" i="12" s="1"/>
  <c r="N15" i="12"/>
  <c r="O15" i="12" s="1"/>
  <c r="N16" i="12"/>
  <c r="O16" i="12" s="1"/>
  <c r="N17" i="12"/>
  <c r="O17" i="12" s="1"/>
  <c r="N18" i="12"/>
  <c r="O18" i="12" s="1"/>
  <c r="P24" i="11"/>
  <c r="O24" i="11"/>
  <c r="O5" i="12"/>
  <c r="O6" i="12"/>
  <c r="O13" i="12"/>
  <c r="O10" i="12"/>
  <c r="O12" i="12"/>
  <c r="O7" i="12"/>
  <c r="O8" i="12"/>
</calcChain>
</file>

<file path=xl/sharedStrings.xml><?xml version="1.0" encoding="utf-8"?>
<sst xmlns="http://schemas.openxmlformats.org/spreadsheetml/2006/main" count="310" uniqueCount="192">
  <si>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</si>
  <si>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</si>
  <si>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</si>
  <si>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</si>
  <si>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</si>
  <si>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</si>
  <si>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</si>
  <si>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</si>
  <si>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</si>
  <si>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</si>
  <si>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</si>
  <si>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</si>
  <si>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</si>
  <si>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</si>
  <si>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</si>
  <si>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</si>
  <si>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</si>
  <si>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</si>
  <si>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</si>
  <si>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</si>
  <si>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</si>
  <si>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</si>
  <si>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</si>
  <si>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</si>
  <si>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</si>
  <si>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</si>
  <si>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</si>
  <si>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</si>
  <si>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</si>
  <si>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</si>
  <si>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</si>
  <si>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</si>
  <si>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</si>
  <si>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</si>
  <si>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</si>
  <si>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</si>
  <si>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</si>
  <si>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</si>
  <si>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</si>
  <si>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</si>
  <si>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</si>
  <si>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</si>
  <si>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</si>
  <si>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</si>
  <si>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</si>
  <si>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</si>
  <si>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</si>
  <si>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</si>
  <si>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</si>
  <si>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</si>
  <si>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</si>
  <si>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</si>
  <si>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</si>
  <si>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</si>
  <si>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</si>
  <si>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</si>
  <si>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</si>
  <si>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</si>
  <si>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</si>
  <si>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</si>
  <si>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</si>
  <si>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</si>
  <si>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</si>
  <si>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METROPOLIS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</si>
  <si>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</si>
  <si>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</si>
  <si>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</si>
  <si>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</si>
  <si>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</si>
  <si>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</si>
  <si>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</si>
  <si>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</si>
  <si>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</si>
  <si>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</si>
  <si>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</si>
  <si>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</si>
  <si>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</si>
  <si>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</si>
  <si>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</si>
  <si>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</si>
  <si>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</si>
  <si>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</si>
  <si>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</si>
  <si>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</si>
  <si>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</si>
  <si>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</si>
  <si>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</si>
  <si>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</si>
  <si>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</si>
  <si>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</si>
  <si>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</si>
  <si>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</si>
  <si>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</si>
  <si>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G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</si>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</sst>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dashDotDot">
        <color rgb="FF002060"/>
      </top>
      <bottom style="dashDotDot">
        <color rgb="FF002060"/>
      </bottom>
      <diagonal/>
    </border>
    <border>
      <left/>
      <right/>
      <top style="dashDotDot">
        <color rgb="FF002060"/>
      </top>
      <bottom/>
      <diagonal/>
    </border>
    <border>
      <left/>
      <right/>
      <top/>
      <bottom style="dashDot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9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10" fillId="6" borderId="0" xfId="0" applyFont="1" applyFill="1"/>
    <xf numFmtId="17" fontId="10" fillId="6" borderId="0" xfId="0" applyNumberFormat="1" applyFont="1" applyFill="1"/>
    <xf numFmtId="0" fontId="10" fillId="6" borderId="0" xfId="0" applyFont="1" applyFill="1" applyAlignment="1">
      <alignment horizontal="right"/>
    </xf>
    <xf numFmtId="166" fontId="0" fillId="0" borderId="0" xfId="0" applyNumberFormat="1"/>
    <xf numFmtId="0" fontId="11" fillId="0" borderId="0" xfId="0" applyFont="1"/>
    <xf numFmtId="167" fontId="11" fillId="0" borderId="0" xfId="6" applyNumberFormat="1" applyFont="1"/>
    <xf numFmtId="168" fontId="0" fillId="0" borderId="0" xfId="0" applyNumberFormat="1"/>
    <xf numFmtId="10" fontId="11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10" fillId="6" borderId="0" xfId="0" applyNumberFormat="1" applyFont="1" applyFill="1" applyAlignment="1">
      <alignment horizontal="right"/>
    </xf>
    <xf numFmtId="172" fontId="0" fillId="0" borderId="0" xfId="0" applyNumberFormat="1"/>
    <xf numFmtId="173" fontId="0" fillId="0" borderId="0" xfId="0" applyNumberFormat="1"/>
    <xf numFmtId="4" fontId="0" fillId="0" borderId="0" xfId="0" applyNumberFormat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12" fillId="6" borderId="0" xfId="0" applyFont="1" applyFill="1" applyAlignment="1">
      <alignment horizontal="center" vertical="center"/>
    </xf>
    <xf numFmtId="0" fontId="0" fillId="0" borderId="2" xfId="0" applyBorder="1"/>
    <xf numFmtId="10" fontId="0" fillId="0" borderId="2" xfId="6" applyNumberFormat="1" applyFont="1" applyBorder="1"/>
    <xf numFmtId="0" fontId="0" fillId="0" borderId="0" xfId="0" applyBorder="1"/>
    <xf numFmtId="0" fontId="0" fillId="0" borderId="3" xfId="0" applyBorder="1"/>
    <xf numFmtId="10" fontId="0" fillId="0" borderId="3" xfId="6" applyNumberFormat="1" applyFont="1" applyBorder="1"/>
    <xf numFmtId="169" fontId="0" fillId="0" borderId="3" xfId="0" applyNumberFormat="1" applyBorder="1"/>
    <xf numFmtId="169" fontId="0" fillId="0" borderId="2" xfId="0" applyNumberFormat="1" applyBorder="1"/>
    <xf numFmtId="169" fontId="0" fillId="0" borderId="0" xfId="0" applyNumberFormat="1" applyBorder="1"/>
    <xf numFmtId="1" fontId="0" fillId="0" borderId="2" xfId="0" applyNumberFormat="1" applyBorder="1"/>
    <xf numFmtId="1" fontId="0" fillId="0" borderId="0" xfId="0" applyNumberFormat="1" applyBorder="1"/>
    <xf numFmtId="1" fontId="0" fillId="0" borderId="3" xfId="0" applyNumberFormat="1" applyBorder="1"/>
    <xf numFmtId="17" fontId="5" fillId="7" borderId="0" xfId="0" applyNumberFormat="1" applyFont="1" applyFill="1"/>
    <xf numFmtId="3" fontId="13" fillId="0" borderId="0" xfId="0" applyNumberFormat="1" applyFont="1"/>
    <xf numFmtId="0" fontId="13" fillId="0" borderId="0" xfId="0" applyFont="1"/>
    <xf numFmtId="0" fontId="1" fillId="8" borderId="0" xfId="0" applyFont="1" applyFill="1"/>
    <xf numFmtId="0" fontId="0" fillId="8" borderId="0" xfId="0" applyFill="1"/>
    <xf numFmtId="0" fontId="12" fillId="6" borderId="0" xfId="0" applyFont="1" applyFill="1" applyAlignment="1">
      <alignment horizontal="center"/>
    </xf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1" xfId="1" applyFont="1" applyBorder="1"/>
    <xf numFmtId="0" fontId="0" fillId="0" borderId="1" xfId="0" applyBorder="1"/>
    <xf numFmtId="43" fontId="1" fillId="0" borderId="4" xfId="1" applyFont="1" applyBorder="1"/>
    <xf numFmtId="0" fontId="0" fillId="0" borderId="4" xfId="0" applyBorder="1"/>
    <xf numFmtId="166" fontId="1" fillId="0" borderId="4" xfId="0" applyNumberFormat="1" applyFont="1" applyBorder="1"/>
    <xf numFmtId="0" fontId="1" fillId="0" borderId="4" xfId="0" applyFont="1" applyBorder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METROPOLIS HEALTHCARE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475.47</v>
      </c>
      <c r="C4" s="1">
        <f>'Data Sheet'!C17</f>
        <v>544.72</v>
      </c>
      <c r="D4" s="1">
        <f>'Data Sheet'!D17</f>
        <v>647.16</v>
      </c>
      <c r="E4" s="1">
        <f>'Data Sheet'!E17</f>
        <v>761.18</v>
      </c>
      <c r="F4" s="1">
        <f>'Data Sheet'!F17</f>
        <v>856.41</v>
      </c>
      <c r="G4" s="1">
        <f>'Data Sheet'!G17</f>
        <v>997.99</v>
      </c>
      <c r="H4" s="1">
        <f>'Data Sheet'!H17</f>
        <v>1228.3399999999999</v>
      </c>
      <c r="I4" s="1">
        <f>'Data Sheet'!I17</f>
        <v>1148.21</v>
      </c>
      <c r="J4" s="1">
        <f>'Data Sheet'!J17</f>
        <v>1207.71</v>
      </c>
      <c r="K4" s="1">
        <f>'Data Sheet'!K17</f>
        <v>1331.2</v>
      </c>
      <c r="L4" s="1">
        <f>SUM(Quarters!H4:K4)</f>
        <v>1331.21</v>
      </c>
      <c r="M4" s="1">
        <f>$K4+M23*K4</f>
        <v>1467.3170214703862</v>
      </c>
      <c r="N4" s="1">
        <f>$K4+N23*L4</f>
        <v>1367.3665978114143</v>
      </c>
    </row>
    <row r="5" spans="1:14" x14ac:dyDescent="0.3">
      <c r="A5" t="s">
        <v>7</v>
      </c>
      <c r="B5" s="6">
        <f>SUM('Data Sheet'!B18,'Data Sheet'!B20:B24, -1*'Data Sheet'!B19)</f>
        <v>359.18</v>
      </c>
      <c r="C5" s="6">
        <f>SUM('Data Sheet'!C18,'Data Sheet'!C20:C24, -1*'Data Sheet'!C19)</f>
        <v>404.52</v>
      </c>
      <c r="D5" s="6">
        <f>SUM('Data Sheet'!D18,'Data Sheet'!D20:D24, -1*'Data Sheet'!D19)</f>
        <v>466.59000000000003</v>
      </c>
      <c r="E5" s="6">
        <f>SUM('Data Sheet'!E18,'Data Sheet'!E20:E24, -1*'Data Sheet'!E19)</f>
        <v>558.61</v>
      </c>
      <c r="F5" s="6">
        <f>SUM('Data Sheet'!F18,'Data Sheet'!F20:F24, -1*'Data Sheet'!F19)</f>
        <v>619.20000000000005</v>
      </c>
      <c r="G5" s="6">
        <f>SUM('Data Sheet'!G18,'Data Sheet'!G20:G24, -1*'Data Sheet'!G19)</f>
        <v>708.19999999999993</v>
      </c>
      <c r="H5" s="6">
        <f>SUM('Data Sheet'!H18,'Data Sheet'!H20:H24, -1*'Data Sheet'!H19)</f>
        <v>880.26</v>
      </c>
      <c r="I5" s="6">
        <f>SUM('Data Sheet'!I18,'Data Sheet'!I20:I24, -1*'Data Sheet'!I19)</f>
        <v>854.86</v>
      </c>
      <c r="J5" s="6">
        <f>SUM('Data Sheet'!J18,'Data Sheet'!J20:J24, -1*'Data Sheet'!J19)</f>
        <v>919.78</v>
      </c>
      <c r="K5" s="6">
        <f>SUM('Data Sheet'!K18,'Data Sheet'!K20:K24, -1*'Data Sheet'!K19)</f>
        <v>1028.21</v>
      </c>
      <c r="L5" s="6">
        <f>SUM(Quarters!H5:K5)</f>
        <v>1028.23</v>
      </c>
      <c r="M5" s="6">
        <f t="shared" ref="M5:N5" si="0">M4-M6</f>
        <v>1115.4151515622686</v>
      </c>
      <c r="N5" s="6">
        <f t="shared" si="0"/>
        <v>1056.1574483872796</v>
      </c>
    </row>
    <row r="6" spans="1:14" s="2" customFormat="1" x14ac:dyDescent="0.3">
      <c r="A6" s="2" t="s">
        <v>8</v>
      </c>
      <c r="B6" s="1">
        <f>B4-B5</f>
        <v>116.29000000000002</v>
      </c>
      <c r="C6" s="1">
        <f t="shared" ref="C6:K6" si="1">C4-C5</f>
        <v>140.20000000000005</v>
      </c>
      <c r="D6" s="1">
        <f t="shared" si="1"/>
        <v>180.56999999999994</v>
      </c>
      <c r="E6" s="1">
        <f t="shared" si="1"/>
        <v>202.56999999999994</v>
      </c>
      <c r="F6" s="1">
        <f t="shared" si="1"/>
        <v>237.20999999999992</v>
      </c>
      <c r="G6" s="1">
        <f t="shared" si="1"/>
        <v>289.79000000000008</v>
      </c>
      <c r="H6" s="1">
        <f t="shared" si="1"/>
        <v>348.07999999999993</v>
      </c>
      <c r="I6" s="1">
        <f t="shared" si="1"/>
        <v>293.35000000000002</v>
      </c>
      <c r="J6" s="1">
        <f t="shared" si="1"/>
        <v>287.93000000000006</v>
      </c>
      <c r="K6" s="1">
        <f t="shared" si="1"/>
        <v>302.99</v>
      </c>
      <c r="L6" s="1">
        <f>SUM(Quarters!H6:K6)</f>
        <v>302.98</v>
      </c>
      <c r="M6" s="1">
        <f>M4*M24</f>
        <v>351.90186990811759</v>
      </c>
      <c r="N6" s="1">
        <f>N4*N24</f>
        <v>311.20914942413464</v>
      </c>
    </row>
    <row r="7" spans="1:14" x14ac:dyDescent="0.3">
      <c r="A7" t="s">
        <v>9</v>
      </c>
      <c r="B7" s="6">
        <f>'Data Sheet'!B25</f>
        <v>29.47</v>
      </c>
      <c r="C7" s="6">
        <f>'Data Sheet'!C25</f>
        <v>38.89</v>
      </c>
      <c r="D7" s="6">
        <f>'Data Sheet'!D25</f>
        <v>5.67</v>
      </c>
      <c r="E7" s="6">
        <f>'Data Sheet'!E25</f>
        <v>8.17</v>
      </c>
      <c r="F7" s="6">
        <f>'Data Sheet'!F25</f>
        <v>-16.559999999999999</v>
      </c>
      <c r="G7" s="6">
        <f>'Data Sheet'!G25</f>
        <v>12.04</v>
      </c>
      <c r="H7" s="6">
        <f>'Data Sheet'!H25</f>
        <v>33.51</v>
      </c>
      <c r="I7" s="6">
        <f>'Data Sheet'!I25</f>
        <v>15.22</v>
      </c>
      <c r="J7" s="6">
        <f>'Data Sheet'!J25</f>
        <v>9.1199999999999992</v>
      </c>
      <c r="K7" s="6">
        <f>'Data Sheet'!K25</f>
        <v>15.11</v>
      </c>
      <c r="L7" s="6">
        <f>SUM(Quarters!H7:K7)</f>
        <v>15.120000000000001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16.64</v>
      </c>
      <c r="C8" s="6">
        <f>'Data Sheet'!C26</f>
        <v>17.23</v>
      </c>
      <c r="D8" s="6">
        <f>'Data Sheet'!D26</f>
        <v>19.02</v>
      </c>
      <c r="E8" s="6">
        <f>'Data Sheet'!E26</f>
        <v>20.07</v>
      </c>
      <c r="F8" s="6">
        <f>'Data Sheet'!F26</f>
        <v>39.270000000000003</v>
      </c>
      <c r="G8" s="6">
        <f>'Data Sheet'!G26</f>
        <v>45.94</v>
      </c>
      <c r="H8" s="6">
        <f>'Data Sheet'!H26</f>
        <v>63.22</v>
      </c>
      <c r="I8" s="6">
        <f>'Data Sheet'!I26</f>
        <v>89.22</v>
      </c>
      <c r="J8" s="6">
        <f>'Data Sheet'!J26</f>
        <v>94.47</v>
      </c>
      <c r="K8" s="6">
        <f>'Data Sheet'!K26</f>
        <v>108.68</v>
      </c>
      <c r="L8" s="6">
        <f>SUM(Quarters!H8:K8)</f>
        <v>108.68</v>
      </c>
      <c r="M8" s="6">
        <f>+$L8</f>
        <v>108.68</v>
      </c>
      <c r="N8" s="6">
        <f>+$L8</f>
        <v>108.68</v>
      </c>
    </row>
    <row r="9" spans="1:14" x14ac:dyDescent="0.3">
      <c r="A9" t="s">
        <v>11</v>
      </c>
      <c r="B9" s="6">
        <f>'Data Sheet'!B27</f>
        <v>1.6</v>
      </c>
      <c r="C9" s="6">
        <f>'Data Sheet'!C27</f>
        <v>1.94</v>
      </c>
      <c r="D9" s="6">
        <f>'Data Sheet'!D27</f>
        <v>3.54</v>
      </c>
      <c r="E9" s="6">
        <f>'Data Sheet'!E27</f>
        <v>4.12</v>
      </c>
      <c r="F9" s="6">
        <f>'Data Sheet'!F27</f>
        <v>12.65</v>
      </c>
      <c r="G9" s="6">
        <f>'Data Sheet'!G27</f>
        <v>11.56</v>
      </c>
      <c r="H9" s="6">
        <f>'Data Sheet'!H27</f>
        <v>25.02</v>
      </c>
      <c r="I9" s="6">
        <f>'Data Sheet'!I27</f>
        <v>31.85</v>
      </c>
      <c r="J9" s="6">
        <f>'Data Sheet'!J27</f>
        <v>27.89</v>
      </c>
      <c r="K9" s="6">
        <f>'Data Sheet'!K27</f>
        <v>18.57</v>
      </c>
      <c r="L9" s="6">
        <f>SUM(Quarters!H9:K9)</f>
        <v>18.57</v>
      </c>
      <c r="M9" s="6">
        <f>+$L9</f>
        <v>18.57</v>
      </c>
      <c r="N9" s="6">
        <f>+$L9</f>
        <v>18.57</v>
      </c>
    </row>
    <row r="10" spans="1:14" x14ac:dyDescent="0.3">
      <c r="A10" t="s">
        <v>12</v>
      </c>
      <c r="B10" s="6">
        <f>'Data Sheet'!B28</f>
        <v>127.52</v>
      </c>
      <c r="C10" s="6">
        <f>'Data Sheet'!C28</f>
        <v>159.91999999999999</v>
      </c>
      <c r="D10" s="6">
        <f>'Data Sheet'!D28</f>
        <v>163.68</v>
      </c>
      <c r="E10" s="6">
        <f>'Data Sheet'!E28</f>
        <v>186.55</v>
      </c>
      <c r="F10" s="6">
        <f>'Data Sheet'!F28</f>
        <v>168.73</v>
      </c>
      <c r="G10" s="6">
        <f>'Data Sheet'!G28</f>
        <v>244.33</v>
      </c>
      <c r="H10" s="6">
        <f>'Data Sheet'!H28</f>
        <v>293.35000000000002</v>
      </c>
      <c r="I10" s="6">
        <f>'Data Sheet'!I28</f>
        <v>187.5</v>
      </c>
      <c r="J10" s="6">
        <f>'Data Sheet'!J28</f>
        <v>174.69</v>
      </c>
      <c r="K10" s="6">
        <f>'Data Sheet'!K28</f>
        <v>190.85</v>
      </c>
      <c r="L10" s="6">
        <f>SUM(Quarters!H10:K10)</f>
        <v>190.85000000000002</v>
      </c>
      <c r="M10" s="6">
        <f>M6+M7-SUM(M8:M9)</f>
        <v>224.65186990811759</v>
      </c>
      <c r="N10" s="6">
        <f>N6+N7-SUM(N8:N9)</f>
        <v>183.95914942413464</v>
      </c>
    </row>
    <row r="11" spans="1:14" x14ac:dyDescent="0.3">
      <c r="A11" t="s">
        <v>13</v>
      </c>
      <c r="B11" s="6">
        <f>'Data Sheet'!B29</f>
        <v>45.57</v>
      </c>
      <c r="C11" s="6">
        <f>'Data Sheet'!C29</f>
        <v>52.66</v>
      </c>
      <c r="D11" s="6">
        <f>'Data Sheet'!D29</f>
        <v>51.84</v>
      </c>
      <c r="E11" s="6">
        <f>'Data Sheet'!E29</f>
        <v>62.94</v>
      </c>
      <c r="F11" s="6">
        <f>'Data Sheet'!F29</f>
        <v>41.18</v>
      </c>
      <c r="G11" s="6">
        <f>'Data Sheet'!G29</f>
        <v>60.97</v>
      </c>
      <c r="H11" s="6">
        <f>'Data Sheet'!H29</f>
        <v>78.66</v>
      </c>
      <c r="I11" s="6">
        <f>'Data Sheet'!I29</f>
        <v>44.11</v>
      </c>
      <c r="J11" s="6">
        <f>'Data Sheet'!J29</f>
        <v>46.23</v>
      </c>
      <c r="K11" s="6">
        <f>'Data Sheet'!K29</f>
        <v>45.34</v>
      </c>
      <c r="L11" s="6">
        <f>SUM(Quarters!H11:K11)</f>
        <v>45.339999999999996</v>
      </c>
      <c r="M11" s="7">
        <f>IF($L10&gt;0,$L11/$L10,0)</f>
        <v>0.23756877128635048</v>
      </c>
      <c r="N11" s="7">
        <f>IF($L10&gt;0,$L11/$L10,0)</f>
        <v>0.23756877128635048</v>
      </c>
    </row>
    <row r="12" spans="1:14" s="2" customFormat="1" x14ac:dyDescent="0.3">
      <c r="A12" s="2" t="s">
        <v>14</v>
      </c>
      <c r="B12" s="1">
        <f>'Data Sheet'!B30</f>
        <v>76.8</v>
      </c>
      <c r="C12" s="1">
        <f>'Data Sheet'!C30</f>
        <v>101.66</v>
      </c>
      <c r="D12" s="1">
        <f>'Data Sheet'!D30</f>
        <v>104.24</v>
      </c>
      <c r="E12" s="1">
        <f>'Data Sheet'!E30</f>
        <v>120.15</v>
      </c>
      <c r="F12" s="1">
        <f>'Data Sheet'!F30</f>
        <v>127.33</v>
      </c>
      <c r="G12" s="1">
        <f>'Data Sheet'!G30</f>
        <v>183.1</v>
      </c>
      <c r="H12" s="1">
        <f>'Data Sheet'!H30</f>
        <v>214.18</v>
      </c>
      <c r="I12" s="1">
        <f>'Data Sheet'!I30</f>
        <v>142.88</v>
      </c>
      <c r="J12" s="1">
        <f>'Data Sheet'!J30</f>
        <v>127.82</v>
      </c>
      <c r="K12" s="1">
        <f>'Data Sheet'!K30</f>
        <v>144.97</v>
      </c>
      <c r="L12" s="1">
        <f>SUM(Quarters!H12:K12)</f>
        <v>144.97</v>
      </c>
      <c r="M12" s="1">
        <f>M10-M11*M10</f>
        <v>171.28160120686505</v>
      </c>
      <c r="N12" s="1">
        <f>N10-N11*N10</f>
        <v>140.25620032856082</v>
      </c>
    </row>
    <row r="13" spans="1:14" x14ac:dyDescent="0.3">
      <c r="A13" t="s">
        <v>57</v>
      </c>
      <c r="B13" s="6">
        <f>IF('Data Sheet'!B93&gt;0,B12/'Data Sheet'!B93,0)</f>
        <v>80.84210526315789</v>
      </c>
      <c r="C13" s="6">
        <f>IF('Data Sheet'!C93&gt;0,C12/'Data Sheet'!C93,0)</f>
        <v>107.01052631578948</v>
      </c>
      <c r="D13" s="6">
        <f>IF('Data Sheet'!D93&gt;0,D12/'Data Sheet'!D93,0)</f>
        <v>109.72631578947369</v>
      </c>
      <c r="E13" s="6">
        <f>IF('Data Sheet'!E93&gt;0,E12/'Data Sheet'!E93,0)</f>
        <v>23.934262948207174</v>
      </c>
      <c r="F13" s="6">
        <f>IF('Data Sheet'!F93&gt;0,F12/'Data Sheet'!F93,0)</f>
        <v>25.164031620553363</v>
      </c>
      <c r="G13" s="6">
        <f>IF('Data Sheet'!G93&gt;0,G12/'Data Sheet'!G93,0)</f>
        <v>35.831702544031309</v>
      </c>
      <c r="H13" s="6">
        <f>IF('Data Sheet'!H93&gt;0,H12/'Data Sheet'!H93,0)</f>
        <v>41.83203125</v>
      </c>
      <c r="I13" s="6">
        <f>IF('Data Sheet'!I93&gt;0,I12/'Data Sheet'!I93,0)</f>
        <v>27.90625</v>
      </c>
      <c r="J13" s="6">
        <f>IF('Data Sheet'!J93&gt;0,J12/'Data Sheet'!J93,0)</f>
        <v>24.964843749999996</v>
      </c>
      <c r="K13" s="6">
        <f>IF('Data Sheet'!K93&gt;0,K12/'Data Sheet'!K93,0)</f>
        <v>27.986486486486488</v>
      </c>
      <c r="L13" s="6">
        <f>IF('Data Sheet'!$B6&gt;0,'Profit &amp; Loss'!L12/'Data Sheet'!$B6,0)</f>
        <v>27.922976769552289</v>
      </c>
      <c r="M13" s="6">
        <f>IF('Data Sheet'!$B6&gt;0,'Profit &amp; Loss'!M12/'Data Sheet'!$B6,0)</f>
        <v>32.990909647175357</v>
      </c>
      <c r="N13" s="6">
        <f>IF('Data Sheet'!$B6&gt;0,'Profit &amp; Loss'!N12/'Data Sheet'!$B6,0)</f>
        <v>27.015041895289205</v>
      </c>
    </row>
    <row r="14" spans="1:14" x14ac:dyDescent="0.3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>
        <f t="shared" si="2"/>
        <v>51.043092751119133</v>
      </c>
      <c r="G14" s="6">
        <f t="shared" si="2"/>
        <v>62.547962861824139</v>
      </c>
      <c r="H14" s="6">
        <f t="shared" si="2"/>
        <v>48.664861331590252</v>
      </c>
      <c r="I14" s="6">
        <f t="shared" si="2"/>
        <v>44.731914893617017</v>
      </c>
      <c r="J14" s="6">
        <f t="shared" si="2"/>
        <v>69.041089031450483</v>
      </c>
      <c r="K14" s="6">
        <f t="shared" si="2"/>
        <v>55.903766296475126</v>
      </c>
      <c r="L14" s="6">
        <f t="shared" ref="L14" si="3">IF(L13&gt;0,L15/L13,0)</f>
        <v>60.964130509760629</v>
      </c>
      <c r="M14" s="6">
        <f>M25</f>
        <v>60.964130509760629</v>
      </c>
      <c r="N14" s="6">
        <f>N25</f>
        <v>56.128116810833831</v>
      </c>
    </row>
    <row r="15" spans="1:14" s="2" customFormat="1" x14ac:dyDescent="0.3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1284.45</v>
      </c>
      <c r="G15" s="1">
        <f>'Data Sheet'!G90</f>
        <v>2241.1999999999998</v>
      </c>
      <c r="H15" s="1">
        <f>'Data Sheet'!H90</f>
        <v>2035.75</v>
      </c>
      <c r="I15" s="1">
        <f>'Data Sheet'!I90</f>
        <v>1248.3</v>
      </c>
      <c r="J15" s="1">
        <f>'Data Sheet'!J90</f>
        <v>1723.6</v>
      </c>
      <c r="K15" s="1">
        <f>'Data Sheet'!K90</f>
        <v>1564.55</v>
      </c>
      <c r="L15" s="1">
        <f>'Data Sheet'!B8</f>
        <v>1702.3</v>
      </c>
      <c r="M15" s="8">
        <f>M13*M14</f>
        <v>2011.2621213661196</v>
      </c>
      <c r="N15" s="9">
        <f>N13*N14</f>
        <v>1516.3034271483623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0.99882812499999996</v>
      </c>
      <c r="C18" s="5">
        <f>IF('Data Sheet'!C30&gt;0, 'Data Sheet'!C31/'Data Sheet'!C30, 0)</f>
        <v>0.49163879598662208</v>
      </c>
      <c r="D18" s="5">
        <f>IF('Data Sheet'!D30&gt;0, 'Data Sheet'!D31/'Data Sheet'!D30, 0)</f>
        <v>0</v>
      </c>
      <c r="E18" s="5">
        <f>IF('Data Sheet'!E30&gt;0, 'Data Sheet'!E31/'Data Sheet'!E30, 0)</f>
        <v>0.55405742821473147</v>
      </c>
      <c r="F18" s="5">
        <f>IF('Data Sheet'!F30&gt;0, 'Data Sheet'!F31/'Data Sheet'!F30, 0)</f>
        <v>0.31822822586978722</v>
      </c>
      <c r="G18" s="5">
        <f>IF('Data Sheet'!G30&gt;0, 'Data Sheet'!G31/'Data Sheet'!G30, 0)</f>
        <v>0.22326597487711636</v>
      </c>
      <c r="H18" s="5">
        <f>IF('Data Sheet'!H30&gt;0, 'Data Sheet'!H31/'Data Sheet'!H30, 0)</f>
        <v>0.19105425343169297</v>
      </c>
      <c r="I18" s="5">
        <f>IF('Data Sheet'!I30&gt;0, 'Data Sheet'!I31/'Data Sheet'!I30, 0)</f>
        <v>0.28667413213885778</v>
      </c>
      <c r="J18" s="5">
        <f>IF('Data Sheet'!J30&gt;0, 'Data Sheet'!J31/'Data Sheet'!J30, 0)</f>
        <v>0.16038178688781099</v>
      </c>
      <c r="K18" s="5">
        <f>IF('Data Sheet'!K30&gt;0, 'Data Sheet'!K31/'Data Sheet'!K30, 0)</f>
        <v>0</v>
      </c>
    </row>
    <row r="19" spans="1:14" x14ac:dyDescent="0.3">
      <c r="A19" t="s">
        <v>18</v>
      </c>
      <c r="B19" s="5">
        <f t="shared" ref="B19:L19" si="4">IF(B6&gt;0,B6/B4,0)</f>
        <v>0.24457904809977499</v>
      </c>
      <c r="C19" s="5">
        <f t="shared" ref="C19:K19" si="5">IF(C6&gt;0,C6/C4,0)</f>
        <v>0.25737993831693357</v>
      </c>
      <c r="D19" s="5">
        <f t="shared" si="5"/>
        <v>0.27901909883181891</v>
      </c>
      <c r="E19" s="5">
        <f t="shared" si="5"/>
        <v>0.26612627762158747</v>
      </c>
      <c r="F19" s="5">
        <f t="shared" si="5"/>
        <v>0.27698181945563449</v>
      </c>
      <c r="G19" s="5">
        <f t="shared" si="5"/>
        <v>0.29037365103858764</v>
      </c>
      <c r="H19" s="5">
        <f t="shared" si="5"/>
        <v>0.28337431004445018</v>
      </c>
      <c r="I19" s="5">
        <f t="shared" si="5"/>
        <v>0.25548462389284193</v>
      </c>
      <c r="J19" s="5">
        <f t="shared" si="5"/>
        <v>0.23840988316731671</v>
      </c>
      <c r="K19" s="5">
        <f t="shared" si="5"/>
        <v>0.22760667067307691</v>
      </c>
      <c r="L19" s="5">
        <f t="shared" si="4"/>
        <v>0.22759744893743286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0.12119207922063779</v>
      </c>
      <c r="I23" s="5">
        <f>IF(D4=0,"",POWER($K4/D4,1/7)-1)</f>
        <v>0.10852981278156881</v>
      </c>
      <c r="J23" s="5">
        <f>IF(F4=0,"",POWER($K4/F4,1/5)-1)</f>
        <v>9.2225510366270136E-2</v>
      </c>
      <c r="K23" s="5">
        <f>IF(H4=0,"",POWER($K4/H4, 1/3)-1)</f>
        <v>2.7168213738939961E-2</v>
      </c>
      <c r="L23" s="5">
        <f>IF(ISERROR(MAX(IF(J4=0,"",(K4-J4)/J4),IF(K4=0,"",(L4-K4)/K4))),"",MAX(IF(J4=0,"",(K4-J4)/J4),IF(K4=0,"",(L4-K4)/K4)))</f>
        <v>0.10225136829205687</v>
      </c>
      <c r="M23" s="16">
        <f>MAX(K23:L23)</f>
        <v>0.10225136829205687</v>
      </c>
      <c r="N23" s="16">
        <f>MIN(H23:L23)</f>
        <v>2.7168213738939961E-2</v>
      </c>
    </row>
    <row r="24" spans="1:14" x14ac:dyDescent="0.3">
      <c r="G24" t="s">
        <v>18</v>
      </c>
      <c r="H24" s="5">
        <f>IF(SUM(B4:$K$4)=0,"",SUMPRODUCT(B19:$K$19,B4:$K$4)/SUM(B4:$K$4))</f>
        <v>0.26080433641104583</v>
      </c>
      <c r="I24" s="5">
        <f>IF(SUM(E4:$K$4)=0,"",SUMPRODUCT(E19:$K$19,E4:$K$4)/SUM(E4:$K$4))</f>
        <v>0.2605111644606854</v>
      </c>
      <c r="J24" s="5">
        <f>IF(SUM(G4:$K$4)=0,"",SUMPRODUCT(G19:$K$19,G4:$K$4)/SUM(G4:$K$4))</f>
        <v>0.25740303883519777</v>
      </c>
      <c r="K24" s="5">
        <f>IF(SUM(I4:$K$4)=0, "", SUMPRODUCT(I19:$K$19,I4:$K$4)/SUM(I4:$K$4))</f>
        <v>0.23982674824795508</v>
      </c>
      <c r="L24" s="5">
        <f>L19</f>
        <v>0.22759744893743286</v>
      </c>
      <c r="M24" s="16">
        <f>MAX(K24:L24)</f>
        <v>0.23982674824795508</v>
      </c>
      <c r="N24" s="16">
        <f>MIN(H24:L24)</f>
        <v>0.22759744893743286</v>
      </c>
    </row>
    <row r="25" spans="1:14" x14ac:dyDescent="0.3">
      <c r="G25" t="s">
        <v>23</v>
      </c>
      <c r="H25" s="6">
        <f>IF(ISERROR(AVERAGEIF(B14:$L14,"&gt;0")),"",AVERAGEIF(B14:$L14,"&gt;0"))</f>
        <v>56.128116810833831</v>
      </c>
      <c r="I25" s="6">
        <f>IF(ISERROR(AVERAGEIF(E14:$L14,"&gt;0")),"",AVERAGEIF(E14:$L14,"&gt;0"))</f>
        <v>56.128116810833831</v>
      </c>
      <c r="J25" s="6">
        <f>IF(ISERROR(AVERAGEIF(G14:$L14,"&gt;0")),"",AVERAGEIF(G14:$L14,"&gt;0"))</f>
        <v>56.975620820786276</v>
      </c>
      <c r="K25" s="6">
        <f>IF(ISERROR(AVERAGEIF(I14:$L14,"&gt;0")),"",AVERAGEIF(I14:$L14,"&gt;0"))</f>
        <v>57.660225182825812</v>
      </c>
      <c r="L25" s="6">
        <f>L14</f>
        <v>60.964130509760629</v>
      </c>
      <c r="M25" s="1">
        <f>MAX(K25:L25)</f>
        <v>60.964130509760629</v>
      </c>
      <c r="N25" s="1">
        <f>MIN(H25:L25)</f>
        <v>56.128116810833831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METROPOLIS HEALTHCARE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6</v>
      </c>
      <c r="B4" s="1">
        <f>'Data Sheet'!B42</f>
        <v>285.45999999999998</v>
      </c>
      <c r="C4" s="1">
        <f>'Data Sheet'!C42</f>
        <v>282.55</v>
      </c>
      <c r="D4" s="1">
        <f>'Data Sheet'!D42</f>
        <v>277.08999999999997</v>
      </c>
      <c r="E4" s="1">
        <f>'Data Sheet'!E42</f>
        <v>308.5</v>
      </c>
      <c r="F4" s="1">
        <f>'Data Sheet'!F42</f>
        <v>291.12</v>
      </c>
      <c r="G4" s="1">
        <f>'Data Sheet'!G42</f>
        <v>331</v>
      </c>
      <c r="H4" s="1">
        <f>'Data Sheet'!H42</f>
        <v>313.36</v>
      </c>
      <c r="I4" s="1">
        <f>'Data Sheet'!I42</f>
        <v>349.79</v>
      </c>
      <c r="J4" s="1">
        <f>'Data Sheet'!J42</f>
        <v>322.77</v>
      </c>
      <c r="K4" s="1">
        <f>'Data Sheet'!K42</f>
        <v>345.29</v>
      </c>
    </row>
    <row r="5" spans="1:11" x14ac:dyDescent="0.3">
      <c r="A5" t="s">
        <v>7</v>
      </c>
      <c r="B5" s="6">
        <f>'Data Sheet'!B43</f>
        <v>214.97</v>
      </c>
      <c r="C5" s="6">
        <f>'Data Sheet'!C43</f>
        <v>212.27</v>
      </c>
      <c r="D5" s="6">
        <f>'Data Sheet'!D43</f>
        <v>214.15</v>
      </c>
      <c r="E5" s="6">
        <f>'Data Sheet'!E43</f>
        <v>233.69</v>
      </c>
      <c r="F5" s="6">
        <f>'Data Sheet'!F43</f>
        <v>226.27</v>
      </c>
      <c r="G5" s="6">
        <f>'Data Sheet'!G43</f>
        <v>251.02</v>
      </c>
      <c r="H5" s="6">
        <f>'Data Sheet'!H43</f>
        <v>234.55</v>
      </c>
      <c r="I5" s="6">
        <f>'Data Sheet'!I43</f>
        <v>259.92</v>
      </c>
      <c r="J5" s="6">
        <f>'Data Sheet'!J43</f>
        <v>250.77</v>
      </c>
      <c r="K5" s="6">
        <f>'Data Sheet'!K43</f>
        <v>282.99</v>
      </c>
    </row>
    <row r="6" spans="1:11" s="2" customFormat="1" x14ac:dyDescent="0.3">
      <c r="A6" s="2" t="s">
        <v>8</v>
      </c>
      <c r="B6" s="1">
        <f>'Data Sheet'!B50</f>
        <v>70.489999999999995</v>
      </c>
      <c r="C6" s="1">
        <f>'Data Sheet'!C50</f>
        <v>70.28</v>
      </c>
      <c r="D6" s="1">
        <f>'Data Sheet'!D50</f>
        <v>62.94</v>
      </c>
      <c r="E6" s="1">
        <f>'Data Sheet'!E50</f>
        <v>74.81</v>
      </c>
      <c r="F6" s="1">
        <f>'Data Sheet'!F50</f>
        <v>64.849999999999994</v>
      </c>
      <c r="G6" s="1">
        <f>'Data Sheet'!G50</f>
        <v>79.98</v>
      </c>
      <c r="H6" s="1">
        <f>'Data Sheet'!H50</f>
        <v>78.81</v>
      </c>
      <c r="I6" s="1">
        <f>'Data Sheet'!I50</f>
        <v>89.87</v>
      </c>
      <c r="J6" s="1">
        <f>'Data Sheet'!J50</f>
        <v>72</v>
      </c>
      <c r="K6" s="1">
        <f>'Data Sheet'!K50</f>
        <v>62.3</v>
      </c>
    </row>
    <row r="7" spans="1:11" x14ac:dyDescent="0.3">
      <c r="A7" t="s">
        <v>9</v>
      </c>
      <c r="B7" s="6">
        <f>'Data Sheet'!B44</f>
        <v>6.62</v>
      </c>
      <c r="C7" s="6">
        <f>'Data Sheet'!C44</f>
        <v>1.23</v>
      </c>
      <c r="D7" s="6">
        <f>'Data Sheet'!D44</f>
        <v>3.05</v>
      </c>
      <c r="E7" s="6">
        <f>'Data Sheet'!E44</f>
        <v>1.22</v>
      </c>
      <c r="F7" s="6">
        <f>'Data Sheet'!F44</f>
        <v>2.31</v>
      </c>
      <c r="G7" s="6">
        <f>'Data Sheet'!G44</f>
        <v>2.54</v>
      </c>
      <c r="H7" s="6">
        <f>'Data Sheet'!H44</f>
        <v>2.46</v>
      </c>
      <c r="I7" s="6">
        <f>'Data Sheet'!I44</f>
        <v>3.13</v>
      </c>
      <c r="J7" s="6">
        <f>'Data Sheet'!J44</f>
        <v>2.56</v>
      </c>
      <c r="K7" s="6">
        <f>'Data Sheet'!K44</f>
        <v>6.97</v>
      </c>
    </row>
    <row r="8" spans="1:11" x14ac:dyDescent="0.3">
      <c r="A8" t="s">
        <v>10</v>
      </c>
      <c r="B8" s="6">
        <f>'Data Sheet'!B45</f>
        <v>23.03</v>
      </c>
      <c r="C8" s="6">
        <f>'Data Sheet'!C45</f>
        <v>23.43</v>
      </c>
      <c r="D8" s="6">
        <f>'Data Sheet'!D45</f>
        <v>20.82</v>
      </c>
      <c r="E8" s="6">
        <f>'Data Sheet'!E45</f>
        <v>22.24</v>
      </c>
      <c r="F8" s="6">
        <f>'Data Sheet'!F45</f>
        <v>24.99</v>
      </c>
      <c r="G8" s="6">
        <f>'Data Sheet'!G45</f>
        <v>26.42</v>
      </c>
      <c r="H8" s="6">
        <f>'Data Sheet'!H45</f>
        <v>25.54</v>
      </c>
      <c r="I8" s="6">
        <f>'Data Sheet'!I45</f>
        <v>26.82</v>
      </c>
      <c r="J8" s="6">
        <f>'Data Sheet'!J45</f>
        <v>27.7</v>
      </c>
      <c r="K8" s="6">
        <f>'Data Sheet'!K45</f>
        <v>28.62</v>
      </c>
    </row>
    <row r="9" spans="1:11" x14ac:dyDescent="0.3">
      <c r="A9" t="s">
        <v>11</v>
      </c>
      <c r="B9" s="6">
        <f>'Data Sheet'!B46</f>
        <v>6.11</v>
      </c>
      <c r="C9" s="6">
        <f>'Data Sheet'!C46</f>
        <v>6.17</v>
      </c>
      <c r="D9" s="6">
        <f>'Data Sheet'!D46</f>
        <v>5.98</v>
      </c>
      <c r="E9" s="6">
        <f>'Data Sheet'!E46</f>
        <v>5.68</v>
      </c>
      <c r="F9" s="6">
        <f>'Data Sheet'!F46</f>
        <v>5.31</v>
      </c>
      <c r="G9" s="6">
        <f>'Data Sheet'!G46</f>
        <v>5.57</v>
      </c>
      <c r="H9" s="6">
        <f>'Data Sheet'!H46</f>
        <v>4.6500000000000004</v>
      </c>
      <c r="I9" s="6">
        <f>'Data Sheet'!I46</f>
        <v>4.79</v>
      </c>
      <c r="J9" s="6">
        <f>'Data Sheet'!J46</f>
        <v>4.53</v>
      </c>
      <c r="K9" s="6">
        <f>'Data Sheet'!K46</f>
        <v>4.5999999999999996</v>
      </c>
    </row>
    <row r="10" spans="1:11" x14ac:dyDescent="0.3">
      <c r="A10" t="s">
        <v>12</v>
      </c>
      <c r="B10" s="6">
        <f>'Data Sheet'!B47</f>
        <v>47.97</v>
      </c>
      <c r="C10" s="6">
        <f>'Data Sheet'!C47</f>
        <v>41.91</v>
      </c>
      <c r="D10" s="6">
        <f>'Data Sheet'!D47</f>
        <v>39.19</v>
      </c>
      <c r="E10" s="6">
        <f>'Data Sheet'!E47</f>
        <v>48.11</v>
      </c>
      <c r="F10" s="6">
        <f>'Data Sheet'!F47</f>
        <v>36.86</v>
      </c>
      <c r="G10" s="6">
        <f>'Data Sheet'!G47</f>
        <v>50.53</v>
      </c>
      <c r="H10" s="6">
        <f>'Data Sheet'!H47</f>
        <v>51.08</v>
      </c>
      <c r="I10" s="6">
        <f>'Data Sheet'!I47</f>
        <v>61.39</v>
      </c>
      <c r="J10" s="6">
        <f>'Data Sheet'!J47</f>
        <v>42.33</v>
      </c>
      <c r="K10" s="6">
        <f>'Data Sheet'!K47</f>
        <v>36.049999999999997</v>
      </c>
    </row>
    <row r="11" spans="1:11" x14ac:dyDescent="0.3">
      <c r="A11" t="s">
        <v>13</v>
      </c>
      <c r="B11" s="6">
        <f>'Data Sheet'!B48</f>
        <v>12.11</v>
      </c>
      <c r="C11" s="6">
        <f>'Data Sheet'!C48</f>
        <v>8.41</v>
      </c>
      <c r="D11" s="6">
        <f>'Data Sheet'!D48</f>
        <v>10.210000000000001</v>
      </c>
      <c r="E11" s="6">
        <f>'Data Sheet'!E48</f>
        <v>12.45</v>
      </c>
      <c r="F11" s="6">
        <f>'Data Sheet'!F48</f>
        <v>9.57</v>
      </c>
      <c r="G11" s="6">
        <f>'Data Sheet'!G48</f>
        <v>14.01</v>
      </c>
      <c r="H11" s="6">
        <f>'Data Sheet'!H48</f>
        <v>12.96</v>
      </c>
      <c r="I11" s="6">
        <f>'Data Sheet'!I48</f>
        <v>14.7</v>
      </c>
      <c r="J11" s="6">
        <f>'Data Sheet'!J48</f>
        <v>10.86</v>
      </c>
      <c r="K11" s="6">
        <f>'Data Sheet'!K48</f>
        <v>6.82</v>
      </c>
    </row>
    <row r="12" spans="1:11" s="2" customFormat="1" x14ac:dyDescent="0.3">
      <c r="A12" s="2" t="s">
        <v>14</v>
      </c>
      <c r="B12" s="1">
        <f>'Data Sheet'!B49</f>
        <v>35.799999999999997</v>
      </c>
      <c r="C12" s="1">
        <f>'Data Sheet'!C49</f>
        <v>33.36</v>
      </c>
      <c r="D12" s="1">
        <f>'Data Sheet'!D49</f>
        <v>28.8</v>
      </c>
      <c r="E12" s="1">
        <f>'Data Sheet'!E49</f>
        <v>35.450000000000003</v>
      </c>
      <c r="F12" s="1">
        <f>'Data Sheet'!F49</f>
        <v>27.16</v>
      </c>
      <c r="G12" s="1">
        <f>'Data Sheet'!G49</f>
        <v>36.409999999999997</v>
      </c>
      <c r="H12" s="1">
        <f>'Data Sheet'!H49</f>
        <v>37.950000000000003</v>
      </c>
      <c r="I12" s="1">
        <f>'Data Sheet'!I49</f>
        <v>46.52</v>
      </c>
      <c r="J12" s="1">
        <f>'Data Sheet'!J49</f>
        <v>31.36</v>
      </c>
      <c r="K12" s="1">
        <f>'Data Sheet'!K49</f>
        <v>29.14</v>
      </c>
    </row>
    <row r="14" spans="1:11" s="2" customFormat="1" x14ac:dyDescent="0.3">
      <c r="A14" s="2" t="s">
        <v>18</v>
      </c>
      <c r="B14" s="10">
        <f>IF(B4&gt;0,B6/B4,"")</f>
        <v>0.24693477194703287</v>
      </c>
      <c r="C14" s="10">
        <f t="shared" ref="C14:K14" si="0">IF(C4&gt;0,C6/C4,"")</f>
        <v>0.24873473721465228</v>
      </c>
      <c r="D14" s="10">
        <f t="shared" si="0"/>
        <v>0.22714641452235737</v>
      </c>
      <c r="E14" s="10">
        <f t="shared" si="0"/>
        <v>0.24249594813614264</v>
      </c>
      <c r="F14" s="10">
        <f t="shared" si="0"/>
        <v>0.22276037372904642</v>
      </c>
      <c r="G14" s="10">
        <f t="shared" si="0"/>
        <v>0.24163141993957704</v>
      </c>
      <c r="H14" s="10">
        <f t="shared" si="0"/>
        <v>0.25149987235128923</v>
      </c>
      <c r="I14" s="10">
        <f t="shared" si="0"/>
        <v>0.25692558392178166</v>
      </c>
      <c r="J14" s="10">
        <f t="shared" si="0"/>
        <v>0.22306905846268241</v>
      </c>
      <c r="K14" s="10">
        <f t="shared" si="0"/>
        <v>0.18042804599032694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METROPOLIS HEALTHCARE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9.5399999999999991</v>
      </c>
      <c r="C4" s="14">
        <f>'Data Sheet'!C57</f>
        <v>9.5399999999999991</v>
      </c>
      <c r="D4" s="14">
        <f>'Data Sheet'!D57</f>
        <v>9.5399999999999991</v>
      </c>
      <c r="E4" s="14">
        <f>'Data Sheet'!E57</f>
        <v>10.039999999999999</v>
      </c>
      <c r="F4" s="14">
        <f>'Data Sheet'!F57</f>
        <v>10.130000000000001</v>
      </c>
      <c r="G4" s="14">
        <f>'Data Sheet'!G57</f>
        <v>10.220000000000001</v>
      </c>
      <c r="H4" s="14">
        <f>'Data Sheet'!H57</f>
        <v>10.23</v>
      </c>
      <c r="I4" s="14">
        <f>'Data Sheet'!I57</f>
        <v>10.24</v>
      </c>
      <c r="J4" s="14">
        <f>'Data Sheet'!J57</f>
        <v>10.25</v>
      </c>
      <c r="K4" s="14">
        <f>'Data Sheet'!K57</f>
        <v>10.36</v>
      </c>
    </row>
    <row r="5" spans="1:11" x14ac:dyDescent="0.3">
      <c r="A5" t="s">
        <v>25</v>
      </c>
      <c r="B5" s="14">
        <f>'Data Sheet'!B58</f>
        <v>269.18</v>
      </c>
      <c r="C5" s="14">
        <f>'Data Sheet'!C58</f>
        <v>313.63</v>
      </c>
      <c r="D5" s="14">
        <f>'Data Sheet'!D58</f>
        <v>405.22</v>
      </c>
      <c r="E5" s="14">
        <f>'Data Sheet'!E58</f>
        <v>408.5</v>
      </c>
      <c r="F5" s="14">
        <f>'Data Sheet'!F58</f>
        <v>513.37</v>
      </c>
      <c r="G5" s="14">
        <f>'Data Sheet'!G58</f>
        <v>696.38</v>
      </c>
      <c r="H5" s="14">
        <f>'Data Sheet'!H58</f>
        <v>875.96</v>
      </c>
      <c r="I5" s="14">
        <f>'Data Sheet'!I58</f>
        <v>977.99</v>
      </c>
      <c r="J5" s="14">
        <f>'Data Sheet'!J58</f>
        <v>1085.9100000000001</v>
      </c>
      <c r="K5" s="14">
        <f>'Data Sheet'!K58</f>
        <v>1320.61</v>
      </c>
    </row>
    <row r="6" spans="1:11" x14ac:dyDescent="0.3">
      <c r="A6" t="s">
        <v>71</v>
      </c>
      <c r="B6" s="14">
        <f>'Data Sheet'!B59</f>
        <v>4.7</v>
      </c>
      <c r="C6" s="14">
        <f>'Data Sheet'!C59</f>
        <v>0.93</v>
      </c>
      <c r="D6" s="14">
        <f>'Data Sheet'!D59</f>
        <v>0.73</v>
      </c>
      <c r="E6" s="14">
        <f>'Data Sheet'!E59</f>
        <v>17.78</v>
      </c>
      <c r="F6" s="14">
        <f>'Data Sheet'!F59</f>
        <v>66.7</v>
      </c>
      <c r="G6" s="14">
        <f>'Data Sheet'!G59</f>
        <v>112.27</v>
      </c>
      <c r="H6" s="14">
        <f>'Data Sheet'!H59</f>
        <v>378.56</v>
      </c>
      <c r="I6" s="14">
        <f>'Data Sheet'!I59</f>
        <v>266.38</v>
      </c>
      <c r="J6" s="14">
        <f>'Data Sheet'!J59</f>
        <v>197.06</v>
      </c>
      <c r="K6" s="14">
        <f>'Data Sheet'!K59</f>
        <v>204.13</v>
      </c>
    </row>
    <row r="7" spans="1:11" x14ac:dyDescent="0.3">
      <c r="A7" t="s">
        <v>72</v>
      </c>
      <c r="B7" s="14">
        <f>'Data Sheet'!B60</f>
        <v>107.24</v>
      </c>
      <c r="C7" s="14">
        <f>'Data Sheet'!C60</f>
        <v>187.63</v>
      </c>
      <c r="D7" s="14">
        <f>'Data Sheet'!D60</f>
        <v>110.4</v>
      </c>
      <c r="E7" s="14">
        <f>'Data Sheet'!E60</f>
        <v>113.42</v>
      </c>
      <c r="F7" s="14">
        <f>'Data Sheet'!F60</f>
        <v>160.30000000000001</v>
      </c>
      <c r="G7" s="14">
        <f>'Data Sheet'!G60</f>
        <v>181.39</v>
      </c>
      <c r="H7" s="14">
        <f>'Data Sheet'!H60</f>
        <v>255.76</v>
      </c>
      <c r="I7" s="14">
        <f>'Data Sheet'!I60</f>
        <v>240.11</v>
      </c>
      <c r="J7" s="14">
        <f>'Data Sheet'!J60</f>
        <v>254.21</v>
      </c>
      <c r="K7" s="14">
        <f>'Data Sheet'!K60</f>
        <v>332.24</v>
      </c>
    </row>
    <row r="8" spans="1:11" s="2" customFormat="1" x14ac:dyDescent="0.3">
      <c r="A8" s="2" t="s">
        <v>26</v>
      </c>
      <c r="B8" s="15">
        <f>'Data Sheet'!B61</f>
        <v>390.66</v>
      </c>
      <c r="C8" s="15">
        <f>'Data Sheet'!C61</f>
        <v>511.73</v>
      </c>
      <c r="D8" s="15">
        <f>'Data Sheet'!D61</f>
        <v>525.89</v>
      </c>
      <c r="E8" s="15">
        <f>'Data Sheet'!E61</f>
        <v>549.74</v>
      </c>
      <c r="F8" s="15">
        <f>'Data Sheet'!F61</f>
        <v>750.5</v>
      </c>
      <c r="G8" s="15">
        <f>'Data Sheet'!G61</f>
        <v>1000.26</v>
      </c>
      <c r="H8" s="15">
        <f>'Data Sheet'!H61</f>
        <v>1520.51</v>
      </c>
      <c r="I8" s="15">
        <f>'Data Sheet'!I61</f>
        <v>1494.72</v>
      </c>
      <c r="J8" s="15">
        <f>'Data Sheet'!J61</f>
        <v>1547.43</v>
      </c>
      <c r="K8" s="15">
        <f>'Data Sheet'!K61</f>
        <v>1867.34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141.66</v>
      </c>
      <c r="C10" s="14">
        <f>'Data Sheet'!C62</f>
        <v>202.36</v>
      </c>
      <c r="D10" s="14">
        <f>'Data Sheet'!D62</f>
        <v>207.44</v>
      </c>
      <c r="E10" s="14">
        <f>'Data Sheet'!E62</f>
        <v>212.81</v>
      </c>
      <c r="F10" s="14">
        <f>'Data Sheet'!F62</f>
        <v>296.37</v>
      </c>
      <c r="G10" s="14">
        <f>'Data Sheet'!G62</f>
        <v>343.11</v>
      </c>
      <c r="H10" s="14">
        <f>'Data Sheet'!H62</f>
        <v>1058.93</v>
      </c>
      <c r="I10" s="14">
        <f>'Data Sheet'!I62</f>
        <v>1120.67</v>
      </c>
      <c r="J10" s="14">
        <f>'Data Sheet'!J62</f>
        <v>1177.06</v>
      </c>
      <c r="K10" s="14">
        <f>'Data Sheet'!K62</f>
        <v>1446.96</v>
      </c>
    </row>
    <row r="11" spans="1:11" x14ac:dyDescent="0.3">
      <c r="A11" t="s">
        <v>28</v>
      </c>
      <c r="B11" s="14">
        <f>'Data Sheet'!B63</f>
        <v>0.56000000000000005</v>
      </c>
      <c r="C11" s="14">
        <f>'Data Sheet'!C63</f>
        <v>0.95</v>
      </c>
      <c r="D11" s="14">
        <f>'Data Sheet'!D63</f>
        <v>0</v>
      </c>
      <c r="E11" s="14">
        <f>'Data Sheet'!E63</f>
        <v>5.77</v>
      </c>
      <c r="F11" s="14">
        <f>'Data Sheet'!F63</f>
        <v>2.99</v>
      </c>
      <c r="G11" s="14">
        <f>'Data Sheet'!G63</f>
        <v>0</v>
      </c>
      <c r="H11" s="14">
        <f>'Data Sheet'!H63</f>
        <v>5.78</v>
      </c>
      <c r="I11" s="14">
        <f>'Data Sheet'!I63</f>
        <v>19.510000000000002</v>
      </c>
      <c r="J11" s="14">
        <f>'Data Sheet'!J63</f>
        <v>0</v>
      </c>
      <c r="K11" s="14">
        <f>'Data Sheet'!K63</f>
        <v>0</v>
      </c>
    </row>
    <row r="12" spans="1:11" x14ac:dyDescent="0.3">
      <c r="A12" t="s">
        <v>29</v>
      </c>
      <c r="B12" s="14">
        <f>'Data Sheet'!B64</f>
        <v>101.39</v>
      </c>
      <c r="C12" s="14">
        <f>'Data Sheet'!C64</f>
        <v>141.84</v>
      </c>
      <c r="D12" s="14">
        <f>'Data Sheet'!D64</f>
        <v>102.18</v>
      </c>
      <c r="E12" s="14">
        <f>'Data Sheet'!E64</f>
        <v>33.29</v>
      </c>
      <c r="F12" s="14">
        <f>'Data Sheet'!F64</f>
        <v>14.32</v>
      </c>
      <c r="G12" s="14">
        <f>'Data Sheet'!G64</f>
        <v>10.08</v>
      </c>
      <c r="H12" s="14">
        <f>'Data Sheet'!H64</f>
        <v>15.51</v>
      </c>
      <c r="I12" s="14">
        <f>'Data Sheet'!I64</f>
        <v>14.81</v>
      </c>
      <c r="J12" s="14">
        <f>'Data Sheet'!J64</f>
        <v>54.83</v>
      </c>
      <c r="K12" s="14">
        <f>'Data Sheet'!K64</f>
        <v>70.989999999999995</v>
      </c>
    </row>
    <row r="13" spans="1:11" x14ac:dyDescent="0.3">
      <c r="A13" t="s">
        <v>73</v>
      </c>
      <c r="B13" s="14">
        <f>'Data Sheet'!B65</f>
        <v>147.05000000000001</v>
      </c>
      <c r="C13" s="14">
        <f>'Data Sheet'!C65</f>
        <v>166.58</v>
      </c>
      <c r="D13" s="14">
        <f>'Data Sheet'!D65</f>
        <v>216.27</v>
      </c>
      <c r="E13" s="14">
        <f>'Data Sheet'!E65</f>
        <v>297.87</v>
      </c>
      <c r="F13" s="14">
        <f>'Data Sheet'!F65</f>
        <v>436.82</v>
      </c>
      <c r="G13" s="14">
        <f>'Data Sheet'!G65</f>
        <v>647.07000000000005</v>
      </c>
      <c r="H13" s="14">
        <f>'Data Sheet'!H65</f>
        <v>440.29</v>
      </c>
      <c r="I13" s="14">
        <f>'Data Sheet'!I65</f>
        <v>339.73</v>
      </c>
      <c r="J13" s="14">
        <f>'Data Sheet'!J65</f>
        <v>315.54000000000002</v>
      </c>
      <c r="K13" s="14">
        <f>'Data Sheet'!K65</f>
        <v>349.39</v>
      </c>
    </row>
    <row r="14" spans="1:11" s="2" customFormat="1" x14ac:dyDescent="0.3">
      <c r="A14" s="2" t="s">
        <v>26</v>
      </c>
      <c r="B14" s="14">
        <f>'Data Sheet'!B66</f>
        <v>390.66</v>
      </c>
      <c r="C14" s="14">
        <f>'Data Sheet'!C66</f>
        <v>511.73</v>
      </c>
      <c r="D14" s="14">
        <f>'Data Sheet'!D66</f>
        <v>525.89</v>
      </c>
      <c r="E14" s="14">
        <f>'Data Sheet'!E66</f>
        <v>549.74</v>
      </c>
      <c r="F14" s="14">
        <f>'Data Sheet'!F66</f>
        <v>750.5</v>
      </c>
      <c r="G14" s="14">
        <f>'Data Sheet'!G66</f>
        <v>1000.26</v>
      </c>
      <c r="H14" s="14">
        <f>'Data Sheet'!H66</f>
        <v>1520.51</v>
      </c>
      <c r="I14" s="14">
        <f>'Data Sheet'!I66</f>
        <v>1494.72</v>
      </c>
      <c r="J14" s="14">
        <f>'Data Sheet'!J66</f>
        <v>1547.43</v>
      </c>
      <c r="K14" s="14">
        <f>'Data Sheet'!K66</f>
        <v>1867.34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39.810000000000016</v>
      </c>
      <c r="C16" s="4">
        <f t="shared" ref="C16:K16" si="0">C13-C7</f>
        <v>-21.049999999999983</v>
      </c>
      <c r="D16" s="4">
        <f t="shared" si="0"/>
        <v>105.87</v>
      </c>
      <c r="E16" s="4">
        <f t="shared" si="0"/>
        <v>184.45</v>
      </c>
      <c r="F16" s="4">
        <f t="shared" si="0"/>
        <v>276.52</v>
      </c>
      <c r="G16" s="4">
        <f t="shared" si="0"/>
        <v>465.68000000000006</v>
      </c>
      <c r="H16" s="4">
        <f t="shared" si="0"/>
        <v>184.53000000000003</v>
      </c>
      <c r="I16" s="4">
        <f t="shared" si="0"/>
        <v>99.62</v>
      </c>
      <c r="J16" s="4">
        <f t="shared" si="0"/>
        <v>61.330000000000013</v>
      </c>
      <c r="K16" s="4">
        <f t="shared" si="0"/>
        <v>17.149999999999977</v>
      </c>
    </row>
    <row r="17" spans="1:11" x14ac:dyDescent="0.3">
      <c r="A17" t="s">
        <v>44</v>
      </c>
      <c r="B17" s="4">
        <f>'Data Sheet'!B67</f>
        <v>70.2</v>
      </c>
      <c r="C17" s="4">
        <f>'Data Sheet'!C67</f>
        <v>80.290000000000006</v>
      </c>
      <c r="D17" s="4">
        <f>'Data Sheet'!D67</f>
        <v>100.68</v>
      </c>
      <c r="E17" s="4">
        <f>'Data Sheet'!E67</f>
        <v>136.85</v>
      </c>
      <c r="F17" s="4">
        <f>'Data Sheet'!F67</f>
        <v>128.25</v>
      </c>
      <c r="G17" s="4">
        <f>'Data Sheet'!G67</f>
        <v>122.98</v>
      </c>
      <c r="H17" s="4">
        <f>'Data Sheet'!H67</f>
        <v>135.49</v>
      </c>
      <c r="I17" s="4">
        <f>'Data Sheet'!I67</f>
        <v>121.89</v>
      </c>
      <c r="J17" s="4">
        <f>'Data Sheet'!J67</f>
        <v>126.28</v>
      </c>
      <c r="K17" s="4">
        <f>'Data Sheet'!K67</f>
        <v>147.94999999999999</v>
      </c>
    </row>
    <row r="18" spans="1:11" x14ac:dyDescent="0.3">
      <c r="A18" t="s">
        <v>45</v>
      </c>
      <c r="B18" s="4">
        <f>'Data Sheet'!B68</f>
        <v>15.57</v>
      </c>
      <c r="C18" s="4">
        <f>'Data Sheet'!C68</f>
        <v>14.13</v>
      </c>
      <c r="D18" s="4">
        <f>'Data Sheet'!D68</f>
        <v>21.19</v>
      </c>
      <c r="E18" s="4">
        <f>'Data Sheet'!E68</f>
        <v>26.1</v>
      </c>
      <c r="F18" s="4">
        <f>'Data Sheet'!F68</f>
        <v>24.4</v>
      </c>
      <c r="G18" s="4">
        <f>'Data Sheet'!G68</f>
        <v>40.549999999999997</v>
      </c>
      <c r="H18" s="4">
        <f>'Data Sheet'!H68</f>
        <v>51.11</v>
      </c>
      <c r="I18" s="4">
        <f>'Data Sheet'!I68</f>
        <v>44.59</v>
      </c>
      <c r="J18" s="4">
        <f>'Data Sheet'!J68</f>
        <v>38.69</v>
      </c>
      <c r="K18" s="4">
        <f>'Data Sheet'!K68</f>
        <v>47.84</v>
      </c>
    </row>
    <row r="20" spans="1:11" x14ac:dyDescent="0.3">
      <c r="A20" t="s">
        <v>46</v>
      </c>
      <c r="B20" s="4">
        <f>IF('Profit &amp; Loss'!B4&gt;0,'Balance Sheet'!B17/('Profit &amp; Loss'!B4/365),0)</f>
        <v>53.889835320840433</v>
      </c>
      <c r="C20" s="4">
        <f>IF('Profit &amp; Loss'!C4&gt;0,'Balance Sheet'!C17/('Profit &amp; Loss'!C4/365),0)</f>
        <v>53.799842120722573</v>
      </c>
      <c r="D20" s="4">
        <f>IF('Profit &amp; Loss'!D4&gt;0,'Balance Sheet'!D17/('Profit &amp; Loss'!D4/365),0)</f>
        <v>56.783793806786584</v>
      </c>
      <c r="E20" s="4">
        <f>IF('Profit &amp; Loss'!E4&gt;0,'Balance Sheet'!E17/('Profit &amp; Loss'!E4/365),0)</f>
        <v>65.622126172521618</v>
      </c>
      <c r="F20" s="4">
        <f>IF('Profit &amp; Loss'!F4&gt;0,'Balance Sheet'!F17/('Profit &amp; Loss'!F4/365),0)</f>
        <v>54.659859179598556</v>
      </c>
      <c r="G20" s="4">
        <f>IF('Profit &amp; Loss'!G4&gt;0,'Balance Sheet'!G17/('Profit &amp; Loss'!G4/365),0)</f>
        <v>44.978105993046029</v>
      </c>
      <c r="H20" s="4">
        <f>IF('Profit &amp; Loss'!H4&gt;0,'Balance Sheet'!H17/('Profit &amp; Loss'!H4/365),0)</f>
        <v>40.260717716593128</v>
      </c>
      <c r="I20" s="4">
        <f>IF('Profit &amp; Loss'!I4&gt;0,'Balance Sheet'!I17/('Profit &amp; Loss'!I4/365),0)</f>
        <v>38.747136847789164</v>
      </c>
      <c r="J20" s="4">
        <f>IF('Profit &amp; Loss'!J4&gt;0,'Balance Sheet'!J17/('Profit &amp; Loss'!J4/365),0)</f>
        <v>38.164956819103921</v>
      </c>
      <c r="K20" s="4">
        <f>IF('Profit &amp; Loss'!K4&gt;0,'Balance Sheet'!K17/('Profit &amp; Loss'!K4/365),0)</f>
        <v>40.566218449519226</v>
      </c>
    </row>
    <row r="21" spans="1:11" x14ac:dyDescent="0.3">
      <c r="A21" t="s">
        <v>47</v>
      </c>
      <c r="B21" s="4">
        <f>IF('Balance Sheet'!B18&gt;0,'Profit &amp; Loss'!B4/'Balance Sheet'!B18,0)</f>
        <v>30.537572254335263</v>
      </c>
      <c r="C21" s="4">
        <f>IF('Balance Sheet'!C18&gt;0,'Profit &amp; Loss'!C4/'Balance Sheet'!C18,0)</f>
        <v>38.550601556970982</v>
      </c>
      <c r="D21" s="4">
        <f>IF('Balance Sheet'!D18&gt;0,'Profit &amp; Loss'!D4/'Balance Sheet'!D18,0)</f>
        <v>30.540821142048131</v>
      </c>
      <c r="E21" s="4">
        <f>IF('Balance Sheet'!E18&gt;0,'Profit &amp; Loss'!E4/'Balance Sheet'!E18,0)</f>
        <v>29.163984674329498</v>
      </c>
      <c r="F21" s="4">
        <f>IF('Balance Sheet'!F18&gt;0,'Profit &amp; Loss'!F4/'Balance Sheet'!F18,0)</f>
        <v>35.098770491803279</v>
      </c>
      <c r="G21" s="4">
        <f>IF('Balance Sheet'!G18&gt;0,'Profit &amp; Loss'!G4/'Balance Sheet'!G18,0)</f>
        <v>24.611344019728733</v>
      </c>
      <c r="H21" s="4">
        <f>IF('Balance Sheet'!H18&gt;0,'Profit &amp; Loss'!H4/'Balance Sheet'!H18,0)</f>
        <v>24.033261592643317</v>
      </c>
      <c r="I21" s="4">
        <f>IF('Balance Sheet'!I18&gt;0,'Profit &amp; Loss'!I4/'Balance Sheet'!I18,0)</f>
        <v>25.750392464678178</v>
      </c>
      <c r="J21" s="4">
        <f>IF('Balance Sheet'!J18&gt;0,'Profit &amp; Loss'!J4/'Balance Sheet'!J18,0)</f>
        <v>31.215042646678732</v>
      </c>
      <c r="K21" s="4">
        <f>IF('Balance Sheet'!K18&gt;0,'Profit &amp; Loss'!K4/'Balance Sheet'!K18,0)</f>
        <v>27.826086956521738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0.27554535017221582</v>
      </c>
      <c r="C23" s="10">
        <f>IF(SUM('Balance Sheet'!C4:C5)&gt;0,'Profit &amp; Loss'!C12/SUM('Balance Sheet'!C4:C5),"")</f>
        <v>0.3145712782745923</v>
      </c>
      <c r="D23" s="10">
        <f>IF(SUM('Balance Sheet'!D4:D5)&gt;0,'Profit &amp; Loss'!D12/SUM('Balance Sheet'!D4:D5),"")</f>
        <v>0.25132606808756869</v>
      </c>
      <c r="E23" s="10">
        <f>IF(SUM('Balance Sheet'!E4:E5)&gt;0,'Profit &amp; Loss'!E12/SUM('Balance Sheet'!E4:E5),"")</f>
        <v>0.28706933626415637</v>
      </c>
      <c r="F23" s="10">
        <f>IF(SUM('Balance Sheet'!F4:F5)&gt;0,'Profit &amp; Loss'!F12/SUM('Balance Sheet'!F4:F5),"")</f>
        <v>0.24322827125119389</v>
      </c>
      <c r="G23" s="10">
        <f>IF(SUM('Balance Sheet'!G4:G5)&gt;0,'Profit &amp; Loss'!G12/SUM('Balance Sheet'!G4:G5),"")</f>
        <v>0.25912821964336258</v>
      </c>
      <c r="H23" s="10">
        <f>IF(SUM('Balance Sheet'!H4:H5)&gt;0,'Profit &amp; Loss'!H12/SUM('Balance Sheet'!H4:H5),"")</f>
        <v>0.24168632008937135</v>
      </c>
      <c r="I23" s="10">
        <f>IF(SUM('Balance Sheet'!I4:I5)&gt;0,'Profit &amp; Loss'!I12/SUM('Balance Sheet'!I4:I5),"")</f>
        <v>0.14458172692591806</v>
      </c>
      <c r="J23" s="10">
        <f>IF(SUM('Balance Sheet'!J4:J5)&gt;0,'Profit &amp; Loss'!J12/SUM('Balance Sheet'!J4:J5),"")</f>
        <v>0.11660706466209311</v>
      </c>
      <c r="K23" s="10">
        <f>IF(SUM('Balance Sheet'!K4:K5)&gt;0,'Profit &amp; Loss'!K12/SUM('Balance Sheet'!K4:K5),"")</f>
        <v>0.10892056169560548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0.53285488543587034</v>
      </c>
      <c r="D24" s="10">
        <f>IF((C4+C5+C6+D4+D5+D6)&gt;0,('Profit &amp; Loss'!D10+'Profit &amp; Loss'!D9)*2/(C4+C5+C6+D4+D5+D6),"")</f>
        <v>0.45219648724293182</v>
      </c>
      <c r="E24" s="10">
        <f>IF((D4+D5+D6+E4+E5+E6)&gt;0,('Profit &amp; Loss'!E10+'Profit &amp; Loss'!E9)*2/(D4+D5+D6+E4+E5+E6),"")</f>
        <v>0.44768199481104942</v>
      </c>
      <c r="F24" s="10">
        <f>IF((E4+E5+E6+F4+F5+F6)&gt;0,('Profit &amp; Loss'!F10+'Profit &amp; Loss'!F9)*2/(E4+E5+E6+F4+F5+F6),"")</f>
        <v>0.35338814635857069</v>
      </c>
      <c r="G24" s="10">
        <f>IF((F4+F5+F6+G4+G5+G6)&gt;0,('Profit &amp; Loss'!G10+'Profit &amp; Loss'!G9)*2/(F4+F5+F6+G4+G5+G6),"")</f>
        <v>0.36320409915760038</v>
      </c>
      <c r="H24" s="10">
        <f>IF((G4+G5+G6+H4+H5+H6)&gt;0,('Profit &amp; Loss'!H10+'Profit &amp; Loss'!H9)*2/(G4+G5+G6+H4+H5+H6),"")</f>
        <v>0.30559315038250739</v>
      </c>
      <c r="I24" s="10">
        <f>IF((H4+H5+H6+I4+I5+I6)&gt;0,('Profit &amp; Loss'!I10+'Profit &amp; Loss'!I9)*2/(H4+H5+H6+I4+I5+I6),"")</f>
        <v>0.1741315254667852</v>
      </c>
      <c r="J24" s="10">
        <f>IF((I4+I5+I6+J4+J5+J6)&gt;0,('Profit &amp; Loss'!J10+'Profit &amp; Loss'!J9)*2/(I4+I5+I6+J4+J5+J6),"")</f>
        <v>0.15902159877228852</v>
      </c>
      <c r="K24" s="10">
        <f>IF((J4+J5+J6+K4+K5+K6)&gt;0,('Profit &amp; Loss'!K10+'Profit &amp; Loss'!K9)*2/(J4+J5+J6+K4+K5+K6),"")</f>
        <v>0.14808791084460032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METROPOLIS HEALTHCARE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91.42</v>
      </c>
      <c r="C4" s="1">
        <f>'Data Sheet'!C82</f>
        <v>101.75</v>
      </c>
      <c r="D4" s="1">
        <f>'Data Sheet'!D82</f>
        <v>103.93</v>
      </c>
      <c r="E4" s="1">
        <f>'Data Sheet'!E82</f>
        <v>90.15</v>
      </c>
      <c r="F4" s="1">
        <f>'Data Sheet'!F82</f>
        <v>215</v>
      </c>
      <c r="G4" s="1">
        <f>'Data Sheet'!G82</f>
        <v>249.03</v>
      </c>
      <c r="H4" s="1">
        <f>'Data Sheet'!H82</f>
        <v>253.27</v>
      </c>
      <c r="I4" s="1">
        <f>'Data Sheet'!I82</f>
        <v>247.09</v>
      </c>
      <c r="J4" s="1">
        <f>'Data Sheet'!J82</f>
        <v>264.07</v>
      </c>
      <c r="K4" s="1">
        <f>'Data Sheet'!K82</f>
        <v>262.75</v>
      </c>
    </row>
    <row r="5" spans="1:11" x14ac:dyDescent="0.3">
      <c r="A5" t="s">
        <v>33</v>
      </c>
      <c r="B5" s="6">
        <f>'Data Sheet'!B83</f>
        <v>96.29</v>
      </c>
      <c r="C5" s="6">
        <f>'Data Sheet'!C83</f>
        <v>-85.78</v>
      </c>
      <c r="D5" s="6">
        <f>'Data Sheet'!D83</f>
        <v>1.33</v>
      </c>
      <c r="E5" s="6">
        <f>'Data Sheet'!E83</f>
        <v>35.9</v>
      </c>
      <c r="F5" s="6">
        <f>'Data Sheet'!F83</f>
        <v>-103.87</v>
      </c>
      <c r="G5" s="6">
        <f>'Data Sheet'!G83</f>
        <v>63.08</v>
      </c>
      <c r="H5" s="6">
        <f>'Data Sheet'!H83</f>
        <v>-736.41</v>
      </c>
      <c r="I5" s="6">
        <f>'Data Sheet'!I83</f>
        <v>48.09</v>
      </c>
      <c r="J5" s="6">
        <f>'Data Sheet'!J83</f>
        <v>-89.09</v>
      </c>
      <c r="K5" s="6">
        <f>'Data Sheet'!K83</f>
        <v>-201.06</v>
      </c>
    </row>
    <row r="6" spans="1:11" x14ac:dyDescent="0.3">
      <c r="A6" t="s">
        <v>34</v>
      </c>
      <c r="B6" s="6">
        <f>'Data Sheet'!B84</f>
        <v>-173.76</v>
      </c>
      <c r="C6" s="6">
        <f>'Data Sheet'!C84</f>
        <v>-17.3</v>
      </c>
      <c r="D6" s="6">
        <f>'Data Sheet'!D84</f>
        <v>-87.3</v>
      </c>
      <c r="E6" s="6">
        <f>'Data Sheet'!E84</f>
        <v>-118.15</v>
      </c>
      <c r="F6" s="6">
        <f>'Data Sheet'!F84</f>
        <v>-55.32</v>
      </c>
      <c r="G6" s="6">
        <f>'Data Sheet'!G84</f>
        <v>-32.69</v>
      </c>
      <c r="H6" s="6">
        <f>'Data Sheet'!H84</f>
        <v>162.52000000000001</v>
      </c>
      <c r="I6" s="6">
        <f>'Data Sheet'!I84</f>
        <v>-292.33</v>
      </c>
      <c r="J6" s="6">
        <f>'Data Sheet'!J84</f>
        <v>-181.2</v>
      </c>
      <c r="K6" s="6">
        <f>'Data Sheet'!K84</f>
        <v>-86.63</v>
      </c>
    </row>
    <row r="7" spans="1:11" s="2" customFormat="1" x14ac:dyDescent="0.3">
      <c r="A7" s="2" t="s">
        <v>35</v>
      </c>
      <c r="B7" s="1">
        <f>'Data Sheet'!B85</f>
        <v>13.94</v>
      </c>
      <c r="C7" s="1">
        <f>'Data Sheet'!C85</f>
        <v>-1.32</v>
      </c>
      <c r="D7" s="1">
        <f>'Data Sheet'!D85</f>
        <v>17.96</v>
      </c>
      <c r="E7" s="1">
        <f>'Data Sheet'!E85</f>
        <v>7.9</v>
      </c>
      <c r="F7" s="1">
        <f>'Data Sheet'!F85</f>
        <v>55.8</v>
      </c>
      <c r="G7" s="1">
        <f>'Data Sheet'!G85</f>
        <v>279.42</v>
      </c>
      <c r="H7" s="1">
        <f>'Data Sheet'!H85</f>
        <v>-320.61</v>
      </c>
      <c r="I7" s="1">
        <f>'Data Sheet'!I85</f>
        <v>2.85</v>
      </c>
      <c r="J7" s="1">
        <f>'Data Sheet'!J85</f>
        <v>-6.21</v>
      </c>
      <c r="K7" s="1">
        <f>'Data Sheet'!K85</f>
        <v>-24.94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18" sqref="B18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46" t="str">
        <f>IF(B2&lt;&gt;B3, "A NEW VERSION OF THE WORKSHEET IS AVAILABLE", "")</f>
        <v/>
      </c>
      <c r="F1" s="46"/>
      <c r="G1" s="46"/>
      <c r="H1" s="46"/>
      <c r="I1" s="46"/>
      <c r="J1" s="46"/>
      <c r="K1" s="46"/>
    </row>
    <row r="2" spans="1:11" x14ac:dyDescent="0.3">
      <c r="A2" s="1" t="s">
        <v>61</v>
      </c>
      <c r="B2" s="4">
        <v>2.1</v>
      </c>
      <c r="E2" s="47" t="s">
        <v>36</v>
      </c>
      <c r="F2" s="47"/>
      <c r="G2" s="47"/>
      <c r="H2" s="47"/>
      <c r="I2" s="47"/>
      <c r="J2" s="47"/>
      <c r="K2" s="47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5.1917817071021553</v>
      </c>
    </row>
    <row r="7" spans="1:11" x14ac:dyDescent="0.3">
      <c r="A7" s="4" t="s">
        <v>31</v>
      </c>
      <c r="B7">
        <v>2</v>
      </c>
    </row>
    <row r="8" spans="1:11" x14ac:dyDescent="0.3">
      <c r="A8" s="4" t="s">
        <v>43</v>
      </c>
      <c r="B8">
        <v>1702.3</v>
      </c>
    </row>
    <row r="9" spans="1:11" x14ac:dyDescent="0.3">
      <c r="A9" s="4" t="s">
        <v>79</v>
      </c>
      <c r="B9">
        <v>8837.9699999999993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475.47</v>
      </c>
      <c r="C17">
        <v>544.72</v>
      </c>
      <c r="D17">
        <v>647.16</v>
      </c>
      <c r="E17">
        <v>761.18</v>
      </c>
      <c r="F17">
        <v>856.41</v>
      </c>
      <c r="G17">
        <v>997.99</v>
      </c>
      <c r="H17">
        <v>1228.3399999999999</v>
      </c>
      <c r="I17">
        <v>1148.21</v>
      </c>
      <c r="J17">
        <v>1207.71</v>
      </c>
      <c r="K17">
        <v>1331.2</v>
      </c>
    </row>
    <row r="18" spans="1:11" s="6" customFormat="1" x14ac:dyDescent="0.3">
      <c r="A18" s="4" t="s">
        <v>80</v>
      </c>
      <c r="B18">
        <v>124.59</v>
      </c>
      <c r="C18">
        <v>135.1</v>
      </c>
      <c r="D18">
        <v>145.9</v>
      </c>
      <c r="E18">
        <v>173.51</v>
      </c>
      <c r="F18">
        <v>204.14</v>
      </c>
      <c r="G18">
        <v>252.16</v>
      </c>
      <c r="H18">
        <v>276.02</v>
      </c>
      <c r="I18">
        <v>253.26</v>
      </c>
      <c r="J18">
        <v>242.57</v>
      </c>
      <c r="K18">
        <v>268.68</v>
      </c>
    </row>
    <row r="19" spans="1:11" s="6" customFormat="1" x14ac:dyDescent="0.3">
      <c r="A19" s="4" t="s">
        <v>81</v>
      </c>
      <c r="B19"/>
      <c r="C19"/>
      <c r="D19"/>
      <c r="E19"/>
      <c r="F19"/>
      <c r="G19"/>
      <c r="H19"/>
      <c r="I19"/>
      <c r="J19"/>
      <c r="K19"/>
    </row>
    <row r="20" spans="1:11" s="6" customFormat="1" x14ac:dyDescent="0.3">
      <c r="A20" s="4" t="s">
        <v>82</v>
      </c>
      <c r="B20">
        <v>8.06</v>
      </c>
      <c r="C20">
        <v>9.1199999999999992</v>
      </c>
      <c r="D20">
        <v>9.99</v>
      </c>
      <c r="E20">
        <v>11</v>
      </c>
      <c r="F20">
        <v>12.49</v>
      </c>
      <c r="G20">
        <v>12</v>
      </c>
      <c r="H20">
        <v>14.73</v>
      </c>
      <c r="I20">
        <v>14.43</v>
      </c>
      <c r="J20">
        <v>16.2</v>
      </c>
      <c r="K20"/>
    </row>
    <row r="21" spans="1:11" s="6" customFormat="1" x14ac:dyDescent="0.3">
      <c r="A21" s="4" t="s">
        <v>83</v>
      </c>
      <c r="B21">
        <v>10.95</v>
      </c>
      <c r="C21">
        <v>11.43</v>
      </c>
      <c r="D21">
        <v>58.73</v>
      </c>
      <c r="E21">
        <v>77.05</v>
      </c>
      <c r="F21">
        <v>22.51</v>
      </c>
      <c r="G21">
        <v>26.09</v>
      </c>
      <c r="H21">
        <v>33.090000000000003</v>
      </c>
      <c r="I21">
        <v>31.24</v>
      </c>
      <c r="J21">
        <v>45.46</v>
      </c>
      <c r="K21"/>
    </row>
    <row r="22" spans="1:11" s="6" customFormat="1" x14ac:dyDescent="0.3">
      <c r="A22" s="4" t="s">
        <v>84</v>
      </c>
      <c r="B22">
        <v>108.26</v>
      </c>
      <c r="C22">
        <v>127.8</v>
      </c>
      <c r="D22">
        <v>147.56</v>
      </c>
      <c r="E22">
        <v>176.62</v>
      </c>
      <c r="F22">
        <v>190.72</v>
      </c>
      <c r="G22">
        <v>199.24</v>
      </c>
      <c r="H22">
        <v>233.65</v>
      </c>
      <c r="I22">
        <v>253.52</v>
      </c>
      <c r="J22">
        <v>276.39</v>
      </c>
      <c r="K22">
        <v>313.75</v>
      </c>
    </row>
    <row r="23" spans="1:11" s="6" customFormat="1" x14ac:dyDescent="0.3">
      <c r="A23" s="4" t="s">
        <v>85</v>
      </c>
      <c r="B23">
        <v>86.95</v>
      </c>
      <c r="C23">
        <v>101.19</v>
      </c>
      <c r="D23">
        <v>90.73</v>
      </c>
      <c r="E23">
        <v>106.46</v>
      </c>
      <c r="F23">
        <v>165.21</v>
      </c>
      <c r="G23">
        <v>184.68</v>
      </c>
      <c r="H23">
        <v>311.27999999999997</v>
      </c>
      <c r="I23">
        <v>288.98</v>
      </c>
      <c r="J23">
        <v>307.2</v>
      </c>
      <c r="K23"/>
    </row>
    <row r="24" spans="1:11" s="6" customFormat="1" x14ac:dyDescent="0.3">
      <c r="A24" s="4" t="s">
        <v>86</v>
      </c>
      <c r="B24">
        <v>20.37</v>
      </c>
      <c r="C24">
        <v>19.88</v>
      </c>
      <c r="D24">
        <v>13.68</v>
      </c>
      <c r="E24">
        <v>13.97</v>
      </c>
      <c r="F24">
        <v>24.13</v>
      </c>
      <c r="G24">
        <v>34.03</v>
      </c>
      <c r="H24">
        <v>11.49</v>
      </c>
      <c r="I24">
        <v>13.43</v>
      </c>
      <c r="J24">
        <v>31.96</v>
      </c>
      <c r="K24">
        <v>445.78</v>
      </c>
    </row>
    <row r="25" spans="1:11" s="6" customFormat="1" x14ac:dyDescent="0.3">
      <c r="A25" s="6" t="s">
        <v>9</v>
      </c>
      <c r="B25">
        <v>29.47</v>
      </c>
      <c r="C25">
        <v>38.89</v>
      </c>
      <c r="D25">
        <v>5.67</v>
      </c>
      <c r="E25">
        <v>8.17</v>
      </c>
      <c r="F25">
        <v>-16.559999999999999</v>
      </c>
      <c r="G25">
        <v>12.04</v>
      </c>
      <c r="H25">
        <v>33.51</v>
      </c>
      <c r="I25">
        <v>15.22</v>
      </c>
      <c r="J25">
        <v>9.1199999999999992</v>
      </c>
      <c r="K25">
        <v>15.11</v>
      </c>
    </row>
    <row r="26" spans="1:11" s="6" customFormat="1" x14ac:dyDescent="0.3">
      <c r="A26" s="6" t="s">
        <v>10</v>
      </c>
      <c r="B26">
        <v>16.64</v>
      </c>
      <c r="C26">
        <v>17.23</v>
      </c>
      <c r="D26">
        <v>19.02</v>
      </c>
      <c r="E26">
        <v>20.07</v>
      </c>
      <c r="F26">
        <v>39.270000000000003</v>
      </c>
      <c r="G26">
        <v>45.94</v>
      </c>
      <c r="H26">
        <v>63.22</v>
      </c>
      <c r="I26">
        <v>89.22</v>
      </c>
      <c r="J26">
        <v>94.47</v>
      </c>
      <c r="K26">
        <v>108.68</v>
      </c>
    </row>
    <row r="27" spans="1:11" s="6" customFormat="1" x14ac:dyDescent="0.3">
      <c r="A27" s="6" t="s">
        <v>11</v>
      </c>
      <c r="B27">
        <v>1.6</v>
      </c>
      <c r="C27">
        <v>1.94</v>
      </c>
      <c r="D27">
        <v>3.54</v>
      </c>
      <c r="E27">
        <v>4.12</v>
      </c>
      <c r="F27">
        <v>12.65</v>
      </c>
      <c r="G27">
        <v>11.56</v>
      </c>
      <c r="H27">
        <v>25.02</v>
      </c>
      <c r="I27">
        <v>31.85</v>
      </c>
      <c r="J27">
        <v>27.89</v>
      </c>
      <c r="K27">
        <v>18.57</v>
      </c>
    </row>
    <row r="28" spans="1:11" s="6" customFormat="1" x14ac:dyDescent="0.3">
      <c r="A28" s="6" t="s">
        <v>12</v>
      </c>
      <c r="B28">
        <v>127.52</v>
      </c>
      <c r="C28">
        <v>159.91999999999999</v>
      </c>
      <c r="D28">
        <v>163.68</v>
      </c>
      <c r="E28">
        <v>186.55</v>
      </c>
      <c r="F28">
        <v>168.73</v>
      </c>
      <c r="G28">
        <v>244.33</v>
      </c>
      <c r="H28">
        <v>293.35000000000002</v>
      </c>
      <c r="I28">
        <v>187.5</v>
      </c>
      <c r="J28">
        <v>174.69</v>
      </c>
      <c r="K28">
        <v>190.85</v>
      </c>
    </row>
    <row r="29" spans="1:11" s="6" customFormat="1" x14ac:dyDescent="0.3">
      <c r="A29" s="6" t="s">
        <v>13</v>
      </c>
      <c r="B29">
        <v>45.57</v>
      </c>
      <c r="C29">
        <v>52.66</v>
      </c>
      <c r="D29">
        <v>51.84</v>
      </c>
      <c r="E29">
        <v>62.94</v>
      </c>
      <c r="F29">
        <v>41.18</v>
      </c>
      <c r="G29">
        <v>60.97</v>
      </c>
      <c r="H29">
        <v>78.66</v>
      </c>
      <c r="I29">
        <v>44.11</v>
      </c>
      <c r="J29">
        <v>46.23</v>
      </c>
      <c r="K29">
        <v>45.34</v>
      </c>
    </row>
    <row r="30" spans="1:11" s="6" customFormat="1" x14ac:dyDescent="0.3">
      <c r="A30" s="6" t="s">
        <v>14</v>
      </c>
      <c r="B30">
        <v>76.8</v>
      </c>
      <c r="C30">
        <v>101.66</v>
      </c>
      <c r="D30">
        <v>104.24</v>
      </c>
      <c r="E30">
        <v>120.15</v>
      </c>
      <c r="F30">
        <v>127.33</v>
      </c>
      <c r="G30">
        <v>183.1</v>
      </c>
      <c r="H30">
        <v>214.18</v>
      </c>
      <c r="I30">
        <v>142.88</v>
      </c>
      <c r="J30">
        <v>127.82</v>
      </c>
      <c r="K30">
        <v>144.97</v>
      </c>
    </row>
    <row r="31" spans="1:11" s="6" customFormat="1" x14ac:dyDescent="0.3">
      <c r="A31" s="6" t="s">
        <v>70</v>
      </c>
      <c r="B31">
        <v>76.709999999999994</v>
      </c>
      <c r="C31">
        <v>49.98</v>
      </c>
      <c r="E31">
        <v>66.569999999999993</v>
      </c>
      <c r="F31">
        <v>40.520000000000003</v>
      </c>
      <c r="G31">
        <v>40.880000000000003</v>
      </c>
      <c r="H31">
        <v>40.92</v>
      </c>
      <c r="I31">
        <v>40.96</v>
      </c>
      <c r="J31">
        <v>20.5</v>
      </c>
      <c r="K31"/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6</v>
      </c>
      <c r="B42">
        <v>285.45999999999998</v>
      </c>
      <c r="C42">
        <v>282.55</v>
      </c>
      <c r="D42">
        <v>277.08999999999997</v>
      </c>
      <c r="E42">
        <v>308.5</v>
      </c>
      <c r="F42">
        <v>291.12</v>
      </c>
      <c r="G42">
        <v>331</v>
      </c>
      <c r="H42">
        <v>313.36</v>
      </c>
      <c r="I42">
        <v>349.79</v>
      </c>
      <c r="J42">
        <v>322.77</v>
      </c>
      <c r="K42">
        <v>345.29</v>
      </c>
    </row>
    <row r="43" spans="1:11" s="6" customFormat="1" x14ac:dyDescent="0.3">
      <c r="A43" s="6" t="s">
        <v>7</v>
      </c>
      <c r="B43">
        <v>214.97</v>
      </c>
      <c r="C43">
        <v>212.27</v>
      </c>
      <c r="D43">
        <v>214.15</v>
      </c>
      <c r="E43">
        <v>233.69</v>
      </c>
      <c r="F43">
        <v>226.27</v>
      </c>
      <c r="G43">
        <v>251.02</v>
      </c>
      <c r="H43">
        <v>234.55</v>
      </c>
      <c r="I43">
        <v>259.92</v>
      </c>
      <c r="J43">
        <v>250.77</v>
      </c>
      <c r="K43">
        <v>282.99</v>
      </c>
    </row>
    <row r="44" spans="1:11" s="6" customFormat="1" x14ac:dyDescent="0.3">
      <c r="A44" s="6" t="s">
        <v>9</v>
      </c>
      <c r="B44">
        <v>6.62</v>
      </c>
      <c r="C44">
        <v>1.23</v>
      </c>
      <c r="D44">
        <v>3.05</v>
      </c>
      <c r="E44">
        <v>1.22</v>
      </c>
      <c r="F44">
        <v>2.31</v>
      </c>
      <c r="G44">
        <v>2.54</v>
      </c>
      <c r="H44">
        <v>2.46</v>
      </c>
      <c r="I44">
        <v>3.13</v>
      </c>
      <c r="J44">
        <v>2.56</v>
      </c>
      <c r="K44">
        <v>6.97</v>
      </c>
    </row>
    <row r="45" spans="1:11" s="6" customFormat="1" x14ac:dyDescent="0.3">
      <c r="A45" s="6" t="s">
        <v>10</v>
      </c>
      <c r="B45">
        <v>23.03</v>
      </c>
      <c r="C45">
        <v>23.43</v>
      </c>
      <c r="D45">
        <v>20.82</v>
      </c>
      <c r="E45">
        <v>22.24</v>
      </c>
      <c r="F45">
        <v>24.99</v>
      </c>
      <c r="G45">
        <v>26.42</v>
      </c>
      <c r="H45">
        <v>25.54</v>
      </c>
      <c r="I45">
        <v>26.82</v>
      </c>
      <c r="J45">
        <v>27.7</v>
      </c>
      <c r="K45">
        <v>28.62</v>
      </c>
    </row>
    <row r="46" spans="1:11" s="6" customFormat="1" x14ac:dyDescent="0.3">
      <c r="A46" s="6" t="s">
        <v>11</v>
      </c>
      <c r="B46">
        <v>6.11</v>
      </c>
      <c r="C46">
        <v>6.17</v>
      </c>
      <c r="D46">
        <v>5.98</v>
      </c>
      <c r="E46">
        <v>5.68</v>
      </c>
      <c r="F46">
        <v>5.31</v>
      </c>
      <c r="G46">
        <v>5.57</v>
      </c>
      <c r="H46">
        <v>4.6500000000000004</v>
      </c>
      <c r="I46">
        <v>4.79</v>
      </c>
      <c r="J46">
        <v>4.53</v>
      </c>
      <c r="K46">
        <v>4.5999999999999996</v>
      </c>
    </row>
    <row r="47" spans="1:11" s="6" customFormat="1" x14ac:dyDescent="0.3">
      <c r="A47" s="6" t="s">
        <v>12</v>
      </c>
      <c r="B47">
        <v>47.97</v>
      </c>
      <c r="C47">
        <v>41.91</v>
      </c>
      <c r="D47">
        <v>39.19</v>
      </c>
      <c r="E47">
        <v>48.11</v>
      </c>
      <c r="F47">
        <v>36.86</v>
      </c>
      <c r="G47">
        <v>50.53</v>
      </c>
      <c r="H47">
        <v>51.08</v>
      </c>
      <c r="I47">
        <v>61.39</v>
      </c>
      <c r="J47">
        <v>42.33</v>
      </c>
      <c r="K47">
        <v>36.049999999999997</v>
      </c>
    </row>
    <row r="48" spans="1:11" s="6" customFormat="1" x14ac:dyDescent="0.3">
      <c r="A48" s="6" t="s">
        <v>13</v>
      </c>
      <c r="B48">
        <v>12.11</v>
      </c>
      <c r="C48">
        <v>8.41</v>
      </c>
      <c r="D48">
        <v>10.210000000000001</v>
      </c>
      <c r="E48">
        <v>12.45</v>
      </c>
      <c r="F48">
        <v>9.57</v>
      </c>
      <c r="G48">
        <v>14.01</v>
      </c>
      <c r="H48">
        <v>12.96</v>
      </c>
      <c r="I48">
        <v>14.7</v>
      </c>
      <c r="J48">
        <v>10.86</v>
      </c>
      <c r="K48">
        <v>6.82</v>
      </c>
    </row>
    <row r="49" spans="1:11" s="6" customFormat="1" x14ac:dyDescent="0.3">
      <c r="A49" s="6" t="s">
        <v>14</v>
      </c>
      <c r="B49">
        <v>35.799999999999997</v>
      </c>
      <c r="C49">
        <v>33.36</v>
      </c>
      <c r="D49">
        <v>28.8</v>
      </c>
      <c r="E49">
        <v>35.450000000000003</v>
      </c>
      <c r="F49">
        <v>27.16</v>
      </c>
      <c r="G49">
        <v>36.409999999999997</v>
      </c>
      <c r="H49">
        <v>37.950000000000003</v>
      </c>
      <c r="I49">
        <v>46.52</v>
      </c>
      <c r="J49">
        <v>31.36</v>
      </c>
      <c r="K49">
        <v>29.14</v>
      </c>
    </row>
    <row r="50" spans="1:11" x14ac:dyDescent="0.3">
      <c r="A50" s="6" t="s">
        <v>8</v>
      </c>
      <c r="B50">
        <v>70.489999999999995</v>
      </c>
      <c r="C50">
        <v>70.28</v>
      </c>
      <c r="D50">
        <v>62.94</v>
      </c>
      <c r="E50">
        <v>74.81</v>
      </c>
      <c r="F50">
        <v>64.849999999999994</v>
      </c>
      <c r="G50">
        <v>79.98</v>
      </c>
      <c r="H50">
        <v>78.81</v>
      </c>
      <c r="I50">
        <v>89.87</v>
      </c>
      <c r="J50">
        <v>72</v>
      </c>
      <c r="K50">
        <v>62.3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9.5399999999999991</v>
      </c>
      <c r="C57">
        <v>9.5399999999999991</v>
      </c>
      <c r="D57">
        <v>9.5399999999999991</v>
      </c>
      <c r="E57">
        <v>10.039999999999999</v>
      </c>
      <c r="F57">
        <v>10.130000000000001</v>
      </c>
      <c r="G57">
        <v>10.220000000000001</v>
      </c>
      <c r="H57">
        <v>10.23</v>
      </c>
      <c r="I57">
        <v>10.24</v>
      </c>
      <c r="J57">
        <v>10.25</v>
      </c>
      <c r="K57">
        <v>10.36</v>
      </c>
    </row>
    <row r="58" spans="1:11" x14ac:dyDescent="0.3">
      <c r="A58" s="6" t="s">
        <v>25</v>
      </c>
      <c r="B58">
        <v>269.18</v>
      </c>
      <c r="C58">
        <v>313.63</v>
      </c>
      <c r="D58">
        <v>405.22</v>
      </c>
      <c r="E58">
        <v>408.5</v>
      </c>
      <c r="F58">
        <v>513.37</v>
      </c>
      <c r="G58">
        <v>696.38</v>
      </c>
      <c r="H58">
        <v>875.96</v>
      </c>
      <c r="I58">
        <v>977.99</v>
      </c>
      <c r="J58">
        <v>1085.9100000000001</v>
      </c>
      <c r="K58">
        <v>1320.61</v>
      </c>
    </row>
    <row r="59" spans="1:11" x14ac:dyDescent="0.3">
      <c r="A59" s="6" t="s">
        <v>71</v>
      </c>
      <c r="B59">
        <v>4.7</v>
      </c>
      <c r="C59">
        <v>0.93</v>
      </c>
      <c r="D59">
        <v>0.73</v>
      </c>
      <c r="E59">
        <v>17.78</v>
      </c>
      <c r="F59">
        <v>66.7</v>
      </c>
      <c r="G59">
        <v>112.27</v>
      </c>
      <c r="H59">
        <v>378.56</v>
      </c>
      <c r="I59">
        <v>266.38</v>
      </c>
      <c r="J59">
        <v>197.06</v>
      </c>
      <c r="K59">
        <v>204.13</v>
      </c>
    </row>
    <row r="60" spans="1:11" x14ac:dyDescent="0.3">
      <c r="A60" s="6" t="s">
        <v>72</v>
      </c>
      <c r="B60">
        <v>107.24</v>
      </c>
      <c r="C60">
        <v>187.63</v>
      </c>
      <c r="D60">
        <v>110.4</v>
      </c>
      <c r="E60">
        <v>113.42</v>
      </c>
      <c r="F60">
        <v>160.30000000000001</v>
      </c>
      <c r="G60">
        <v>181.39</v>
      </c>
      <c r="H60">
        <v>255.76</v>
      </c>
      <c r="I60">
        <v>240.11</v>
      </c>
      <c r="J60">
        <v>254.21</v>
      </c>
      <c r="K60">
        <v>332.24</v>
      </c>
    </row>
    <row r="61" spans="1:11" s="1" customFormat="1" x14ac:dyDescent="0.3">
      <c r="A61" s="1" t="s">
        <v>26</v>
      </c>
      <c r="B61">
        <v>390.66</v>
      </c>
      <c r="C61">
        <v>511.73</v>
      </c>
      <c r="D61">
        <v>525.89</v>
      </c>
      <c r="E61">
        <v>549.74</v>
      </c>
      <c r="F61">
        <v>750.5</v>
      </c>
      <c r="G61">
        <v>1000.26</v>
      </c>
      <c r="H61">
        <v>1520.51</v>
      </c>
      <c r="I61">
        <v>1494.72</v>
      </c>
      <c r="J61">
        <v>1547.43</v>
      </c>
      <c r="K61">
        <v>1867.34</v>
      </c>
    </row>
    <row r="62" spans="1:11" x14ac:dyDescent="0.3">
      <c r="A62" s="6" t="s">
        <v>27</v>
      </c>
      <c r="B62">
        <v>141.66</v>
      </c>
      <c r="C62">
        <v>202.36</v>
      </c>
      <c r="D62">
        <v>207.44</v>
      </c>
      <c r="E62">
        <v>212.81</v>
      </c>
      <c r="F62">
        <v>296.37</v>
      </c>
      <c r="G62">
        <v>343.11</v>
      </c>
      <c r="H62">
        <v>1058.93</v>
      </c>
      <c r="I62">
        <v>1120.67</v>
      </c>
      <c r="J62">
        <v>1177.06</v>
      </c>
      <c r="K62">
        <v>1446.96</v>
      </c>
    </row>
    <row r="63" spans="1:11" x14ac:dyDescent="0.3">
      <c r="A63" s="6" t="s">
        <v>28</v>
      </c>
      <c r="B63">
        <v>0.56000000000000005</v>
      </c>
      <c r="C63">
        <v>0.95</v>
      </c>
      <c r="D63"/>
      <c r="E63">
        <v>5.77</v>
      </c>
      <c r="F63">
        <v>2.99</v>
      </c>
      <c r="G63"/>
      <c r="H63">
        <v>5.78</v>
      </c>
      <c r="I63">
        <v>19.510000000000002</v>
      </c>
      <c r="J63"/>
      <c r="K63"/>
    </row>
    <row r="64" spans="1:11" x14ac:dyDescent="0.3">
      <c r="A64" s="6" t="s">
        <v>29</v>
      </c>
      <c r="B64">
        <v>101.39</v>
      </c>
      <c r="C64">
        <v>141.84</v>
      </c>
      <c r="D64">
        <v>102.18</v>
      </c>
      <c r="E64">
        <v>33.29</v>
      </c>
      <c r="F64">
        <v>14.32</v>
      </c>
      <c r="G64">
        <v>10.08</v>
      </c>
      <c r="H64">
        <v>15.51</v>
      </c>
      <c r="I64">
        <v>14.81</v>
      </c>
      <c r="J64">
        <v>54.83</v>
      </c>
      <c r="K64">
        <v>70.989999999999995</v>
      </c>
    </row>
    <row r="65" spans="1:11" x14ac:dyDescent="0.3">
      <c r="A65" s="6" t="s">
        <v>73</v>
      </c>
      <c r="B65">
        <v>147.05000000000001</v>
      </c>
      <c r="C65">
        <v>166.58</v>
      </c>
      <c r="D65">
        <v>216.27</v>
      </c>
      <c r="E65">
        <v>297.87</v>
      </c>
      <c r="F65">
        <v>436.82</v>
      </c>
      <c r="G65">
        <v>647.07000000000005</v>
      </c>
      <c r="H65">
        <v>440.29</v>
      </c>
      <c r="I65">
        <v>339.73</v>
      </c>
      <c r="J65">
        <v>315.54000000000002</v>
      </c>
      <c r="K65">
        <v>349.39</v>
      </c>
    </row>
    <row r="66" spans="1:11" s="1" customFormat="1" x14ac:dyDescent="0.3">
      <c r="A66" s="1" t="s">
        <v>26</v>
      </c>
      <c r="B66">
        <v>390.66</v>
      </c>
      <c r="C66">
        <v>511.73</v>
      </c>
      <c r="D66">
        <v>525.89</v>
      </c>
      <c r="E66">
        <v>549.74</v>
      </c>
      <c r="F66">
        <v>750.5</v>
      </c>
      <c r="G66">
        <v>1000.26</v>
      </c>
      <c r="H66">
        <v>1520.51</v>
      </c>
      <c r="I66">
        <v>1494.72</v>
      </c>
      <c r="J66">
        <v>1547.43</v>
      </c>
      <c r="K66">
        <v>1867.34</v>
      </c>
    </row>
    <row r="67" spans="1:11" s="6" customFormat="1" x14ac:dyDescent="0.3">
      <c r="A67" s="6" t="s">
        <v>78</v>
      </c>
      <c r="B67">
        <v>70.2</v>
      </c>
      <c r="C67">
        <v>80.290000000000006</v>
      </c>
      <c r="D67">
        <v>100.68</v>
      </c>
      <c r="E67">
        <v>136.85</v>
      </c>
      <c r="F67">
        <v>128.25</v>
      </c>
      <c r="G67">
        <v>122.98</v>
      </c>
      <c r="H67">
        <v>135.49</v>
      </c>
      <c r="I67">
        <v>121.89</v>
      </c>
      <c r="J67">
        <v>126.28</v>
      </c>
      <c r="K67">
        <v>147.94999999999999</v>
      </c>
    </row>
    <row r="68" spans="1:11" x14ac:dyDescent="0.3">
      <c r="A68" s="6" t="s">
        <v>45</v>
      </c>
      <c r="B68">
        <v>15.57</v>
      </c>
      <c r="C68">
        <v>14.13</v>
      </c>
      <c r="D68">
        <v>21.19</v>
      </c>
      <c r="E68">
        <v>26.1</v>
      </c>
      <c r="F68">
        <v>24.4</v>
      </c>
      <c r="G68">
        <v>40.549999999999997</v>
      </c>
      <c r="H68">
        <v>51.11</v>
      </c>
      <c r="I68">
        <v>44.59</v>
      </c>
      <c r="J68">
        <v>38.69</v>
      </c>
      <c r="K68">
        <v>47.84</v>
      </c>
    </row>
    <row r="69" spans="1:11" x14ac:dyDescent="0.3">
      <c r="A69" s="4" t="s">
        <v>87</v>
      </c>
      <c r="B69">
        <v>33.6</v>
      </c>
      <c r="C69">
        <v>40.51</v>
      </c>
      <c r="D69">
        <v>60.14</v>
      </c>
      <c r="E69">
        <v>80.239999999999995</v>
      </c>
      <c r="F69">
        <v>210.47</v>
      </c>
      <c r="G69">
        <v>419.7</v>
      </c>
      <c r="H69">
        <v>166.94</v>
      </c>
      <c r="I69">
        <v>93.19</v>
      </c>
      <c r="J69">
        <v>71.22</v>
      </c>
      <c r="K69">
        <v>49.02</v>
      </c>
    </row>
    <row r="70" spans="1:11" x14ac:dyDescent="0.3">
      <c r="A70" s="4" t="s">
        <v>74</v>
      </c>
      <c r="B70">
        <v>9543646</v>
      </c>
      <c r="C70">
        <v>9543646</v>
      </c>
      <c r="D70">
        <v>9543646</v>
      </c>
      <c r="E70">
        <v>50178680</v>
      </c>
      <c r="F70">
        <v>50630566</v>
      </c>
      <c r="G70">
        <v>51116813</v>
      </c>
      <c r="H70">
        <v>51172119</v>
      </c>
      <c r="I70">
        <v>51210664</v>
      </c>
      <c r="J70">
        <v>51226861</v>
      </c>
      <c r="K70"/>
    </row>
    <row r="71" spans="1:11" x14ac:dyDescent="0.3">
      <c r="A71" s="4" t="s">
        <v>75</v>
      </c>
    </row>
    <row r="72" spans="1:11" x14ac:dyDescent="0.3">
      <c r="A72" s="4" t="s">
        <v>88</v>
      </c>
      <c r="B72">
        <v>10</v>
      </c>
      <c r="C72">
        <v>10</v>
      </c>
      <c r="D72">
        <v>10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91.42</v>
      </c>
      <c r="C82">
        <v>101.75</v>
      </c>
      <c r="D82">
        <v>103.93</v>
      </c>
      <c r="E82">
        <v>90.15</v>
      </c>
      <c r="F82">
        <v>215</v>
      </c>
      <c r="G82">
        <v>249.03</v>
      </c>
      <c r="H82">
        <v>253.27</v>
      </c>
      <c r="I82">
        <v>247.09</v>
      </c>
      <c r="J82">
        <v>264.07</v>
      </c>
      <c r="K82">
        <v>262.75</v>
      </c>
    </row>
    <row r="83" spans="1:11" s="6" customFormat="1" x14ac:dyDescent="0.3">
      <c r="A83" s="6" t="s">
        <v>33</v>
      </c>
      <c r="B83">
        <v>96.29</v>
      </c>
      <c r="C83">
        <v>-85.78</v>
      </c>
      <c r="D83">
        <v>1.33</v>
      </c>
      <c r="E83">
        <v>35.9</v>
      </c>
      <c r="F83">
        <v>-103.87</v>
      </c>
      <c r="G83">
        <v>63.08</v>
      </c>
      <c r="H83">
        <v>-736.41</v>
      </c>
      <c r="I83">
        <v>48.09</v>
      </c>
      <c r="J83">
        <v>-89.09</v>
      </c>
      <c r="K83">
        <v>-201.06</v>
      </c>
    </row>
    <row r="84" spans="1:11" s="6" customFormat="1" x14ac:dyDescent="0.3">
      <c r="A84" s="6" t="s">
        <v>34</v>
      </c>
      <c r="B84">
        <v>-173.76</v>
      </c>
      <c r="C84">
        <v>-17.3</v>
      </c>
      <c r="D84">
        <v>-87.3</v>
      </c>
      <c r="E84">
        <v>-118.15</v>
      </c>
      <c r="F84">
        <v>-55.32</v>
      </c>
      <c r="G84">
        <v>-32.69</v>
      </c>
      <c r="H84">
        <v>162.52000000000001</v>
      </c>
      <c r="I84">
        <v>-292.33</v>
      </c>
      <c r="J84">
        <v>-181.2</v>
      </c>
      <c r="K84">
        <v>-86.63</v>
      </c>
    </row>
    <row r="85" spans="1:11" s="1" customFormat="1" x14ac:dyDescent="0.3">
      <c r="A85" s="6" t="s">
        <v>35</v>
      </c>
      <c r="B85">
        <v>13.94</v>
      </c>
      <c r="C85">
        <v>-1.32</v>
      </c>
      <c r="D85">
        <v>17.96</v>
      </c>
      <c r="E85">
        <v>7.9</v>
      </c>
      <c r="F85">
        <v>55.8</v>
      </c>
      <c r="G85">
        <v>279.42</v>
      </c>
      <c r="H85">
        <v>-320.61</v>
      </c>
      <c r="I85">
        <v>2.85</v>
      </c>
      <c r="J85">
        <v>-6.21</v>
      </c>
      <c r="K85">
        <v>-24.94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/>
      <c r="C90"/>
      <c r="D90"/>
      <c r="E90"/>
      <c r="F90">
        <v>1284.45</v>
      </c>
      <c r="G90">
        <v>2241.1999999999998</v>
      </c>
      <c r="H90">
        <v>2035.75</v>
      </c>
      <c r="I90">
        <v>1248.3</v>
      </c>
      <c r="J90">
        <v>1723.6</v>
      </c>
      <c r="K90">
        <v>1564.55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0.95</v>
      </c>
      <c r="C93" s="24">
        <v>0.95</v>
      </c>
      <c r="D93" s="24">
        <v>0.95</v>
      </c>
      <c r="E93" s="24">
        <v>5.0199999999999996</v>
      </c>
      <c r="F93" s="24">
        <v>5.0599999999999996</v>
      </c>
      <c r="G93" s="24">
        <v>5.1100000000000003</v>
      </c>
      <c r="H93" s="24">
        <v>5.12</v>
      </c>
      <c r="I93" s="24">
        <v>5.12</v>
      </c>
      <c r="J93" s="24">
        <v>5.12</v>
      </c>
      <c r="K93" s="24">
        <v>5.18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>
    <row r="1" spans="1:1" x14ac:dyDescent="0.3">
      <c r="A1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workbookViewId="0">
      <pane ySplit="3" topLeftCell="A53" activePane="bottomLeft" state="frozen"/>
      <selection pane="bottomLeft" activeCell="H111" sqref="H111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69" t="str">
        <f>"Historical Financial Statement - "&amp;'Data Sheet'!B1</f>
        <v>Historical Financial Statement - METROPOLIS HEALTHCARE LTD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3">
      <c r="B3" s="25" t="s">
        <v>94</v>
      </c>
      <c r="C3" s="25"/>
      <c r="D3" s="26">
        <f>'Data Sheet'!B16</f>
        <v>42460</v>
      </c>
      <c r="E3" s="26">
        <f>'Data Sheet'!C16</f>
        <v>42825</v>
      </c>
      <c r="F3" s="26">
        <f>'Data Sheet'!D16</f>
        <v>43190</v>
      </c>
      <c r="G3" s="26">
        <f>'Data Sheet'!E16</f>
        <v>43555</v>
      </c>
      <c r="H3" s="26">
        <f>'Data Sheet'!F16</f>
        <v>43921</v>
      </c>
      <c r="I3" s="26">
        <f>'Data Sheet'!G16</f>
        <v>44286</v>
      </c>
      <c r="J3" s="26">
        <f>'Data Sheet'!H16</f>
        <v>44651</v>
      </c>
      <c r="K3" s="26">
        <f>'Data Sheet'!I16</f>
        <v>45016</v>
      </c>
      <c r="L3" s="26">
        <f>'Data Sheet'!J16</f>
        <v>45382</v>
      </c>
      <c r="M3" s="26">
        <f>'Data Sheet'!K16</f>
        <v>45747</v>
      </c>
      <c r="N3" s="27" t="s">
        <v>95</v>
      </c>
    </row>
    <row r="4" spans="1:14" x14ac:dyDescent="0.3">
      <c r="A4" t="s">
        <v>97</v>
      </c>
      <c r="B4" s="67" t="s">
        <v>96</v>
      </c>
      <c r="C4" s="67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ht="15" customHeight="1" x14ac:dyDescent="0.3">
      <c r="B5" t="s">
        <v>6</v>
      </c>
      <c r="D5" s="28">
        <f>IFERROR('Data Sheet'!B17,0)</f>
        <v>475.47</v>
      </c>
      <c r="E5" s="28">
        <f>IFERROR('Data Sheet'!C17,0)</f>
        <v>544.72</v>
      </c>
      <c r="F5" s="28">
        <f>IFERROR('Data Sheet'!D17,0)</f>
        <v>647.16</v>
      </c>
      <c r="G5" s="28">
        <f>IFERROR('Data Sheet'!E17,0)</f>
        <v>761.18</v>
      </c>
      <c r="H5" s="28">
        <f>IFERROR('Data Sheet'!F17,0)</f>
        <v>856.41</v>
      </c>
      <c r="I5" s="28">
        <f>IFERROR('Data Sheet'!G17,0)</f>
        <v>997.99</v>
      </c>
      <c r="J5" s="28">
        <f>IFERROR('Data Sheet'!H17,0)</f>
        <v>1228.3399999999999</v>
      </c>
      <c r="K5" s="28">
        <f>IFERROR('Data Sheet'!I17,0)</f>
        <v>1148.21</v>
      </c>
      <c r="L5" s="28">
        <f>IFERROR('Data Sheet'!J17,0)</f>
        <v>1207.71</v>
      </c>
      <c r="M5" s="28">
        <f>IFERROR('Data Sheet'!K17,0)</f>
        <v>1331.2</v>
      </c>
      <c r="N5" s="28">
        <f>IFERROR(SUM('Data Sheet'!H42:K42),0)</f>
        <v>1331.21</v>
      </c>
    </row>
    <row r="6" spans="1:14" x14ac:dyDescent="0.3">
      <c r="B6" s="29" t="s">
        <v>22</v>
      </c>
      <c r="C6" s="29"/>
      <c r="D6" s="29" t="s">
        <v>98</v>
      </c>
      <c r="E6" s="30">
        <f>E5/D5 - 1</f>
        <v>0.14564536143184648</v>
      </c>
      <c r="F6" s="30">
        <f t="shared" ref="F6:N6" si="0">F5/E5 - 1</f>
        <v>0.1880599206932001</v>
      </c>
      <c r="G6" s="30">
        <f t="shared" si="0"/>
        <v>0.17618517831757208</v>
      </c>
      <c r="H6" s="30">
        <f t="shared" si="0"/>
        <v>0.12510838435061356</v>
      </c>
      <c r="I6" s="30">
        <f t="shared" si="0"/>
        <v>0.1653180135682677</v>
      </c>
      <c r="J6" s="30">
        <f t="shared" si="0"/>
        <v>0.23081393601138278</v>
      </c>
      <c r="K6" s="30">
        <f t="shared" si="0"/>
        <v>-6.5234381360209648E-2</v>
      </c>
      <c r="L6" s="30">
        <f t="shared" si="0"/>
        <v>5.1819789062976351E-2</v>
      </c>
      <c r="M6" s="30">
        <f t="shared" si="0"/>
        <v>0.10225136829205694</v>
      </c>
      <c r="N6" s="30">
        <f t="shared" si="0"/>
        <v>7.5120192306599165E-6</v>
      </c>
    </row>
    <row r="8" spans="1:14" x14ac:dyDescent="0.3">
      <c r="B8" t="s">
        <v>99</v>
      </c>
      <c r="D8" s="28">
        <f>IFERROR(SUM('Data Sheet'!B18,'Data Sheet'!B20:B22)-1*'Data Sheet'!B19,0)</f>
        <v>251.86</v>
      </c>
      <c r="E8" s="28">
        <f>IFERROR(SUM('Data Sheet'!C18,'Data Sheet'!C20:C22)-1*'Data Sheet'!C19,0)</f>
        <v>283.45</v>
      </c>
      <c r="F8" s="28">
        <f>IFERROR(SUM('Data Sheet'!D18,'Data Sheet'!D20:D22)-1*'Data Sheet'!D19,0)</f>
        <v>362.18</v>
      </c>
      <c r="G8" s="28">
        <f>IFERROR(SUM('Data Sheet'!E18,'Data Sheet'!E20:E22)-1*'Data Sheet'!E19,0)</f>
        <v>438.18</v>
      </c>
      <c r="H8" s="28">
        <f>IFERROR(SUM('Data Sheet'!F18,'Data Sheet'!F20:F22)-1*'Data Sheet'!F19,0)</f>
        <v>429.86</v>
      </c>
      <c r="I8" s="28">
        <f>IFERROR(SUM('Data Sheet'!G18,'Data Sheet'!G20:G22)-1*'Data Sheet'!G19,0)</f>
        <v>489.48999999999995</v>
      </c>
      <c r="J8" s="28">
        <f>IFERROR(SUM('Data Sheet'!H18,'Data Sheet'!H20:H22)-1*'Data Sheet'!H19,0)</f>
        <v>557.49</v>
      </c>
      <c r="K8" s="28">
        <f>IFERROR(SUM('Data Sheet'!I18,'Data Sheet'!I20:I22)-1*'Data Sheet'!I19,0)</f>
        <v>552.45000000000005</v>
      </c>
      <c r="L8" s="28">
        <f>IFERROR(SUM('Data Sheet'!J18,'Data Sheet'!J20:J22)-1*'Data Sheet'!J19,0)</f>
        <v>580.61999999999989</v>
      </c>
      <c r="M8" s="28">
        <f>IFERROR(SUM('Data Sheet'!K18,'Data Sheet'!K20:K22)-1*'Data Sheet'!K19,0)</f>
        <v>582.43000000000006</v>
      </c>
      <c r="N8" s="28">
        <f>IFERROR(SUM('Data Sheet'!H43:K43),0)</f>
        <v>1028.23</v>
      </c>
    </row>
    <row r="9" spans="1:14" x14ac:dyDescent="0.3">
      <c r="B9" s="29" t="s">
        <v>100</v>
      </c>
      <c r="C9" s="29"/>
      <c r="D9" s="30">
        <f>D8/D5</f>
        <v>0.52970744736786757</v>
      </c>
      <c r="E9" s="30">
        <f t="shared" ref="E9:N9" si="1">E8/E5</f>
        <v>0.52035908356586869</v>
      </c>
      <c r="F9" s="30">
        <f t="shared" si="1"/>
        <v>0.55964521911119358</v>
      </c>
      <c r="G9" s="30">
        <f t="shared" si="1"/>
        <v>0.57565884547675983</v>
      </c>
      <c r="H9" s="30">
        <f t="shared" si="1"/>
        <v>0.50193248560852866</v>
      </c>
      <c r="I9" s="30">
        <f t="shared" si="1"/>
        <v>0.49047585647150765</v>
      </c>
      <c r="J9" s="30">
        <f t="shared" si="1"/>
        <v>0.45385642411710114</v>
      </c>
      <c r="K9" s="30">
        <f t="shared" si="1"/>
        <v>0.48114020954355041</v>
      </c>
      <c r="L9" s="30">
        <f t="shared" si="1"/>
        <v>0.48076110986909099</v>
      </c>
      <c r="M9" s="30">
        <f t="shared" si="1"/>
        <v>0.43752253605769231</v>
      </c>
      <c r="N9" s="30">
        <f t="shared" si="1"/>
        <v>0.77240255106256717</v>
      </c>
    </row>
    <row r="11" spans="1:14" x14ac:dyDescent="0.3">
      <c r="B11" s="70" t="s">
        <v>101</v>
      </c>
      <c r="C11" s="70"/>
      <c r="D11" s="71">
        <f t="shared" ref="D11:N11" si="2">D5-D8</f>
        <v>223.61</v>
      </c>
      <c r="E11" s="71">
        <f t="shared" si="2"/>
        <v>261.27000000000004</v>
      </c>
      <c r="F11" s="71">
        <f t="shared" si="2"/>
        <v>284.97999999999996</v>
      </c>
      <c r="G11" s="71">
        <f t="shared" si="2"/>
        <v>322.99999999999994</v>
      </c>
      <c r="H11" s="71">
        <f t="shared" si="2"/>
        <v>426.54999999999995</v>
      </c>
      <c r="I11" s="71">
        <f t="shared" si="2"/>
        <v>508.50000000000006</v>
      </c>
      <c r="J11" s="71">
        <f t="shared" si="2"/>
        <v>670.84999999999991</v>
      </c>
      <c r="K11" s="71">
        <f t="shared" si="2"/>
        <v>595.76</v>
      </c>
      <c r="L11" s="71">
        <f t="shared" si="2"/>
        <v>627.09000000000015</v>
      </c>
      <c r="M11" s="71">
        <f t="shared" si="2"/>
        <v>748.77</v>
      </c>
      <c r="N11" s="71">
        <f t="shared" si="2"/>
        <v>302.98</v>
      </c>
    </row>
    <row r="12" spans="1:14" x14ac:dyDescent="0.3">
      <c r="B12" s="32" t="s">
        <v>159</v>
      </c>
      <c r="C12" s="32"/>
      <c r="D12" s="32">
        <f>(D5-D8)/D5</f>
        <v>0.47029255263213243</v>
      </c>
      <c r="E12" s="32">
        <f t="shared" ref="E12:N12" si="3">(E5-E8)/E5</f>
        <v>0.47964091643413137</v>
      </c>
      <c r="F12" s="32">
        <f t="shared" si="3"/>
        <v>0.44035478088880642</v>
      </c>
      <c r="G12" s="32">
        <f t="shared" si="3"/>
        <v>0.42434115452324017</v>
      </c>
      <c r="H12" s="32">
        <f t="shared" si="3"/>
        <v>0.49806751439147134</v>
      </c>
      <c r="I12" s="32">
        <f t="shared" si="3"/>
        <v>0.50952414352849229</v>
      </c>
      <c r="J12" s="32">
        <f t="shared" si="3"/>
        <v>0.54614357588289886</v>
      </c>
      <c r="K12" s="32">
        <f t="shared" si="3"/>
        <v>0.51885979045644959</v>
      </c>
      <c r="L12" s="32">
        <f t="shared" si="3"/>
        <v>0.51923889013090907</v>
      </c>
      <c r="M12" s="32">
        <f t="shared" si="3"/>
        <v>0.56247746394230769</v>
      </c>
      <c r="N12" s="32">
        <f t="shared" si="3"/>
        <v>0.22759744893743286</v>
      </c>
    </row>
    <row r="14" spans="1:14" x14ac:dyDescent="0.3">
      <c r="B14" t="s">
        <v>102</v>
      </c>
      <c r="D14" s="31">
        <f>IFERROR(SUM('Data Sheet'!B23:B24),0)</f>
        <v>107.32000000000001</v>
      </c>
      <c r="E14" s="31">
        <f>IFERROR(SUM('Data Sheet'!C23:C24),0)</f>
        <v>121.07</v>
      </c>
      <c r="F14" s="31">
        <f>IFERROR(SUM('Data Sheet'!D23:D24),0)</f>
        <v>104.41</v>
      </c>
      <c r="G14" s="31">
        <f>IFERROR(SUM('Data Sheet'!E23:E24),0)</f>
        <v>120.42999999999999</v>
      </c>
      <c r="H14" s="31">
        <f>IFERROR(SUM('Data Sheet'!F23:F24),0)</f>
        <v>189.34</v>
      </c>
      <c r="I14" s="31">
        <f>IFERROR(SUM('Data Sheet'!G23:G24),0)</f>
        <v>218.71</v>
      </c>
      <c r="J14" s="31">
        <f>IFERROR(SUM('Data Sheet'!H23:H24),0)</f>
        <v>322.77</v>
      </c>
      <c r="K14" s="31">
        <f>IFERROR(SUM('Data Sheet'!I23:I24),0)</f>
        <v>302.41000000000003</v>
      </c>
      <c r="L14" s="31">
        <f>IFERROR(SUM('Data Sheet'!J23:J24),0)</f>
        <v>339.15999999999997</v>
      </c>
      <c r="M14" s="31">
        <f>IFERROR(SUM('Data Sheet'!K23:K24),0)</f>
        <v>445.78</v>
      </c>
      <c r="N14" s="31">
        <f>IFERROR(SUM('Data Sheet'!L23:L24),0)</f>
        <v>0</v>
      </c>
    </row>
    <row r="15" spans="1:14" x14ac:dyDescent="0.3">
      <c r="B15" s="29" t="s">
        <v>103</v>
      </c>
      <c r="C15" s="29"/>
      <c r="D15" s="30">
        <f t="shared" ref="D15:N15" si="4">D14/D5</f>
        <v>0.22571350453235747</v>
      </c>
      <c r="E15" s="30">
        <f t="shared" si="4"/>
        <v>0.2222609781171978</v>
      </c>
      <c r="F15" s="30">
        <f t="shared" si="4"/>
        <v>0.16133568205698745</v>
      </c>
      <c r="G15" s="30">
        <f t="shared" si="4"/>
        <v>0.1582148769016527</v>
      </c>
      <c r="H15" s="30">
        <f t="shared" si="4"/>
        <v>0.22108569493583682</v>
      </c>
      <c r="I15" s="30">
        <f t="shared" si="4"/>
        <v>0.2191504924899047</v>
      </c>
      <c r="J15" s="30">
        <f t="shared" si="4"/>
        <v>0.26276926583844862</v>
      </c>
      <c r="K15" s="30">
        <f t="shared" si="4"/>
        <v>0.26337516656360771</v>
      </c>
      <c r="L15" s="30">
        <f t="shared" si="4"/>
        <v>0.2808290069635922</v>
      </c>
      <c r="M15" s="30">
        <f t="shared" si="4"/>
        <v>0.33487079326923075</v>
      </c>
      <c r="N15" s="30">
        <f t="shared" si="4"/>
        <v>0</v>
      </c>
    </row>
    <row r="17" spans="2:14" x14ac:dyDescent="0.3">
      <c r="B17" s="70" t="s">
        <v>104</v>
      </c>
      <c r="C17" s="70"/>
      <c r="D17" s="71">
        <f>D11-D14</f>
        <v>116.29</v>
      </c>
      <c r="E17" s="71">
        <f t="shared" ref="E17:N17" si="5">E11-E14</f>
        <v>140.20000000000005</v>
      </c>
      <c r="F17" s="71">
        <f t="shared" si="5"/>
        <v>180.56999999999996</v>
      </c>
      <c r="G17" s="71">
        <f t="shared" si="5"/>
        <v>202.56999999999994</v>
      </c>
      <c r="H17" s="71">
        <f t="shared" si="5"/>
        <v>237.20999999999995</v>
      </c>
      <c r="I17" s="71">
        <f t="shared" si="5"/>
        <v>289.79000000000008</v>
      </c>
      <c r="J17" s="71">
        <f t="shared" si="5"/>
        <v>348.07999999999993</v>
      </c>
      <c r="K17" s="71">
        <f t="shared" si="5"/>
        <v>293.34999999999997</v>
      </c>
      <c r="L17" s="71">
        <f t="shared" si="5"/>
        <v>287.93000000000018</v>
      </c>
      <c r="M17" s="71">
        <f t="shared" si="5"/>
        <v>302.99</v>
      </c>
      <c r="N17" s="71">
        <f t="shared" si="5"/>
        <v>302.98</v>
      </c>
    </row>
    <row r="18" spans="2:14" x14ac:dyDescent="0.3">
      <c r="B18" s="32" t="s">
        <v>163</v>
      </c>
      <c r="C18" s="32"/>
      <c r="D18" s="32">
        <f>D17/D5</f>
        <v>0.24457904809977496</v>
      </c>
      <c r="E18" s="32">
        <f t="shared" ref="E18:N18" si="6">E17/E5</f>
        <v>0.25737993831693357</v>
      </c>
      <c r="F18" s="32">
        <f t="shared" si="6"/>
        <v>0.27901909883181897</v>
      </c>
      <c r="G18" s="32">
        <f t="shared" si="6"/>
        <v>0.26612627762158747</v>
      </c>
      <c r="H18" s="32">
        <f t="shared" si="6"/>
        <v>0.27698181945563455</v>
      </c>
      <c r="I18" s="32">
        <f t="shared" si="6"/>
        <v>0.29037365103858764</v>
      </c>
      <c r="J18" s="32">
        <f t="shared" si="6"/>
        <v>0.28337431004445018</v>
      </c>
      <c r="K18" s="32">
        <f t="shared" si="6"/>
        <v>0.25548462389284188</v>
      </c>
      <c r="L18" s="32">
        <f t="shared" si="6"/>
        <v>0.23840988316731679</v>
      </c>
      <c r="M18" s="32">
        <f t="shared" si="6"/>
        <v>0.22760667067307691</v>
      </c>
      <c r="N18" s="32">
        <f t="shared" si="6"/>
        <v>0.22759744893743286</v>
      </c>
    </row>
    <row r="19" spans="2:14" x14ac:dyDescent="0.3">
      <c r="B19" s="29" t="s">
        <v>105</v>
      </c>
      <c r="C19" s="29"/>
      <c r="D19" s="30">
        <f t="shared" ref="D19:N19" si="7">D17/D5</f>
        <v>0.24457904809977496</v>
      </c>
      <c r="E19" s="30">
        <f t="shared" si="7"/>
        <v>0.25737993831693357</v>
      </c>
      <c r="F19" s="30">
        <f t="shared" si="7"/>
        <v>0.27901909883181897</v>
      </c>
      <c r="G19" s="30">
        <f t="shared" si="7"/>
        <v>0.26612627762158747</v>
      </c>
      <c r="H19" s="30">
        <f t="shared" si="7"/>
        <v>0.27698181945563455</v>
      </c>
      <c r="I19" s="30">
        <f t="shared" si="7"/>
        <v>0.29037365103858764</v>
      </c>
      <c r="J19" s="30">
        <f t="shared" si="7"/>
        <v>0.28337431004445018</v>
      </c>
      <c r="K19" s="30">
        <f t="shared" si="7"/>
        <v>0.25548462389284188</v>
      </c>
      <c r="L19" s="30">
        <f t="shared" si="7"/>
        <v>0.23840988316731679</v>
      </c>
      <c r="M19" s="30">
        <f t="shared" si="7"/>
        <v>0.22760667067307691</v>
      </c>
      <c r="N19" s="30">
        <f t="shared" si="7"/>
        <v>0.22759744893743286</v>
      </c>
    </row>
    <row r="21" spans="2:14" x14ac:dyDescent="0.3">
      <c r="B21" t="s">
        <v>11</v>
      </c>
      <c r="D21" s="31">
        <f>IFERROR('Data Sheet'!B27,0)</f>
        <v>1.6</v>
      </c>
      <c r="E21" s="31">
        <f>IFERROR('Data Sheet'!C27,0)</f>
        <v>1.94</v>
      </c>
      <c r="F21" s="31">
        <f>IFERROR('Data Sheet'!D27,0)</f>
        <v>3.54</v>
      </c>
      <c r="G21" s="31">
        <f>IFERROR('Data Sheet'!E27,0)</f>
        <v>4.12</v>
      </c>
      <c r="H21" s="31">
        <f>IFERROR('Data Sheet'!F27,0)</f>
        <v>12.65</v>
      </c>
      <c r="I21" s="31">
        <f>IFERROR('Data Sheet'!G27,0)</f>
        <v>11.56</v>
      </c>
      <c r="J21" s="31">
        <f>IFERROR('Data Sheet'!H27,0)</f>
        <v>25.02</v>
      </c>
      <c r="K21" s="31">
        <f>IFERROR('Data Sheet'!I27,0)</f>
        <v>31.85</v>
      </c>
      <c r="L21" s="31">
        <f>IFERROR('Data Sheet'!J27,0)</f>
        <v>27.89</v>
      </c>
      <c r="M21" s="31">
        <f>IFERROR('Data Sheet'!K27,0)</f>
        <v>18.57</v>
      </c>
      <c r="N21" s="31">
        <f>IFERROR('Data Sheet'!L27,0)</f>
        <v>0</v>
      </c>
    </row>
    <row r="22" spans="2:14" x14ac:dyDescent="0.3">
      <c r="B22" s="29" t="s">
        <v>106</v>
      </c>
      <c r="C22" s="29"/>
      <c r="D22" s="32">
        <f t="shared" ref="D22:N22" si="8">D21/D5</f>
        <v>3.3650913832628769E-3</v>
      </c>
      <c r="E22" s="32">
        <f t="shared" si="8"/>
        <v>3.5614627698634157E-3</v>
      </c>
      <c r="F22" s="32">
        <f t="shared" si="8"/>
        <v>5.4700537734099766E-3</v>
      </c>
      <c r="G22" s="32">
        <f t="shared" si="8"/>
        <v>5.4126487821540246E-3</v>
      </c>
      <c r="H22" s="32">
        <f t="shared" si="8"/>
        <v>1.47709625062762E-2</v>
      </c>
      <c r="I22" s="32">
        <f t="shared" si="8"/>
        <v>1.1583282397619216E-2</v>
      </c>
      <c r="J22" s="32">
        <f t="shared" si="8"/>
        <v>2.036895322142078E-2</v>
      </c>
      <c r="K22" s="32">
        <f t="shared" si="8"/>
        <v>2.77388282631226E-2</v>
      </c>
      <c r="L22" s="32">
        <f t="shared" si="8"/>
        <v>2.3093292263871294E-2</v>
      </c>
      <c r="M22" s="32">
        <f t="shared" si="8"/>
        <v>1.3949819711538461E-2</v>
      </c>
      <c r="N22" s="32">
        <f t="shared" si="8"/>
        <v>0</v>
      </c>
    </row>
    <row r="24" spans="2:14" x14ac:dyDescent="0.3">
      <c r="B24" t="s">
        <v>10</v>
      </c>
      <c r="D24" s="31">
        <f>IFERROR('Data Sheet'!B26,0)</f>
        <v>16.64</v>
      </c>
      <c r="E24" s="31">
        <f>IFERROR('Data Sheet'!C26,0)</f>
        <v>17.23</v>
      </c>
      <c r="F24" s="31">
        <f>IFERROR('Data Sheet'!D26,0)</f>
        <v>19.02</v>
      </c>
      <c r="G24" s="31">
        <f>IFERROR('Data Sheet'!E26,0)</f>
        <v>20.07</v>
      </c>
      <c r="H24" s="31">
        <f>IFERROR('Data Sheet'!F26,0)</f>
        <v>39.270000000000003</v>
      </c>
      <c r="I24" s="31">
        <f>IFERROR('Data Sheet'!G26,0)</f>
        <v>45.94</v>
      </c>
      <c r="J24" s="31">
        <f>IFERROR('Data Sheet'!H26,0)</f>
        <v>63.22</v>
      </c>
      <c r="K24" s="31">
        <f>IFERROR('Data Sheet'!I26,0)</f>
        <v>89.22</v>
      </c>
      <c r="L24" s="31">
        <f>IFERROR('Data Sheet'!J26,0)</f>
        <v>94.47</v>
      </c>
      <c r="M24" s="31">
        <f>IFERROR('Data Sheet'!K26,0)</f>
        <v>108.68</v>
      </c>
      <c r="N24" s="31">
        <f>IFERROR(SUM('Data Sheet'!H45:K45),0)</f>
        <v>108.68</v>
      </c>
    </row>
    <row r="25" spans="2:14" x14ac:dyDescent="0.3">
      <c r="B25" s="29" t="s">
        <v>107</v>
      </c>
      <c r="D25" s="32">
        <f t="shared" ref="D25:N25" si="9">D24/D5</f>
        <v>3.4996950385933916E-2</v>
      </c>
      <c r="E25" s="32">
        <f t="shared" si="9"/>
        <v>3.1630929651931268E-2</v>
      </c>
      <c r="F25" s="32">
        <f t="shared" si="9"/>
        <v>2.9389949935101058E-2</v>
      </c>
      <c r="G25" s="32">
        <f t="shared" si="9"/>
        <v>2.6366956567434773E-2</v>
      </c>
      <c r="H25" s="32">
        <f t="shared" si="9"/>
        <v>4.585420534557047E-2</v>
      </c>
      <c r="I25" s="32">
        <f t="shared" si="9"/>
        <v>4.6032525376005766E-2</v>
      </c>
      <c r="J25" s="32">
        <f t="shared" si="9"/>
        <v>5.1467834638617975E-2</v>
      </c>
      <c r="K25" s="32">
        <f t="shared" si="9"/>
        <v>7.7703555969726792E-2</v>
      </c>
      <c r="L25" s="32">
        <f t="shared" si="9"/>
        <v>7.8222420945425641E-2</v>
      </c>
      <c r="M25" s="32">
        <f t="shared" si="9"/>
        <v>8.1640625000000008E-2</v>
      </c>
      <c r="N25" s="32">
        <f t="shared" si="9"/>
        <v>8.1640011718661976E-2</v>
      </c>
    </row>
    <row r="27" spans="2:14" x14ac:dyDescent="0.3">
      <c r="B27" s="70" t="s">
        <v>108</v>
      </c>
      <c r="C27" s="70"/>
      <c r="D27" s="72">
        <f>IFERROR(D17-SUM(D21,D24),0)</f>
        <v>98.050000000000011</v>
      </c>
      <c r="E27" s="72">
        <f t="shared" ref="E27:N27" si="10">IFERROR(E17-SUM(E21,E24),0)</f>
        <v>121.03000000000004</v>
      </c>
      <c r="F27" s="72">
        <f t="shared" si="10"/>
        <v>158.00999999999996</v>
      </c>
      <c r="G27" s="72">
        <f t="shared" si="10"/>
        <v>178.37999999999994</v>
      </c>
      <c r="H27" s="72">
        <f t="shared" si="10"/>
        <v>185.28999999999996</v>
      </c>
      <c r="I27" s="72">
        <f t="shared" si="10"/>
        <v>232.29000000000008</v>
      </c>
      <c r="J27" s="72">
        <f t="shared" si="10"/>
        <v>259.83999999999992</v>
      </c>
      <c r="K27" s="72">
        <f t="shared" si="10"/>
        <v>172.27999999999997</v>
      </c>
      <c r="L27" s="72">
        <f t="shared" si="10"/>
        <v>165.57000000000016</v>
      </c>
      <c r="M27" s="72">
        <f t="shared" si="10"/>
        <v>175.74</v>
      </c>
      <c r="N27" s="72">
        <f t="shared" si="10"/>
        <v>194.3</v>
      </c>
    </row>
    <row r="28" spans="2:14" x14ac:dyDescent="0.3">
      <c r="B28" s="29" t="s">
        <v>109</v>
      </c>
      <c r="C28" s="29"/>
      <c r="D28" s="32">
        <f t="shared" ref="D28:N28" si="11">D27/D5</f>
        <v>0.20621700633057818</v>
      </c>
      <c r="E28" s="32">
        <f t="shared" si="11"/>
        <v>0.22218754589513887</v>
      </c>
      <c r="F28" s="32">
        <f t="shared" si="11"/>
        <v>0.24415909512330794</v>
      </c>
      <c r="G28" s="32">
        <f t="shared" si="11"/>
        <v>0.23434667227199868</v>
      </c>
      <c r="H28" s="32">
        <f t="shared" si="11"/>
        <v>0.21635665160378786</v>
      </c>
      <c r="I28" s="32">
        <f t="shared" si="11"/>
        <v>0.23275784326496265</v>
      </c>
      <c r="J28" s="32">
        <f t="shared" si="11"/>
        <v>0.21153752218441144</v>
      </c>
      <c r="K28" s="32">
        <f t="shared" si="11"/>
        <v>0.15004223965999247</v>
      </c>
      <c r="L28" s="32">
        <f t="shared" si="11"/>
        <v>0.13709416995801985</v>
      </c>
      <c r="M28" s="32">
        <f t="shared" si="11"/>
        <v>0.13201622596153847</v>
      </c>
      <c r="N28" s="32">
        <f t="shared" si="11"/>
        <v>0.14595743721877089</v>
      </c>
    </row>
    <row r="30" spans="2:14" x14ac:dyDescent="0.3">
      <c r="B30" t="s">
        <v>13</v>
      </c>
      <c r="D30" s="28">
        <f>IFERROR('Data Sheet'!B29,0)</f>
        <v>45.57</v>
      </c>
      <c r="E30" s="28">
        <f>IFERROR('Data Sheet'!C29,0)</f>
        <v>52.66</v>
      </c>
      <c r="F30" s="28">
        <f>IFERROR('Data Sheet'!D29,0)</f>
        <v>51.84</v>
      </c>
      <c r="G30" s="28">
        <f>IFERROR('Data Sheet'!E29,0)</f>
        <v>62.94</v>
      </c>
      <c r="H30" s="28">
        <f>IFERROR('Data Sheet'!F29,0)</f>
        <v>41.18</v>
      </c>
      <c r="I30" s="28">
        <f>IFERROR('Data Sheet'!G29,0)</f>
        <v>60.97</v>
      </c>
      <c r="J30" s="28">
        <f>IFERROR('Data Sheet'!H29,0)</f>
        <v>78.66</v>
      </c>
      <c r="K30" s="28">
        <f>IFERROR('Data Sheet'!I29,0)</f>
        <v>44.11</v>
      </c>
      <c r="L30" s="28">
        <f>IFERROR('Data Sheet'!J29,0)</f>
        <v>46.23</v>
      </c>
      <c r="M30" s="28">
        <f>IFERROR('Data Sheet'!K29,0)</f>
        <v>45.34</v>
      </c>
      <c r="N30" s="28">
        <f>IFERROR(SUM('Data Sheet'!H48:K48),0)</f>
        <v>45.339999999999996</v>
      </c>
    </row>
    <row r="31" spans="2:14" x14ac:dyDescent="0.3">
      <c r="B31" s="29" t="s">
        <v>111</v>
      </c>
      <c r="C31" s="29"/>
      <c r="D31" s="30">
        <f>D30/D27</f>
        <v>0.46476287608363076</v>
      </c>
      <c r="E31" s="30">
        <f t="shared" ref="E31:N31" si="12">E30/E27</f>
        <v>0.43509873585061537</v>
      </c>
      <c r="F31" s="30">
        <f t="shared" si="12"/>
        <v>0.32808050123409921</v>
      </c>
      <c r="G31" s="30">
        <f t="shared" si="12"/>
        <v>0.35284224688866478</v>
      </c>
      <c r="H31" s="30">
        <f t="shared" si="12"/>
        <v>0.22224620864590647</v>
      </c>
      <c r="I31" s="30">
        <f t="shared" si="12"/>
        <v>0.26247363209780866</v>
      </c>
      <c r="J31" s="30">
        <f t="shared" si="12"/>
        <v>0.30272475369458135</v>
      </c>
      <c r="K31" s="30">
        <f t="shared" si="12"/>
        <v>0.25603668446714656</v>
      </c>
      <c r="L31" s="30">
        <f t="shared" si="12"/>
        <v>0.27921724950172105</v>
      </c>
      <c r="M31" s="30">
        <f t="shared" si="12"/>
        <v>0.25799476499374074</v>
      </c>
      <c r="N31" s="30">
        <f t="shared" si="12"/>
        <v>0.23335048893463711</v>
      </c>
    </row>
    <row r="33" spans="1:14" x14ac:dyDescent="0.3">
      <c r="B33" s="70" t="s">
        <v>112</v>
      </c>
      <c r="C33" s="70"/>
      <c r="D33" s="72">
        <f>IFERROR(D27-D30,0)</f>
        <v>52.480000000000011</v>
      </c>
      <c r="E33" s="72">
        <f t="shared" ref="E33:N33" si="13">IFERROR(E27-E30,0)</f>
        <v>68.370000000000047</v>
      </c>
      <c r="F33" s="72">
        <f t="shared" si="13"/>
        <v>106.16999999999996</v>
      </c>
      <c r="G33" s="72">
        <f t="shared" si="13"/>
        <v>115.43999999999994</v>
      </c>
      <c r="H33" s="72">
        <f t="shared" si="13"/>
        <v>144.10999999999996</v>
      </c>
      <c r="I33" s="72">
        <f t="shared" si="13"/>
        <v>171.32000000000008</v>
      </c>
      <c r="J33" s="72">
        <f t="shared" si="13"/>
        <v>181.17999999999992</v>
      </c>
      <c r="K33" s="72">
        <f t="shared" si="13"/>
        <v>128.16999999999996</v>
      </c>
      <c r="L33" s="72">
        <f t="shared" si="13"/>
        <v>119.34000000000017</v>
      </c>
      <c r="M33" s="72">
        <f t="shared" si="13"/>
        <v>130.4</v>
      </c>
      <c r="N33" s="72">
        <f t="shared" si="13"/>
        <v>148.96</v>
      </c>
    </row>
    <row r="34" spans="1:14" x14ac:dyDescent="0.3">
      <c r="B34" s="30" t="s">
        <v>113</v>
      </c>
      <c r="C34" s="30"/>
      <c r="D34" s="30">
        <f t="shared" ref="D34:N34" si="14">D33/D5</f>
        <v>0.11037499737102237</v>
      </c>
      <c r="E34" s="30">
        <f t="shared" si="14"/>
        <v>0.12551402555441335</v>
      </c>
      <c r="F34" s="30">
        <f t="shared" si="14"/>
        <v>0.16405525681438896</v>
      </c>
      <c r="G34" s="30">
        <f t="shared" si="14"/>
        <v>0.15165926587666512</v>
      </c>
      <c r="H34" s="30">
        <f t="shared" si="14"/>
        <v>0.16827220606952273</v>
      </c>
      <c r="I34" s="30">
        <f t="shared" si="14"/>
        <v>0.17166504674395544</v>
      </c>
      <c r="J34" s="30">
        <f t="shared" si="14"/>
        <v>0.14749987788397345</v>
      </c>
      <c r="K34" s="30">
        <f t="shared" si="14"/>
        <v>0.11162592208742299</v>
      </c>
      <c r="L34" s="30">
        <f t="shared" si="14"/>
        <v>9.8815112899620083E-2</v>
      </c>
      <c r="M34" s="30">
        <f t="shared" si="14"/>
        <v>9.7956730769230768E-2</v>
      </c>
      <c r="N34" s="30">
        <f t="shared" si="14"/>
        <v>0.1118981978801241</v>
      </c>
    </row>
    <row r="36" spans="1:14" x14ac:dyDescent="0.3">
      <c r="B36" s="28" t="s">
        <v>74</v>
      </c>
      <c r="C36" s="28"/>
      <c r="D36" s="28">
        <f>IFERROR('Data Sheet'!B93,0)</f>
        <v>0.95</v>
      </c>
      <c r="E36" s="28">
        <f>IFERROR('Data Sheet'!C93,0)</f>
        <v>0.95</v>
      </c>
      <c r="F36" s="28">
        <f>IFERROR('Data Sheet'!D93,0)</f>
        <v>0.95</v>
      </c>
      <c r="G36" s="28">
        <f>IFERROR('Data Sheet'!E93,0)</f>
        <v>5.0199999999999996</v>
      </c>
      <c r="H36" s="28">
        <f>IFERROR('Data Sheet'!F93,0)</f>
        <v>5.0599999999999996</v>
      </c>
      <c r="I36" s="28">
        <f>IFERROR('Data Sheet'!G93,0)</f>
        <v>5.1100000000000003</v>
      </c>
      <c r="J36" s="28">
        <f>IFERROR('Data Sheet'!H93,0)</f>
        <v>5.12</v>
      </c>
      <c r="K36" s="28">
        <f>IFERROR('Data Sheet'!I93,0)</f>
        <v>5.12</v>
      </c>
      <c r="L36" s="28">
        <f>IFERROR('Data Sheet'!J93,0)</f>
        <v>5.12</v>
      </c>
      <c r="M36" s="28">
        <f>IFERROR('Data Sheet'!K93,0)</f>
        <v>5.18</v>
      </c>
    </row>
    <row r="38" spans="1:14" x14ac:dyDescent="0.3">
      <c r="B38" t="s">
        <v>114</v>
      </c>
      <c r="D38" s="28">
        <f>IFERROR(D33/D36,0)</f>
        <v>55.24210526315791</v>
      </c>
      <c r="E38" s="28">
        <f t="shared" ref="E38:M38" si="15">IFERROR(E33/E36,0)</f>
        <v>71.968421052631626</v>
      </c>
      <c r="F38" s="28">
        <f t="shared" si="15"/>
        <v>111.75789473684206</v>
      </c>
      <c r="G38" s="28">
        <f t="shared" si="15"/>
        <v>22.99601593625497</v>
      </c>
      <c r="H38" s="28">
        <f t="shared" si="15"/>
        <v>28.480237154150192</v>
      </c>
      <c r="I38" s="28">
        <f t="shared" si="15"/>
        <v>33.526418786692773</v>
      </c>
      <c r="J38" s="28">
        <f t="shared" si="15"/>
        <v>35.386718749999986</v>
      </c>
      <c r="K38" s="28">
        <f t="shared" si="15"/>
        <v>25.033203124999993</v>
      </c>
      <c r="L38" s="28">
        <f t="shared" si="15"/>
        <v>23.308593750000032</v>
      </c>
      <c r="M38" s="28">
        <f t="shared" si="15"/>
        <v>25.173745173745175</v>
      </c>
    </row>
    <row r="39" spans="1:14" x14ac:dyDescent="0.3">
      <c r="B39" s="30" t="s">
        <v>116</v>
      </c>
      <c r="C39" s="30"/>
      <c r="D39" s="30"/>
      <c r="E39" s="30">
        <f>E38/D38-1</f>
        <v>0.30278201219512235</v>
      </c>
      <c r="F39" s="30">
        <f t="shared" ref="F39:M39" si="16">F38/E38-1</f>
        <v>0.55287406757349555</v>
      </c>
      <c r="G39" s="30">
        <f t="shared" si="16"/>
        <v>-0.79423363342335662</v>
      </c>
      <c r="H39" s="30">
        <f t="shared" si="16"/>
        <v>0.23848571131179863</v>
      </c>
      <c r="I39" s="30">
        <f t="shared" si="16"/>
        <v>0.17718186843845296</v>
      </c>
      <c r="J39" s="30">
        <f t="shared" si="16"/>
        <v>5.5487583542492835E-2</v>
      </c>
      <c r="K39" s="30">
        <f t="shared" si="16"/>
        <v>-0.29258196268903847</v>
      </c>
      <c r="L39" s="30">
        <f t="shared" si="16"/>
        <v>-6.8892876648200096E-2</v>
      </c>
      <c r="M39" s="30">
        <f t="shared" si="16"/>
        <v>8.0019903549313876E-2</v>
      </c>
    </row>
    <row r="40" spans="1:14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4" x14ac:dyDescent="0.3">
      <c r="B41" t="s">
        <v>115</v>
      </c>
      <c r="D41" s="28">
        <f>IFERROR('Data Sheet'!B31/'Historical FS'!D36,0)</f>
        <v>80.747368421052627</v>
      </c>
      <c r="E41" s="28">
        <f>IFERROR('Data Sheet'!C31/'Historical FS'!E36,0)</f>
        <v>52.610526315789471</v>
      </c>
      <c r="F41" s="28">
        <f>IFERROR('Data Sheet'!D31/'Historical FS'!F36,0)</f>
        <v>0</v>
      </c>
      <c r="G41" s="28">
        <f>IFERROR('Data Sheet'!E31/'Historical FS'!G36,0)</f>
        <v>13.260956175298805</v>
      </c>
      <c r="H41" s="28">
        <f>IFERROR('Data Sheet'!F31/'Historical FS'!H36,0)</f>
        <v>8.0079051383399218</v>
      </c>
      <c r="I41" s="28">
        <f>IFERROR('Data Sheet'!G31/'Historical FS'!I36,0)</f>
        <v>8</v>
      </c>
      <c r="J41" s="28">
        <f>IFERROR('Data Sheet'!H31/'Historical FS'!J36,0)</f>
        <v>7.9921875</v>
      </c>
      <c r="K41" s="28">
        <f>IFERROR('Data Sheet'!I31/'Historical FS'!K36,0)</f>
        <v>8</v>
      </c>
      <c r="L41" s="28">
        <f>IFERROR('Data Sheet'!J31/'Historical FS'!L36,0)</f>
        <v>4.00390625</v>
      </c>
      <c r="M41" s="28">
        <f>IFERROR('Data Sheet'!K31/'Historical FS'!M36,0)</f>
        <v>0</v>
      </c>
    </row>
    <row r="42" spans="1:14" x14ac:dyDescent="0.3">
      <c r="B42" s="30" t="s">
        <v>117</v>
      </c>
      <c r="C42" s="30"/>
      <c r="D42" s="30">
        <f>IFERROR(D41/D38,0)</f>
        <v>1.4616996951219507</v>
      </c>
      <c r="E42" s="30">
        <f t="shared" ref="E42:M42" si="17">IFERROR(E41/E38,0)</f>
        <v>0.73102237823606797</v>
      </c>
      <c r="F42" s="30">
        <f t="shared" si="17"/>
        <v>0</v>
      </c>
      <c r="G42" s="30">
        <f t="shared" si="17"/>
        <v>0.57666320166320195</v>
      </c>
      <c r="H42" s="30">
        <f t="shared" si="17"/>
        <v>0.28117410311567559</v>
      </c>
      <c r="I42" s="30">
        <f t="shared" si="17"/>
        <v>0.23861779126780286</v>
      </c>
      <c r="J42" s="30">
        <f t="shared" si="17"/>
        <v>0.22585274312838072</v>
      </c>
      <c r="K42" s="30">
        <f t="shared" si="17"/>
        <v>0.31957556370445511</v>
      </c>
      <c r="L42" s="30">
        <f t="shared" si="17"/>
        <v>0.17177811295458331</v>
      </c>
      <c r="M42" s="30">
        <f t="shared" si="17"/>
        <v>0</v>
      </c>
    </row>
    <row r="44" spans="1:14" x14ac:dyDescent="0.3">
      <c r="B44" s="34" t="s">
        <v>118</v>
      </c>
      <c r="D44" s="33">
        <f>IFERROR(IF(D41&lt;D38,1-D41/D38,0),0)</f>
        <v>0</v>
      </c>
      <c r="E44" s="33">
        <f t="shared" ref="E44:M44" si="18">IFERROR(IF(E41&lt;E38,1-E41/E38,0),0)</f>
        <v>0.26897762176393203</v>
      </c>
      <c r="F44" s="33">
        <f t="shared" si="18"/>
        <v>1</v>
      </c>
      <c r="G44" s="33">
        <f t="shared" si="18"/>
        <v>0.42333679833679805</v>
      </c>
      <c r="H44" s="33">
        <f t="shared" si="18"/>
        <v>0.71882589688432441</v>
      </c>
      <c r="I44" s="33">
        <f t="shared" si="18"/>
        <v>0.76138220873219709</v>
      </c>
      <c r="J44" s="33">
        <f t="shared" si="18"/>
        <v>0.77414725687161923</v>
      </c>
      <c r="K44" s="33">
        <f t="shared" si="18"/>
        <v>0.68042443629554494</v>
      </c>
      <c r="L44" s="33">
        <f t="shared" si="18"/>
        <v>0.82822188704541666</v>
      </c>
      <c r="M44" s="33">
        <f t="shared" si="18"/>
        <v>1</v>
      </c>
    </row>
    <row r="47" spans="1:14" x14ac:dyDescent="0.3">
      <c r="A47" t="s">
        <v>97</v>
      </c>
      <c r="B47" s="67" t="s">
        <v>119</v>
      </c>
      <c r="C47" s="67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</row>
    <row r="48" spans="1:14" x14ac:dyDescent="0.3">
      <c r="B48" s="6" t="s">
        <v>24</v>
      </c>
      <c r="D48" s="28">
        <f>IFERROR('Data Sheet'!B57,0)</f>
        <v>9.5399999999999991</v>
      </c>
      <c r="E48" s="28">
        <f>IFERROR('Data Sheet'!C57,0)</f>
        <v>9.5399999999999991</v>
      </c>
      <c r="F48" s="28">
        <f>IFERROR('Data Sheet'!D57,0)</f>
        <v>9.5399999999999991</v>
      </c>
      <c r="G48" s="28">
        <f>IFERROR('Data Sheet'!E57,0)</f>
        <v>10.039999999999999</v>
      </c>
      <c r="H48" s="28">
        <f>IFERROR('Data Sheet'!F57,0)</f>
        <v>10.130000000000001</v>
      </c>
      <c r="I48" s="28">
        <f>IFERROR('Data Sheet'!G57,0)</f>
        <v>10.220000000000001</v>
      </c>
      <c r="J48" s="28">
        <f>IFERROR('Data Sheet'!H57,0)</f>
        <v>10.23</v>
      </c>
      <c r="K48" s="28">
        <f>IFERROR('Data Sheet'!I57,0)</f>
        <v>10.24</v>
      </c>
      <c r="L48" s="28">
        <f>IFERROR('Data Sheet'!J57,0)</f>
        <v>10.25</v>
      </c>
      <c r="M48" s="28">
        <f>IFERROR('Data Sheet'!K57,0)</f>
        <v>10.36</v>
      </c>
    </row>
    <row r="49" spans="1:13" x14ac:dyDescent="0.3">
      <c r="B49" s="6" t="s">
        <v>25</v>
      </c>
      <c r="D49" s="28">
        <f>IFERROR('Data Sheet'!B58,0)</f>
        <v>269.18</v>
      </c>
      <c r="E49" s="28">
        <f>IFERROR('Data Sheet'!C58,0)</f>
        <v>313.63</v>
      </c>
      <c r="F49" s="28">
        <f>IFERROR('Data Sheet'!D58,0)</f>
        <v>405.22</v>
      </c>
      <c r="G49" s="28">
        <f>IFERROR('Data Sheet'!E58,0)</f>
        <v>408.5</v>
      </c>
      <c r="H49" s="28">
        <f>IFERROR('Data Sheet'!F58,0)</f>
        <v>513.37</v>
      </c>
      <c r="I49" s="28">
        <f>IFERROR('Data Sheet'!G58,0)</f>
        <v>696.38</v>
      </c>
      <c r="J49" s="28">
        <f>IFERROR('Data Sheet'!H58,0)</f>
        <v>875.96</v>
      </c>
      <c r="K49" s="28">
        <f>IFERROR('Data Sheet'!I58,0)</f>
        <v>977.99</v>
      </c>
      <c r="L49" s="28">
        <f>IFERROR('Data Sheet'!J58,0)</f>
        <v>1085.9100000000001</v>
      </c>
      <c r="M49" s="28">
        <f>IFERROR('Data Sheet'!K58,0)</f>
        <v>1320.61</v>
      </c>
    </row>
    <row r="50" spans="1:13" x14ac:dyDescent="0.3">
      <c r="B50" s="6" t="s">
        <v>71</v>
      </c>
      <c r="D50" s="28">
        <f>IFERROR('Data Sheet'!B59,0)</f>
        <v>4.7</v>
      </c>
      <c r="E50" s="28">
        <f>IFERROR('Data Sheet'!C59,0)</f>
        <v>0.93</v>
      </c>
      <c r="F50" s="28">
        <f>IFERROR('Data Sheet'!D59,0)</f>
        <v>0.73</v>
      </c>
      <c r="G50" s="28">
        <f>IFERROR('Data Sheet'!E59,0)</f>
        <v>17.78</v>
      </c>
      <c r="H50" s="28">
        <f>IFERROR('Data Sheet'!F59,0)</f>
        <v>66.7</v>
      </c>
      <c r="I50" s="28">
        <f>IFERROR('Data Sheet'!G59,0)</f>
        <v>112.27</v>
      </c>
      <c r="J50" s="28">
        <f>IFERROR('Data Sheet'!H59,0)</f>
        <v>378.56</v>
      </c>
      <c r="K50" s="28">
        <f>IFERROR('Data Sheet'!I59,0)</f>
        <v>266.38</v>
      </c>
      <c r="L50" s="28">
        <f>IFERROR('Data Sheet'!J59,0)</f>
        <v>197.06</v>
      </c>
      <c r="M50" s="28">
        <f>IFERROR('Data Sheet'!K59,0)</f>
        <v>204.13</v>
      </c>
    </row>
    <row r="51" spans="1:13" x14ac:dyDescent="0.3">
      <c r="B51" s="6" t="s">
        <v>72</v>
      </c>
      <c r="D51" s="28">
        <f>IFERROR('Data Sheet'!B60,0)</f>
        <v>107.24</v>
      </c>
      <c r="E51" s="28">
        <f>IFERROR('Data Sheet'!C60,0)</f>
        <v>187.63</v>
      </c>
      <c r="F51" s="28">
        <f>IFERROR('Data Sheet'!D60,0)</f>
        <v>110.4</v>
      </c>
      <c r="G51" s="28">
        <f>IFERROR('Data Sheet'!E60,0)</f>
        <v>113.42</v>
      </c>
      <c r="H51" s="28">
        <f>IFERROR('Data Sheet'!F60,0)</f>
        <v>160.30000000000001</v>
      </c>
      <c r="I51" s="28">
        <f>IFERROR('Data Sheet'!G60,0)</f>
        <v>181.39</v>
      </c>
      <c r="J51" s="28">
        <f>IFERROR('Data Sheet'!H60,0)</f>
        <v>255.76</v>
      </c>
      <c r="K51" s="28">
        <f>IFERROR('Data Sheet'!I60,0)</f>
        <v>240.11</v>
      </c>
      <c r="L51" s="28">
        <f>IFERROR('Data Sheet'!J60,0)</f>
        <v>254.21</v>
      </c>
      <c r="M51" s="28">
        <f>IFERROR('Data Sheet'!K60,0)</f>
        <v>332.24</v>
      </c>
    </row>
    <row r="52" spans="1:13" ht="15" thickBot="1" x14ac:dyDescent="0.35">
      <c r="A52" s="55"/>
      <c r="B52" s="75" t="s">
        <v>120</v>
      </c>
      <c r="C52" s="76"/>
      <c r="D52" s="77">
        <f>IFERROR('Data Sheet'!B61,0)</f>
        <v>390.66</v>
      </c>
      <c r="E52" s="77">
        <f>IFERROR('Data Sheet'!C61,0)</f>
        <v>511.73</v>
      </c>
      <c r="F52" s="77">
        <f>IFERROR('Data Sheet'!D61,0)</f>
        <v>525.89</v>
      </c>
      <c r="G52" s="77">
        <f>IFERROR('Data Sheet'!E61,0)</f>
        <v>549.74</v>
      </c>
      <c r="H52" s="77">
        <f>IFERROR('Data Sheet'!F61,0)</f>
        <v>750.5</v>
      </c>
      <c r="I52" s="77">
        <f>IFERROR('Data Sheet'!G61,0)</f>
        <v>1000.26</v>
      </c>
      <c r="J52" s="77">
        <f>IFERROR('Data Sheet'!H61,0)</f>
        <v>1520.51</v>
      </c>
      <c r="K52" s="77">
        <f>IFERROR('Data Sheet'!I61,0)</f>
        <v>1494.72</v>
      </c>
      <c r="L52" s="77">
        <f>IFERROR('Data Sheet'!J61,0)</f>
        <v>1547.43</v>
      </c>
      <c r="M52" s="77">
        <f>IFERROR('Data Sheet'!K61,0)</f>
        <v>1867.34</v>
      </c>
    </row>
    <row r="53" spans="1:13" x14ac:dyDescent="0.3">
      <c r="B53" s="1"/>
    </row>
    <row r="54" spans="1:13" x14ac:dyDescent="0.3">
      <c r="B54" s="6" t="s">
        <v>122</v>
      </c>
      <c r="D54" s="28">
        <f>IFERROR('Data Sheet'!B62,0)</f>
        <v>141.66</v>
      </c>
      <c r="E54" s="28">
        <f>IFERROR('Data Sheet'!C62,0)</f>
        <v>202.36</v>
      </c>
      <c r="F54" s="28">
        <f>IFERROR('Data Sheet'!D62,0)</f>
        <v>207.44</v>
      </c>
      <c r="G54" s="28">
        <f>IFERROR('Data Sheet'!E62,0)</f>
        <v>212.81</v>
      </c>
      <c r="H54" s="28">
        <f>IFERROR('Data Sheet'!F62,0)</f>
        <v>296.37</v>
      </c>
      <c r="I54" s="28">
        <f>IFERROR('Data Sheet'!G62,0)</f>
        <v>343.11</v>
      </c>
      <c r="J54" s="28">
        <f>IFERROR('Data Sheet'!H62,0)</f>
        <v>1058.93</v>
      </c>
      <c r="K54" s="28">
        <f>IFERROR('Data Sheet'!I62,0)</f>
        <v>1120.67</v>
      </c>
      <c r="L54" s="28">
        <f>IFERROR('Data Sheet'!J62,0)</f>
        <v>1177.06</v>
      </c>
      <c r="M54" s="28">
        <f>IFERROR('Data Sheet'!K62,0)</f>
        <v>1446.96</v>
      </c>
    </row>
    <row r="55" spans="1:13" x14ac:dyDescent="0.3">
      <c r="B55" s="6" t="s">
        <v>28</v>
      </c>
      <c r="D55" s="28">
        <f>IFERROR('Data Sheet'!B63,0)</f>
        <v>0.56000000000000005</v>
      </c>
      <c r="E55" s="28">
        <f>IFERROR('Data Sheet'!C63,0)</f>
        <v>0.95</v>
      </c>
      <c r="F55" s="28">
        <f>IFERROR('Data Sheet'!D63,0)</f>
        <v>0</v>
      </c>
      <c r="G55" s="28">
        <f>IFERROR('Data Sheet'!E63,0)</f>
        <v>5.77</v>
      </c>
      <c r="H55" s="28">
        <f>IFERROR('Data Sheet'!F63,0)</f>
        <v>2.99</v>
      </c>
      <c r="I55" s="28">
        <f>IFERROR('Data Sheet'!G63,0)</f>
        <v>0</v>
      </c>
      <c r="J55" s="28">
        <f>IFERROR('Data Sheet'!H63,0)</f>
        <v>5.78</v>
      </c>
      <c r="K55" s="28">
        <f>IFERROR('Data Sheet'!I63,0)</f>
        <v>19.510000000000002</v>
      </c>
      <c r="L55" s="28">
        <f>IFERROR('Data Sheet'!J63,0)</f>
        <v>0</v>
      </c>
      <c r="M55" s="28">
        <f>IFERROR('Data Sheet'!K63,0)</f>
        <v>0</v>
      </c>
    </row>
    <row r="56" spans="1:13" x14ac:dyDescent="0.3">
      <c r="B56" s="6" t="s">
        <v>29</v>
      </c>
      <c r="D56" s="28">
        <f>IFERROR('Data Sheet'!B64,0)</f>
        <v>101.39</v>
      </c>
      <c r="E56" s="28">
        <f>IFERROR('Data Sheet'!C64,0)</f>
        <v>141.84</v>
      </c>
      <c r="F56" s="28">
        <f>IFERROR('Data Sheet'!D64,0)</f>
        <v>102.18</v>
      </c>
      <c r="G56" s="28">
        <f>IFERROR('Data Sheet'!E64,0)</f>
        <v>33.29</v>
      </c>
      <c r="H56" s="28">
        <f>IFERROR('Data Sheet'!F64,0)</f>
        <v>14.32</v>
      </c>
      <c r="I56" s="28">
        <f>IFERROR('Data Sheet'!G64,0)</f>
        <v>10.08</v>
      </c>
      <c r="J56" s="28">
        <f>IFERROR('Data Sheet'!H64,0)</f>
        <v>15.51</v>
      </c>
      <c r="K56" s="28">
        <f>IFERROR('Data Sheet'!I64,0)</f>
        <v>14.81</v>
      </c>
      <c r="L56" s="28">
        <f>IFERROR('Data Sheet'!J64,0)</f>
        <v>54.83</v>
      </c>
      <c r="M56" s="28">
        <f>IFERROR('Data Sheet'!K64,0)</f>
        <v>70.989999999999995</v>
      </c>
    </row>
    <row r="57" spans="1:13" x14ac:dyDescent="0.3">
      <c r="B57" s="6" t="s">
        <v>73</v>
      </c>
      <c r="D57" s="28">
        <f>IFERROR('Data Sheet'!B65-SUM('Data Sheet'!B67:B69),0)</f>
        <v>27.680000000000007</v>
      </c>
      <c r="E57" s="28">
        <f>IFERROR('Data Sheet'!C65-SUM('Data Sheet'!C67:C69),0)</f>
        <v>31.650000000000006</v>
      </c>
      <c r="F57" s="28">
        <f>IFERROR('Data Sheet'!D65-SUM('Data Sheet'!D67:D69),0)</f>
        <v>34.260000000000019</v>
      </c>
      <c r="G57" s="28">
        <f>IFERROR('Data Sheet'!E65-SUM('Data Sheet'!E67:E69),0)</f>
        <v>54.680000000000007</v>
      </c>
      <c r="H57" s="28">
        <f>IFERROR('Data Sheet'!F65-SUM('Data Sheet'!F67:F69),0)</f>
        <v>73.699999999999989</v>
      </c>
      <c r="I57" s="28">
        <f>IFERROR('Data Sheet'!G65-SUM('Data Sheet'!G67:G69),0)</f>
        <v>63.840000000000032</v>
      </c>
      <c r="J57" s="28">
        <f>IFERROR('Data Sheet'!H65-SUM('Data Sheet'!H67:H69),0)</f>
        <v>86.75</v>
      </c>
      <c r="K57" s="28">
        <f>IFERROR('Data Sheet'!I65-SUM('Data Sheet'!I67:I69),0)</f>
        <v>80.06</v>
      </c>
      <c r="L57" s="28">
        <f>IFERROR('Data Sheet'!J65-SUM('Data Sheet'!J67:J69),0)</f>
        <v>79.350000000000023</v>
      </c>
      <c r="M57" s="28">
        <f>IFERROR('Data Sheet'!K65-SUM('Data Sheet'!K67:K69),0)</f>
        <v>104.57999999999998</v>
      </c>
    </row>
    <row r="58" spans="1:13" x14ac:dyDescent="0.3">
      <c r="B58" s="73" t="s">
        <v>123</v>
      </c>
      <c r="C58" s="74"/>
      <c r="D58" s="72">
        <f>IFERROR(SUM(D54:D57),0)</f>
        <v>271.29000000000002</v>
      </c>
      <c r="E58" s="72">
        <f t="shared" ref="E58:M58" si="19">IFERROR(SUM(E54:E57),0)</f>
        <v>376.79999999999995</v>
      </c>
      <c r="F58" s="72">
        <f t="shared" si="19"/>
        <v>343.88</v>
      </c>
      <c r="G58" s="72">
        <f t="shared" si="19"/>
        <v>306.55</v>
      </c>
      <c r="H58" s="72">
        <f t="shared" si="19"/>
        <v>387.38</v>
      </c>
      <c r="I58" s="72">
        <f t="shared" si="19"/>
        <v>417.03000000000003</v>
      </c>
      <c r="J58" s="72">
        <f t="shared" si="19"/>
        <v>1166.97</v>
      </c>
      <c r="K58" s="72">
        <f t="shared" si="19"/>
        <v>1235.05</v>
      </c>
      <c r="L58" s="72">
        <f t="shared" si="19"/>
        <v>1311.2399999999998</v>
      </c>
      <c r="M58" s="72">
        <f t="shared" si="19"/>
        <v>1622.53</v>
      </c>
    </row>
    <row r="59" spans="1:13" x14ac:dyDescent="0.3">
      <c r="B59" s="1"/>
    </row>
    <row r="60" spans="1:13" x14ac:dyDescent="0.3">
      <c r="B60" s="6" t="s">
        <v>78</v>
      </c>
      <c r="D60" s="28">
        <f>IFERROR('Data Sheet'!B67,0)</f>
        <v>70.2</v>
      </c>
      <c r="E60" s="28">
        <f>IFERROR('Data Sheet'!C67,0)</f>
        <v>80.290000000000006</v>
      </c>
      <c r="F60" s="28">
        <f>IFERROR('Data Sheet'!D67,0)</f>
        <v>100.68</v>
      </c>
      <c r="G60" s="28">
        <f>IFERROR('Data Sheet'!E67,0)</f>
        <v>136.85</v>
      </c>
      <c r="H60" s="28">
        <f>IFERROR('Data Sheet'!F67,0)</f>
        <v>128.25</v>
      </c>
      <c r="I60" s="28">
        <f>IFERROR('Data Sheet'!G67,0)</f>
        <v>122.98</v>
      </c>
      <c r="J60" s="28">
        <f>IFERROR('Data Sheet'!H67,0)</f>
        <v>135.49</v>
      </c>
      <c r="K60" s="28">
        <f>IFERROR('Data Sheet'!I67,0)</f>
        <v>121.89</v>
      </c>
      <c r="L60" s="28">
        <f>IFERROR('Data Sheet'!J67,0)</f>
        <v>126.28</v>
      </c>
      <c r="M60" s="28">
        <f>IFERROR('Data Sheet'!K67,0)</f>
        <v>147.94999999999999</v>
      </c>
    </row>
    <row r="61" spans="1:13" x14ac:dyDescent="0.3">
      <c r="B61" s="6" t="s">
        <v>45</v>
      </c>
      <c r="D61" s="28">
        <f>IFERROR('Data Sheet'!B68,0)</f>
        <v>15.57</v>
      </c>
      <c r="E61" s="28">
        <f>IFERROR('Data Sheet'!C68,0)</f>
        <v>14.13</v>
      </c>
      <c r="F61" s="28">
        <f>IFERROR('Data Sheet'!D68,0)</f>
        <v>21.19</v>
      </c>
      <c r="G61" s="28">
        <f>IFERROR('Data Sheet'!E68,0)</f>
        <v>26.1</v>
      </c>
      <c r="H61" s="28">
        <f>IFERROR('Data Sheet'!F68,0)</f>
        <v>24.4</v>
      </c>
      <c r="I61" s="28">
        <f>IFERROR('Data Sheet'!G68,0)</f>
        <v>40.549999999999997</v>
      </c>
      <c r="J61" s="28">
        <f>IFERROR('Data Sheet'!H68,0)</f>
        <v>51.11</v>
      </c>
      <c r="K61" s="28">
        <f>IFERROR('Data Sheet'!I68,0)</f>
        <v>44.59</v>
      </c>
      <c r="L61" s="28">
        <f>IFERROR('Data Sheet'!J68,0)</f>
        <v>38.69</v>
      </c>
      <c r="M61" s="28">
        <f>IFERROR('Data Sheet'!K68,0)</f>
        <v>47.84</v>
      </c>
    </row>
    <row r="62" spans="1:13" x14ac:dyDescent="0.3">
      <c r="B62" s="4" t="s">
        <v>87</v>
      </c>
      <c r="D62" s="28">
        <f>IFERROR('Data Sheet'!B69,0)</f>
        <v>33.6</v>
      </c>
      <c r="E62" s="28">
        <f>IFERROR('Data Sheet'!C69,0)</f>
        <v>40.51</v>
      </c>
      <c r="F62" s="28">
        <f>IFERROR('Data Sheet'!D69,0)</f>
        <v>60.14</v>
      </c>
      <c r="G62" s="28">
        <f>IFERROR('Data Sheet'!E69,0)</f>
        <v>80.239999999999995</v>
      </c>
      <c r="H62" s="28">
        <f>IFERROR('Data Sheet'!F69,0)</f>
        <v>210.47</v>
      </c>
      <c r="I62" s="28">
        <f>IFERROR('Data Sheet'!G69,0)</f>
        <v>419.7</v>
      </c>
      <c r="J62" s="28">
        <f>IFERROR('Data Sheet'!H69,0)</f>
        <v>166.94</v>
      </c>
      <c r="K62" s="28">
        <f>IFERROR('Data Sheet'!I69,0)</f>
        <v>93.19</v>
      </c>
      <c r="L62" s="28">
        <f>IFERROR('Data Sheet'!J69,0)</f>
        <v>71.22</v>
      </c>
      <c r="M62" s="28">
        <f>IFERROR('Data Sheet'!K69,0)</f>
        <v>49.02</v>
      </c>
    </row>
    <row r="63" spans="1:13" x14ac:dyDescent="0.3">
      <c r="B63" s="73" t="s">
        <v>124</v>
      </c>
      <c r="C63" s="74"/>
      <c r="D63" s="72">
        <f>IFERROR(SUM(D60:D62),0)</f>
        <v>119.37</v>
      </c>
      <c r="E63" s="72">
        <f t="shared" ref="E63:M63" si="20">IFERROR(SUM(E60:E62),0)</f>
        <v>134.93</v>
      </c>
      <c r="F63" s="72">
        <f t="shared" si="20"/>
        <v>182.01</v>
      </c>
      <c r="G63" s="72">
        <f t="shared" si="20"/>
        <v>243.19</v>
      </c>
      <c r="H63" s="72">
        <f t="shared" si="20"/>
        <v>363.12</v>
      </c>
      <c r="I63" s="72">
        <f t="shared" si="20"/>
        <v>583.23</v>
      </c>
      <c r="J63" s="72">
        <f t="shared" si="20"/>
        <v>353.54</v>
      </c>
      <c r="K63" s="72">
        <f t="shared" si="20"/>
        <v>259.67</v>
      </c>
      <c r="L63" s="72">
        <f t="shared" si="20"/>
        <v>236.19</v>
      </c>
      <c r="M63" s="72">
        <f t="shared" si="20"/>
        <v>244.81</v>
      </c>
    </row>
    <row r="65" spans="1:14" ht="15" thickBot="1" x14ac:dyDescent="0.35">
      <c r="B65" s="75" t="s">
        <v>121</v>
      </c>
      <c r="C65" s="76"/>
      <c r="D65" s="77">
        <f>IFERROR(SUM(D63,D58),0)</f>
        <v>390.66</v>
      </c>
      <c r="E65" s="77">
        <f t="shared" ref="E65:M65" si="21">IFERROR(SUM(E63,E58),0)</f>
        <v>511.72999999999996</v>
      </c>
      <c r="F65" s="77">
        <f t="shared" si="21"/>
        <v>525.89</v>
      </c>
      <c r="G65" s="77">
        <f t="shared" si="21"/>
        <v>549.74</v>
      </c>
      <c r="H65" s="77">
        <f t="shared" si="21"/>
        <v>750.5</v>
      </c>
      <c r="I65" s="77">
        <f t="shared" si="21"/>
        <v>1000.26</v>
      </c>
      <c r="J65" s="77">
        <f t="shared" si="21"/>
        <v>1520.51</v>
      </c>
      <c r="K65" s="77">
        <f t="shared" si="21"/>
        <v>1494.72</v>
      </c>
      <c r="L65" s="77">
        <f t="shared" si="21"/>
        <v>1547.4299999999998</v>
      </c>
      <c r="M65" s="77">
        <f t="shared" si="21"/>
        <v>1867.34</v>
      </c>
    </row>
    <row r="67" spans="1:14" x14ac:dyDescent="0.3">
      <c r="B67" s="35" t="s">
        <v>125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97</v>
      </c>
      <c r="B70" s="67" t="s">
        <v>153</v>
      </c>
      <c r="C70" s="67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 spans="1:14" x14ac:dyDescent="0.3">
      <c r="B71" s="2" t="s">
        <v>154</v>
      </c>
    </row>
    <row r="72" spans="1:14" x14ac:dyDescent="0.3">
      <c r="B72" t="s">
        <v>126</v>
      </c>
      <c r="D72" s="28">
        <f>IFERROR('Cash Flow Data'!E4,0)</f>
        <v>43397</v>
      </c>
      <c r="E72" s="28">
        <f>IFERROR('Cash Flow Data'!F4,0)</f>
        <v>38626</v>
      </c>
      <c r="F72" s="28">
        <f>IFERROR('Cash Flow Data'!G4,0)</f>
        <v>28840</v>
      </c>
      <c r="G72" s="28">
        <f>IFERROR('Cash Flow Data'!H4,0)</f>
        <v>33312</v>
      </c>
      <c r="H72" s="28">
        <f>IFERROR('Cash Flow Data'!I4,0)</f>
        <v>28771</v>
      </c>
      <c r="I72" s="28">
        <f>IFERROR('Cash Flow Data'!J4,0)</f>
        <v>23352</v>
      </c>
      <c r="J72" s="28">
        <f>IFERROR('Cash Flow Data'!K4,0)</f>
        <v>31198</v>
      </c>
      <c r="K72" s="28">
        <f>IFERROR('Cash Flow Data'!L4,0)</f>
        <v>26943</v>
      </c>
      <c r="L72" s="28">
        <f>IFERROR('Cash Flow Data'!M4,0)</f>
        <v>41694</v>
      </c>
      <c r="M72" s="28">
        <f>IFERROR('Cash Flow Data'!N4,0)</f>
        <v>65106</v>
      </c>
    </row>
    <row r="73" spans="1:14" x14ac:dyDescent="0.3">
      <c r="B73" t="s">
        <v>78</v>
      </c>
      <c r="D73" s="28">
        <f>IFERROR('Cash Flow Data'!E5,0)</f>
        <v>-3179</v>
      </c>
      <c r="E73" s="28">
        <f>IFERROR('Cash Flow Data'!F5,0)</f>
        <v>-2223</v>
      </c>
      <c r="F73" s="28">
        <f>IFERROR('Cash Flow Data'!G5,0)</f>
        <v>-4152</v>
      </c>
      <c r="G73" s="28">
        <f>IFERROR('Cash Flow Data'!H5,0)</f>
        <v>-10688</v>
      </c>
      <c r="H73" s="28">
        <f>IFERROR('Cash Flow Data'!I5,0)</f>
        <v>-9109</v>
      </c>
      <c r="I73" s="28">
        <f>IFERROR('Cash Flow Data'!J5,0)</f>
        <v>9950</v>
      </c>
      <c r="J73" s="28">
        <f>IFERROR('Cash Flow Data'!K5,0)</f>
        <v>-5505</v>
      </c>
      <c r="K73" s="28">
        <f>IFERROR('Cash Flow Data'!L5,0)</f>
        <v>185</v>
      </c>
      <c r="L73" s="28">
        <f>IFERROR('Cash Flow Data'!M5,0)</f>
        <v>-2213</v>
      </c>
      <c r="M73" s="28">
        <f>IFERROR('Cash Flow Data'!N5,0)</f>
        <v>-1875</v>
      </c>
    </row>
    <row r="74" spans="1:14" x14ac:dyDescent="0.3">
      <c r="B74" t="s">
        <v>45</v>
      </c>
      <c r="D74" s="28">
        <f>IFERROR('Cash Flow Data'!E6,0)</f>
        <v>-3692</v>
      </c>
      <c r="E74" s="28">
        <f>IFERROR('Cash Flow Data'!F6,0)</f>
        <v>-5743</v>
      </c>
      <c r="F74" s="28">
        <f>IFERROR('Cash Flow Data'!G6,0)</f>
        <v>-6621</v>
      </c>
      <c r="G74" s="28">
        <f>IFERROR('Cash Flow Data'!H6,0)</f>
        <v>-3560</v>
      </c>
      <c r="H74" s="28">
        <f>IFERROR('Cash Flow Data'!I6,0)</f>
        <v>2069</v>
      </c>
      <c r="I74" s="28">
        <f>IFERROR('Cash Flow Data'!J6,0)</f>
        <v>2326</v>
      </c>
      <c r="J74" s="28">
        <f>IFERROR('Cash Flow Data'!K6,0)</f>
        <v>3814</v>
      </c>
      <c r="K74" s="28">
        <f>IFERROR('Cash Flow Data'!L6,0)</f>
        <v>472</v>
      </c>
      <c r="L74" s="28">
        <f>IFERROR('Cash Flow Data'!M6,0)</f>
        <v>-5665</v>
      </c>
      <c r="M74" s="28">
        <f>IFERROR('Cash Flow Data'!N6,0)</f>
        <v>-7265</v>
      </c>
    </row>
    <row r="75" spans="1:14" x14ac:dyDescent="0.3">
      <c r="B75" t="s">
        <v>127</v>
      </c>
      <c r="D75" s="28">
        <f>IFERROR('Cash Flow Data'!E7,0)</f>
        <v>3598</v>
      </c>
      <c r="E75" s="28">
        <f>IFERROR('Cash Flow Data'!F7,0)</f>
        <v>3947</v>
      </c>
      <c r="F75" s="28">
        <f>IFERROR('Cash Flow Data'!G7,0)</f>
        <v>9301</v>
      </c>
      <c r="G75" s="28">
        <f>IFERROR('Cash Flow Data'!H7,0)</f>
        <v>7320</v>
      </c>
      <c r="H75" s="28">
        <f>IFERROR('Cash Flow Data'!I7,0)</f>
        <v>-4692</v>
      </c>
      <c r="I75" s="28">
        <f>IFERROR('Cash Flow Data'!J7,0)</f>
        <v>-8085</v>
      </c>
      <c r="J75" s="28">
        <f>IFERROR('Cash Flow Data'!K7,0)</f>
        <v>5748</v>
      </c>
      <c r="K75" s="28">
        <f>IFERROR('Cash Flow Data'!L7,0)</f>
        <v>-7012</v>
      </c>
      <c r="L75" s="28">
        <f>IFERROR('Cash Flow Data'!M7,0)</f>
        <v>6945</v>
      </c>
      <c r="M75" s="28">
        <f>IFERROR('Cash Flow Data'!N7,0)</f>
        <v>13706</v>
      </c>
    </row>
    <row r="76" spans="1:14" x14ac:dyDescent="0.3">
      <c r="B76" t="s">
        <v>128</v>
      </c>
      <c r="D76" s="28">
        <f>IFERROR('Cash Flow Data'!E8,0)</f>
        <v>0</v>
      </c>
      <c r="E76" s="28">
        <f>IFERROR('Cash Flow Data'!F8,0)</f>
        <v>-520</v>
      </c>
      <c r="F76" s="28">
        <f>IFERROR('Cash Flow Data'!G8,0)</f>
        <v>0</v>
      </c>
      <c r="G76" s="28">
        <f>IFERROR('Cash Flow Data'!H8,0)</f>
        <v>0</v>
      </c>
      <c r="H76" s="28">
        <f>IFERROR('Cash Flow Data'!I8,0)</f>
        <v>0</v>
      </c>
      <c r="I76" s="28">
        <f>IFERROR('Cash Flow Data'!J8,0)</f>
        <v>0</v>
      </c>
      <c r="J76" s="28">
        <f>IFERROR('Cash Flow Data'!K8,0)</f>
        <v>0</v>
      </c>
      <c r="K76" s="28">
        <f>IFERROR('Cash Flow Data'!L8,0)</f>
        <v>0</v>
      </c>
      <c r="L76" s="28">
        <f>IFERROR('Cash Flow Data'!M8,0)</f>
        <v>0</v>
      </c>
      <c r="M76" s="28">
        <f>IFERROR('Cash Flow Data'!N8,0)</f>
        <v>0</v>
      </c>
    </row>
    <row r="77" spans="1:14" x14ac:dyDescent="0.3">
      <c r="B77" t="s">
        <v>129</v>
      </c>
      <c r="D77" s="28">
        <f>IFERROR('Cash Flow Data'!E9,0)</f>
        <v>-398</v>
      </c>
      <c r="E77" s="28">
        <f>IFERROR('Cash Flow Data'!F9,0)</f>
        <v>5852</v>
      </c>
      <c r="F77" s="28">
        <f>IFERROR('Cash Flow Data'!G9,0)</f>
        <v>4727</v>
      </c>
      <c r="G77" s="28">
        <f>IFERROR('Cash Flow Data'!H9,0)</f>
        <v>494</v>
      </c>
      <c r="H77" s="28">
        <f>IFERROR('Cash Flow Data'!I9,0)</f>
        <v>4512</v>
      </c>
      <c r="I77" s="28">
        <f>IFERROR('Cash Flow Data'!J9,0)</f>
        <v>875</v>
      </c>
      <c r="J77" s="28">
        <f>IFERROR('Cash Flow Data'!K9,0)</f>
        <v>-4150</v>
      </c>
      <c r="K77" s="28">
        <f>IFERROR('Cash Flow Data'!L9,0)</f>
        <v>-4396</v>
      </c>
      <c r="L77" s="28">
        <f>IFERROR('Cash Flow Data'!M9,0)</f>
        <v>-2194</v>
      </c>
      <c r="M77" s="28">
        <f>IFERROR('Cash Flow Data'!N9,0)</f>
        <v>2760</v>
      </c>
    </row>
    <row r="78" spans="1:14" x14ac:dyDescent="0.3">
      <c r="B78" t="s">
        <v>130</v>
      </c>
      <c r="D78" s="28">
        <f>IFERROR('Cash Flow Data'!E10,0)</f>
        <v>-3672</v>
      </c>
      <c r="E78" s="28">
        <f>IFERROR('Cash Flow Data'!F10,0)</f>
        <v>1313</v>
      </c>
      <c r="F78" s="28">
        <f>IFERROR('Cash Flow Data'!G10,0)</f>
        <v>3254</v>
      </c>
      <c r="G78" s="28">
        <f>IFERROR('Cash Flow Data'!H10,0)</f>
        <v>-6434</v>
      </c>
      <c r="H78" s="28">
        <f>IFERROR('Cash Flow Data'!I10,0)</f>
        <v>-7221</v>
      </c>
      <c r="I78" s="28">
        <f>IFERROR('Cash Flow Data'!J10,0)</f>
        <v>5065</v>
      </c>
      <c r="J78" s="28">
        <f>IFERROR('Cash Flow Data'!K10,0)</f>
        <v>-93</v>
      </c>
      <c r="K78" s="28">
        <f>IFERROR('Cash Flow Data'!L10,0)</f>
        <v>-10750</v>
      </c>
      <c r="L78" s="28">
        <f>IFERROR('Cash Flow Data'!M10,0)</f>
        <v>-3127</v>
      </c>
      <c r="M78" s="28">
        <f>IFERROR('Cash Flow Data'!N10,0)</f>
        <v>7325</v>
      </c>
    </row>
    <row r="79" spans="1:14" x14ac:dyDescent="0.3">
      <c r="B79" t="s">
        <v>131</v>
      </c>
      <c r="D79" s="28">
        <f>IFERROR('Cash Flow Data'!E11,0)</f>
        <v>-4194</v>
      </c>
      <c r="E79" s="28">
        <f>IFERROR('Cash Flow Data'!F11,0)</f>
        <v>-2040</v>
      </c>
      <c r="F79" s="28">
        <f>IFERROR('Cash Flow Data'!G11,0)</f>
        <v>-1895</v>
      </c>
      <c r="G79" s="28">
        <f>IFERROR('Cash Flow Data'!H11,0)</f>
        <v>-3021</v>
      </c>
      <c r="H79" s="28">
        <f>IFERROR('Cash Flow Data'!I11,0)</f>
        <v>-2659</v>
      </c>
      <c r="I79" s="28">
        <f>IFERROR('Cash Flow Data'!J11,0)</f>
        <v>-1785</v>
      </c>
      <c r="J79" s="28">
        <f>IFERROR('Cash Flow Data'!K11,0)</f>
        <v>-2105</v>
      </c>
      <c r="K79" s="28">
        <f>IFERROR('Cash Flow Data'!L11,0)</f>
        <v>-1910</v>
      </c>
      <c r="L79" s="28">
        <f>IFERROR('Cash Flow Data'!M11,0)</f>
        <v>-3179</v>
      </c>
      <c r="M79" s="28">
        <f>IFERROR('Cash Flow Data'!N11,0)</f>
        <v>-4516</v>
      </c>
    </row>
    <row r="80" spans="1:14" x14ac:dyDescent="0.3">
      <c r="B80" s="70" t="s">
        <v>152</v>
      </c>
      <c r="C80" s="74"/>
      <c r="D80" s="72">
        <f>IFERROR(SUM(D72:D79),0)</f>
        <v>31860</v>
      </c>
      <c r="E80" s="72">
        <f t="shared" ref="E80:M80" si="23">IFERROR(SUM(E72:E79),0)</f>
        <v>39212</v>
      </c>
      <c r="F80" s="72">
        <f t="shared" si="23"/>
        <v>33454</v>
      </c>
      <c r="G80" s="72">
        <f t="shared" si="23"/>
        <v>17423</v>
      </c>
      <c r="H80" s="72">
        <f t="shared" si="23"/>
        <v>11671</v>
      </c>
      <c r="I80" s="72">
        <f t="shared" si="23"/>
        <v>31698</v>
      </c>
      <c r="J80" s="72">
        <f t="shared" si="23"/>
        <v>28907</v>
      </c>
      <c r="K80" s="72">
        <f t="shared" si="23"/>
        <v>3532</v>
      </c>
      <c r="L80" s="72">
        <f t="shared" si="23"/>
        <v>32261</v>
      </c>
      <c r="M80" s="72">
        <f t="shared" si="23"/>
        <v>75241</v>
      </c>
    </row>
    <row r="82" spans="2:13" x14ac:dyDescent="0.3">
      <c r="B82" s="2" t="s">
        <v>155</v>
      </c>
    </row>
    <row r="83" spans="2:13" x14ac:dyDescent="0.3">
      <c r="B83" t="s">
        <v>132</v>
      </c>
      <c r="D83" s="28">
        <f>IFERROR('Cash Flow Data'!E13,0)</f>
        <v>-31962</v>
      </c>
      <c r="E83" s="28">
        <f>IFERROR('Cash Flow Data'!F13,0)</f>
        <v>-31503</v>
      </c>
      <c r="F83" s="28">
        <f>IFERROR('Cash Flow Data'!G13,0)</f>
        <v>-16072</v>
      </c>
      <c r="G83" s="28">
        <f>IFERROR('Cash Flow Data'!H13,0)</f>
        <v>-35079</v>
      </c>
      <c r="H83" s="28">
        <f>IFERROR('Cash Flow Data'!I13,0)</f>
        <v>-35304</v>
      </c>
      <c r="I83" s="28">
        <f>IFERROR('Cash Flow Data'!J13,0)</f>
        <v>-29702</v>
      </c>
      <c r="J83" s="28">
        <f>IFERROR('Cash Flow Data'!K13,0)</f>
        <v>-20205</v>
      </c>
      <c r="K83" s="28">
        <f>IFERROR('Cash Flow Data'!L13,0)</f>
        <v>-15168</v>
      </c>
      <c r="L83" s="28">
        <f>IFERROR('Cash Flow Data'!M13,0)</f>
        <v>-19230</v>
      </c>
      <c r="M83" s="28">
        <f>IFERROR('Cash Flow Data'!N13,0)</f>
        <v>-31414</v>
      </c>
    </row>
    <row r="84" spans="2:13" x14ac:dyDescent="0.3">
      <c r="B84" t="s">
        <v>133</v>
      </c>
      <c r="D84" s="28">
        <f>IFERROR('Cash Flow Data'!E14,0)</f>
        <v>74</v>
      </c>
      <c r="E84" s="28">
        <f>IFERROR('Cash Flow Data'!F14,0)</f>
        <v>59</v>
      </c>
      <c r="F84" s="28">
        <f>IFERROR('Cash Flow Data'!G14,0)</f>
        <v>53</v>
      </c>
      <c r="G84" s="28">
        <f>IFERROR('Cash Flow Data'!H14,0)</f>
        <v>30</v>
      </c>
      <c r="H84" s="28">
        <f>IFERROR('Cash Flow Data'!I14,0)</f>
        <v>67</v>
      </c>
      <c r="I84" s="28">
        <f>IFERROR('Cash Flow Data'!J14,0)</f>
        <v>171</v>
      </c>
      <c r="J84" s="28">
        <f>IFERROR('Cash Flow Data'!K14,0)</f>
        <v>351</v>
      </c>
      <c r="K84" s="28">
        <f>IFERROR('Cash Flow Data'!L14,0)</f>
        <v>230</v>
      </c>
      <c r="L84" s="28">
        <f>IFERROR('Cash Flow Data'!M14,0)</f>
        <v>285</v>
      </c>
      <c r="M84" s="28">
        <f>IFERROR('Cash Flow Data'!N14,0)</f>
        <v>231</v>
      </c>
    </row>
    <row r="85" spans="2:13" x14ac:dyDescent="0.3">
      <c r="B85" t="s">
        <v>134</v>
      </c>
      <c r="D85" s="28">
        <f>IFERROR('Cash Flow Data'!E15,0)</f>
        <v>-5461</v>
      </c>
      <c r="E85" s="28">
        <f>IFERROR('Cash Flow Data'!F15,0)</f>
        <v>-4728</v>
      </c>
      <c r="F85" s="28">
        <f>IFERROR('Cash Flow Data'!G15,0)</f>
        <v>-6</v>
      </c>
      <c r="G85" s="28">
        <f>IFERROR('Cash Flow Data'!H15,0)</f>
        <v>-329</v>
      </c>
      <c r="H85" s="28">
        <f>IFERROR('Cash Flow Data'!I15,0)</f>
        <v>-130</v>
      </c>
      <c r="I85" s="28">
        <f>IFERROR('Cash Flow Data'!J15,0)</f>
        <v>-1439</v>
      </c>
      <c r="J85" s="28">
        <f>IFERROR('Cash Flow Data'!K15,0)</f>
        <v>-7530</v>
      </c>
      <c r="K85" s="28">
        <f>IFERROR('Cash Flow Data'!L15,0)</f>
        <v>-3008</v>
      </c>
      <c r="L85" s="28">
        <f>IFERROR('Cash Flow Data'!M15,0)</f>
        <v>-50</v>
      </c>
      <c r="M85" s="28">
        <f>IFERROR('Cash Flow Data'!N15,0)</f>
        <v>-74</v>
      </c>
    </row>
    <row r="86" spans="2:13" x14ac:dyDescent="0.3">
      <c r="B86" t="s">
        <v>135</v>
      </c>
      <c r="D86" s="28">
        <f>IFERROR('Cash Flow Data'!E16,0)</f>
        <v>42</v>
      </c>
      <c r="E86" s="28">
        <f>IFERROR('Cash Flow Data'!F16,0)</f>
        <v>89</v>
      </c>
      <c r="F86" s="28">
        <f>IFERROR('Cash Flow Data'!G16,0)</f>
        <v>1965</v>
      </c>
      <c r="G86" s="28">
        <f>IFERROR('Cash Flow Data'!H16,0)</f>
        <v>2381</v>
      </c>
      <c r="H86" s="28">
        <f>IFERROR('Cash Flow Data'!I16,0)</f>
        <v>5644</v>
      </c>
      <c r="I86" s="28">
        <f>IFERROR('Cash Flow Data'!J16,0)</f>
        <v>21</v>
      </c>
      <c r="J86" s="28">
        <f>IFERROR('Cash Flow Data'!K16,0)</f>
        <v>226</v>
      </c>
      <c r="K86" s="28">
        <f>IFERROR('Cash Flow Data'!L16,0)</f>
        <v>104</v>
      </c>
      <c r="L86" s="28">
        <f>IFERROR('Cash Flow Data'!M16,0)</f>
        <v>6895</v>
      </c>
      <c r="M86" s="28">
        <f>IFERROR('Cash Flow Data'!N16,0)</f>
        <v>10820</v>
      </c>
    </row>
    <row r="87" spans="2:13" x14ac:dyDescent="0.3">
      <c r="B87" t="s">
        <v>136</v>
      </c>
      <c r="D87" s="28">
        <f>IFERROR('Cash Flow Data'!E17,0)</f>
        <v>698</v>
      </c>
      <c r="E87" s="28">
        <f>IFERROR('Cash Flow Data'!F17,0)</f>
        <v>731</v>
      </c>
      <c r="F87" s="28">
        <f>IFERROR('Cash Flow Data'!G17,0)</f>
        <v>638</v>
      </c>
      <c r="G87" s="28">
        <f>IFERROR('Cash Flow Data'!H17,0)</f>
        <v>690</v>
      </c>
      <c r="H87" s="28">
        <f>IFERROR('Cash Flow Data'!I17,0)</f>
        <v>761</v>
      </c>
      <c r="I87" s="28">
        <f>IFERROR('Cash Flow Data'!J17,0)</f>
        <v>1104</v>
      </c>
      <c r="J87" s="28">
        <f>IFERROR('Cash Flow Data'!K17,0)</f>
        <v>428</v>
      </c>
      <c r="K87" s="28">
        <f>IFERROR('Cash Flow Data'!L17,0)</f>
        <v>653</v>
      </c>
      <c r="L87" s="28">
        <f>IFERROR('Cash Flow Data'!M17,0)</f>
        <v>973</v>
      </c>
      <c r="M87" s="28">
        <f>IFERROR('Cash Flow Data'!N17,0)</f>
        <v>2493</v>
      </c>
    </row>
    <row r="88" spans="2:13" x14ac:dyDescent="0.3">
      <c r="B88" t="s">
        <v>137</v>
      </c>
      <c r="D88" s="28">
        <f>IFERROR('Cash Flow Data'!E18,0)</f>
        <v>80</v>
      </c>
      <c r="E88" s="28">
        <f>IFERROR('Cash Flow Data'!F18,0)</f>
        <v>58</v>
      </c>
      <c r="F88" s="28">
        <f>IFERROR('Cash Flow Data'!G18,0)</f>
        <v>620</v>
      </c>
      <c r="G88" s="28">
        <f>IFERROR('Cash Flow Data'!H18,0)</f>
        <v>1797</v>
      </c>
      <c r="H88" s="28">
        <f>IFERROR('Cash Flow Data'!I18,0)</f>
        <v>232</v>
      </c>
      <c r="I88" s="28">
        <f>IFERROR('Cash Flow Data'!J18,0)</f>
        <v>21</v>
      </c>
      <c r="J88" s="28">
        <f>IFERROR('Cash Flow Data'!K18,0)</f>
        <v>18</v>
      </c>
      <c r="K88" s="28">
        <f>IFERROR('Cash Flow Data'!L18,0)</f>
        <v>32</v>
      </c>
      <c r="L88" s="28">
        <f>IFERROR('Cash Flow Data'!M18,0)</f>
        <v>46</v>
      </c>
      <c r="M88" s="28">
        <f>IFERROR('Cash Flow Data'!N18,0)</f>
        <v>47</v>
      </c>
    </row>
    <row r="89" spans="2:13" x14ac:dyDescent="0.3">
      <c r="B89" t="s">
        <v>138</v>
      </c>
      <c r="D89" s="28">
        <f>IFERROR('Cash Flow Data'!E19,0)</f>
        <v>-160</v>
      </c>
      <c r="E89" s="28">
        <f>IFERROR('Cash Flow Data'!F19,0)</f>
        <v>0</v>
      </c>
      <c r="F89" s="28">
        <f>IFERROR('Cash Flow Data'!G19,0)</f>
        <v>-107</v>
      </c>
      <c r="G89" s="28">
        <f>IFERROR('Cash Flow Data'!H19,0)</f>
        <v>-4</v>
      </c>
      <c r="H89" s="28">
        <f>IFERROR('Cash Flow Data'!I19,0)</f>
        <v>-9</v>
      </c>
      <c r="I89" s="28">
        <f>IFERROR('Cash Flow Data'!J19,0)</f>
        <v>-606</v>
      </c>
      <c r="J89" s="28">
        <f>IFERROR('Cash Flow Data'!K19,0)</f>
        <v>-10</v>
      </c>
      <c r="K89" s="28">
        <f>IFERROR('Cash Flow Data'!L19,0)</f>
        <v>0</v>
      </c>
      <c r="L89" s="28">
        <f>IFERROR('Cash Flow Data'!M19,0)</f>
        <v>0</v>
      </c>
      <c r="M89" s="28">
        <f>IFERROR('Cash Flow Data'!N19,0)</f>
        <v>-150</v>
      </c>
    </row>
    <row r="90" spans="2:13" x14ac:dyDescent="0.3">
      <c r="B90" t="s">
        <v>139</v>
      </c>
      <c r="D90" s="28">
        <f>IFERROR('Cash Flow Data'!E20,0)</f>
        <v>0</v>
      </c>
      <c r="E90" s="28">
        <f>IFERROR('Cash Flow Data'!F20,0)</f>
        <v>0</v>
      </c>
      <c r="F90" s="28">
        <f>IFERROR('Cash Flow Data'!G20,0)</f>
        <v>0</v>
      </c>
      <c r="G90" s="28">
        <f>IFERROR('Cash Flow Data'!H20,0)</f>
        <v>14</v>
      </c>
      <c r="H90" s="28">
        <f>IFERROR('Cash Flow Data'!I20,0)</f>
        <v>533</v>
      </c>
      <c r="I90" s="28">
        <f>IFERROR('Cash Flow Data'!J20,0)</f>
        <v>0</v>
      </c>
      <c r="J90" s="28">
        <f>IFERROR('Cash Flow Data'!K20,0)</f>
        <v>0</v>
      </c>
      <c r="K90" s="28">
        <f>IFERROR('Cash Flow Data'!L20,0)</f>
        <v>0</v>
      </c>
      <c r="L90" s="28">
        <f>IFERROR('Cash Flow Data'!M20,0)</f>
        <v>19</v>
      </c>
      <c r="M90" s="28">
        <f>IFERROR('Cash Flow Data'!N20,0)</f>
        <v>108</v>
      </c>
    </row>
    <row r="91" spans="2:13" x14ac:dyDescent="0.3">
      <c r="B91" t="s">
        <v>140</v>
      </c>
      <c r="D91" s="28">
        <f>IFERROR('Cash Flow Data'!E21,0)</f>
        <v>0</v>
      </c>
      <c r="E91" s="28">
        <f>IFERROR('Cash Flow Data'!F21,0)</f>
        <v>-111</v>
      </c>
      <c r="F91" s="28">
        <f>IFERROR('Cash Flow Data'!G21,0)</f>
        <v>0</v>
      </c>
      <c r="G91" s="28">
        <f>IFERROR('Cash Flow Data'!H21,0)</f>
        <v>0</v>
      </c>
      <c r="H91" s="28">
        <f>IFERROR('Cash Flow Data'!I21,0)</f>
        <v>-8</v>
      </c>
      <c r="I91" s="28">
        <f>IFERROR('Cash Flow Data'!J21,0)</f>
        <v>-27</v>
      </c>
      <c r="J91" s="28">
        <f>IFERROR('Cash Flow Data'!K21,0)</f>
        <v>0</v>
      </c>
      <c r="K91" s="28">
        <f>IFERROR('Cash Flow Data'!L21,0)</f>
        <v>-98</v>
      </c>
      <c r="L91" s="28">
        <f>IFERROR('Cash Flow Data'!M21,0)</f>
        <v>0</v>
      </c>
      <c r="M91" s="28">
        <f>IFERROR('Cash Flow Data'!N21,0)</f>
        <v>0</v>
      </c>
    </row>
    <row r="92" spans="2:13" x14ac:dyDescent="0.3">
      <c r="B92" t="s">
        <v>141</v>
      </c>
      <c r="D92" s="28">
        <f>IFERROR('Cash Flow Data'!E22,0)</f>
        <v>0</v>
      </c>
      <c r="E92" s="28">
        <f>IFERROR('Cash Flow Data'!F22,0)</f>
        <v>0</v>
      </c>
      <c r="F92" s="28">
        <f>IFERROR('Cash Flow Data'!G22,0)</f>
        <v>0</v>
      </c>
      <c r="G92" s="28">
        <f>IFERROR('Cash Flow Data'!H22,0)</f>
        <v>0</v>
      </c>
      <c r="H92" s="28">
        <f>IFERROR('Cash Flow Data'!I22,0)</f>
        <v>0</v>
      </c>
      <c r="I92" s="28">
        <f>IFERROR('Cash Flow Data'!J22,0)</f>
        <v>0</v>
      </c>
      <c r="J92" s="28">
        <f>IFERROR('Cash Flow Data'!K22,0)</f>
        <v>0</v>
      </c>
      <c r="K92" s="28">
        <f>IFERROR('Cash Flow Data'!L22,0)</f>
        <v>0</v>
      </c>
      <c r="L92" s="28">
        <f>IFERROR('Cash Flow Data'!M22,0)</f>
        <v>0</v>
      </c>
      <c r="M92" s="28">
        <f>IFERROR('Cash Flow Data'!N22,0)</f>
        <v>-24</v>
      </c>
    </row>
    <row r="93" spans="2:13" x14ac:dyDescent="0.3">
      <c r="B93" t="s">
        <v>142</v>
      </c>
      <c r="D93" s="28">
        <f>IFERROR('Cash Flow Data'!E23,0)</f>
        <v>456</v>
      </c>
      <c r="E93" s="28">
        <f>IFERROR('Cash Flow Data'!F23,0)</f>
        <v>-1289</v>
      </c>
      <c r="F93" s="28">
        <f>IFERROR('Cash Flow Data'!G23,0)</f>
        <v>-26663</v>
      </c>
      <c r="G93" s="28">
        <f>IFERROR('Cash Flow Data'!H23,0)</f>
        <v>5360</v>
      </c>
      <c r="H93" s="28">
        <f>IFERROR('Cash Flow Data'!I23,0)</f>
        <v>7335</v>
      </c>
      <c r="I93" s="28">
        <f>IFERROR('Cash Flow Data'!J23,0)</f>
        <v>-2659</v>
      </c>
      <c r="J93" s="28">
        <f>IFERROR('Cash Flow Data'!K23,0)</f>
        <v>1051</v>
      </c>
      <c r="K93" s="28">
        <f>IFERROR('Cash Flow Data'!L23,0)</f>
        <v>12813</v>
      </c>
      <c r="L93" s="28">
        <f>IFERROR('Cash Flow Data'!M23,0)</f>
        <v>-4357</v>
      </c>
      <c r="M93" s="28">
        <f>IFERROR('Cash Flow Data'!N23,0)</f>
        <v>-4817</v>
      </c>
    </row>
    <row r="94" spans="2:13" x14ac:dyDescent="0.3">
      <c r="B94" s="70" t="s">
        <v>156</v>
      </c>
      <c r="C94" s="74"/>
      <c r="D94" s="72">
        <f>SUM(D83:D93)</f>
        <v>-36233</v>
      </c>
      <c r="E94" s="72">
        <f t="shared" ref="E94:M94" si="24">SUM(E83:E93)</f>
        <v>-36694</v>
      </c>
      <c r="F94" s="72">
        <f t="shared" si="24"/>
        <v>-39572</v>
      </c>
      <c r="G94" s="72">
        <f t="shared" si="24"/>
        <v>-25140</v>
      </c>
      <c r="H94" s="72">
        <f t="shared" si="24"/>
        <v>-20879</v>
      </c>
      <c r="I94" s="72">
        <f t="shared" si="24"/>
        <v>-33116</v>
      </c>
      <c r="J94" s="72">
        <f t="shared" si="24"/>
        <v>-25671</v>
      </c>
      <c r="K94" s="72">
        <f t="shared" si="24"/>
        <v>-4442</v>
      </c>
      <c r="L94" s="72">
        <f t="shared" si="24"/>
        <v>-15419</v>
      </c>
      <c r="M94" s="72">
        <f t="shared" si="24"/>
        <v>-22780</v>
      </c>
    </row>
    <row r="96" spans="2:13" x14ac:dyDescent="0.3">
      <c r="B96" s="2" t="s">
        <v>157</v>
      </c>
    </row>
    <row r="97" spans="2:13" x14ac:dyDescent="0.3">
      <c r="B97" t="s">
        <v>143</v>
      </c>
      <c r="D97" s="28">
        <f>IFERROR('Cash Flow Data'!E25,0)</f>
        <v>0</v>
      </c>
      <c r="E97" s="28">
        <f>IFERROR('Cash Flow Data'!F25,0)</f>
        <v>7433</v>
      </c>
      <c r="F97" s="28">
        <f>IFERROR('Cash Flow Data'!G25,0)</f>
        <v>5</v>
      </c>
      <c r="G97" s="28">
        <f>IFERROR('Cash Flow Data'!H25,0)</f>
        <v>0</v>
      </c>
      <c r="H97" s="28">
        <f>IFERROR('Cash Flow Data'!I25,0)</f>
        <v>0</v>
      </c>
      <c r="I97" s="28">
        <f>IFERROR('Cash Flow Data'!J25,0)</f>
        <v>3889</v>
      </c>
      <c r="J97" s="28">
        <f>IFERROR('Cash Flow Data'!K25,0)</f>
        <v>2603</v>
      </c>
      <c r="K97" s="28">
        <f>IFERROR('Cash Flow Data'!L25,0)</f>
        <v>19</v>
      </c>
      <c r="L97" s="28">
        <f>IFERROR('Cash Flow Data'!M25,0)</f>
        <v>20</v>
      </c>
      <c r="M97" s="28">
        <f>IFERROR('Cash Flow Data'!N25,0)</f>
        <v>82</v>
      </c>
    </row>
    <row r="98" spans="2:13" x14ac:dyDescent="0.3">
      <c r="B98" t="s">
        <v>144</v>
      </c>
      <c r="D98" s="28">
        <f>IFERROR('Cash Flow Data'!E26,0)</f>
        <v>-744</v>
      </c>
      <c r="E98" s="28">
        <f>IFERROR('Cash Flow Data'!F26,0)</f>
        <v>0</v>
      </c>
      <c r="F98" s="28">
        <f>IFERROR('Cash Flow Data'!G26,0)</f>
        <v>0</v>
      </c>
      <c r="G98" s="28">
        <f>IFERROR('Cash Flow Data'!H26,0)</f>
        <v>0</v>
      </c>
      <c r="H98" s="28">
        <f>IFERROR('Cash Flow Data'!I26,0)</f>
        <v>0</v>
      </c>
      <c r="I98" s="28">
        <f>IFERROR('Cash Flow Data'!J26,0)</f>
        <v>0</v>
      </c>
      <c r="J98" s="28">
        <f>IFERROR('Cash Flow Data'!K26,0)</f>
        <v>0</v>
      </c>
      <c r="K98" s="28">
        <f>IFERROR('Cash Flow Data'!L26,0)</f>
        <v>0</v>
      </c>
      <c r="L98" s="28">
        <f>IFERROR('Cash Flow Data'!M26,0)</f>
        <v>0</v>
      </c>
      <c r="M98" s="28">
        <f>IFERROR('Cash Flow Data'!N26,0)</f>
        <v>0</v>
      </c>
    </row>
    <row r="99" spans="2:13" x14ac:dyDescent="0.3">
      <c r="B99" t="s">
        <v>145</v>
      </c>
      <c r="D99" s="28">
        <f>IFERROR('Cash Flow Data'!E27,0)</f>
        <v>36363</v>
      </c>
      <c r="E99" s="28">
        <f>IFERROR('Cash Flow Data'!F27,0)</f>
        <v>19519</v>
      </c>
      <c r="F99" s="28">
        <f>IFERROR('Cash Flow Data'!G27,0)</f>
        <v>33390</v>
      </c>
      <c r="G99" s="28">
        <f>IFERROR('Cash Flow Data'!H27,0)</f>
        <v>37482</v>
      </c>
      <c r="H99" s="28">
        <f>IFERROR('Cash Flow Data'!I27,0)</f>
        <v>51128</v>
      </c>
      <c r="I99" s="28">
        <f>IFERROR('Cash Flow Data'!J27,0)</f>
        <v>38297</v>
      </c>
      <c r="J99" s="28">
        <f>IFERROR('Cash Flow Data'!K27,0)</f>
        <v>46641</v>
      </c>
      <c r="K99" s="28">
        <f>IFERROR('Cash Flow Data'!L27,0)</f>
        <v>46578</v>
      </c>
      <c r="L99" s="28">
        <f>IFERROR('Cash Flow Data'!M27,0)</f>
        <v>43934</v>
      </c>
      <c r="M99" s="28">
        <f>IFERROR('Cash Flow Data'!N27,0)</f>
        <v>18747</v>
      </c>
    </row>
    <row r="100" spans="2:13" x14ac:dyDescent="0.3">
      <c r="B100" t="s">
        <v>146</v>
      </c>
      <c r="D100" s="28">
        <f>IFERROR('Cash Flow Data'!E28,0)</f>
        <v>-23332</v>
      </c>
      <c r="E100" s="28">
        <f>IFERROR('Cash Flow Data'!F28,0)</f>
        <v>-24924</v>
      </c>
      <c r="F100" s="28">
        <f>IFERROR('Cash Flow Data'!G28,0)</f>
        <v>-21732</v>
      </c>
      <c r="G100" s="28">
        <f>IFERROR('Cash Flow Data'!H28,0)</f>
        <v>-29964</v>
      </c>
      <c r="H100" s="28">
        <f>IFERROR('Cash Flow Data'!I28,0)</f>
        <v>-35198</v>
      </c>
      <c r="I100" s="28">
        <f>IFERROR('Cash Flow Data'!J28,0)</f>
        <v>-29847</v>
      </c>
      <c r="J100" s="28">
        <f>IFERROR('Cash Flow Data'!K28,0)</f>
        <v>-29709</v>
      </c>
      <c r="K100" s="28">
        <f>IFERROR('Cash Flow Data'!L28,0)</f>
        <v>-42816</v>
      </c>
      <c r="L100" s="28">
        <f>IFERROR('Cash Flow Data'!M28,0)</f>
        <v>-62557</v>
      </c>
      <c r="M100" s="28">
        <f>IFERROR('Cash Flow Data'!N28,0)</f>
        <v>-47332</v>
      </c>
    </row>
    <row r="101" spans="2:13" x14ac:dyDescent="0.3">
      <c r="B101" t="s">
        <v>147</v>
      </c>
      <c r="D101" s="28">
        <f>IFERROR('Cash Flow Data'!E29,0)</f>
        <v>-6307</v>
      </c>
      <c r="E101" s="28">
        <f>IFERROR('Cash Flow Data'!F29,0)</f>
        <v>-5716</v>
      </c>
      <c r="F101" s="28">
        <f>IFERROR('Cash Flow Data'!G29,0)</f>
        <v>-5336</v>
      </c>
      <c r="G101" s="28">
        <f>IFERROR('Cash Flow Data'!H29,0)</f>
        <v>-5411</v>
      </c>
      <c r="H101" s="28">
        <f>IFERROR('Cash Flow Data'!I29,0)</f>
        <v>-7005</v>
      </c>
      <c r="I101" s="28">
        <f>IFERROR('Cash Flow Data'!J29,0)</f>
        <v>-7518</v>
      </c>
      <c r="J101" s="28">
        <f>IFERROR('Cash Flow Data'!K29,0)</f>
        <v>-8123</v>
      </c>
      <c r="K101" s="28">
        <f>IFERROR('Cash Flow Data'!L29,0)</f>
        <v>-9251</v>
      </c>
      <c r="L101" s="28">
        <f>IFERROR('Cash Flow Data'!M29,0)</f>
        <v>-9336</v>
      </c>
      <c r="M101" s="28">
        <f>IFERROR('Cash Flow Data'!N29,0)</f>
        <v>-9332</v>
      </c>
    </row>
    <row r="102" spans="2:13" x14ac:dyDescent="0.3">
      <c r="B102" t="s">
        <v>148</v>
      </c>
      <c r="D102" s="28">
        <f>IFERROR('Cash Flow Data'!E30,0)</f>
        <v>-720</v>
      </c>
      <c r="E102" s="28">
        <f>IFERROR('Cash Flow Data'!F30,0)</f>
        <v>-108</v>
      </c>
      <c r="F102" s="28">
        <f>IFERROR('Cash Flow Data'!G30,0)</f>
        <v>-121</v>
      </c>
      <c r="G102" s="28">
        <f>IFERROR('Cash Flow Data'!H30,0)</f>
        <v>-96</v>
      </c>
      <c r="H102" s="28">
        <f>IFERROR('Cash Flow Data'!I30,0)</f>
        <v>-95</v>
      </c>
      <c r="I102" s="28">
        <f>IFERROR('Cash Flow Data'!J30,0)</f>
        <v>-57</v>
      </c>
      <c r="J102" s="28">
        <f>IFERROR('Cash Flow Data'!K30,0)</f>
        <v>-30</v>
      </c>
      <c r="K102" s="28">
        <f>IFERROR('Cash Flow Data'!L30,0)</f>
        <v>-100</v>
      </c>
      <c r="L102" s="28">
        <f>IFERROR('Cash Flow Data'!M30,0)</f>
        <v>-141</v>
      </c>
      <c r="M102" s="28">
        <f>IFERROR('Cash Flow Data'!N30,0)</f>
        <v>-1059</v>
      </c>
    </row>
    <row r="103" spans="2:13" x14ac:dyDescent="0.3">
      <c r="B103" t="s">
        <v>149</v>
      </c>
      <c r="D103" s="28">
        <f>IFERROR('Cash Flow Data'!E31,0)</f>
        <v>0</v>
      </c>
      <c r="E103" s="28">
        <f>IFERROR('Cash Flow Data'!F31,0)</f>
        <v>0</v>
      </c>
      <c r="F103" s="28">
        <f>IFERROR('Cash Flow Data'!G31,0)</f>
        <v>0</v>
      </c>
      <c r="G103" s="28">
        <f>IFERROR('Cash Flow Data'!H31,0)</f>
        <v>0</v>
      </c>
      <c r="H103" s="28">
        <f>IFERROR('Cash Flow Data'!I31,0)</f>
        <v>0</v>
      </c>
      <c r="I103" s="28">
        <f>IFERROR('Cash Flow Data'!J31,0)</f>
        <v>-1346</v>
      </c>
      <c r="J103" s="28">
        <f>IFERROR('Cash Flow Data'!K31,0)</f>
        <v>-1477</v>
      </c>
      <c r="K103" s="28">
        <f>IFERROR('Cash Flow Data'!L31,0)</f>
        <v>-1559</v>
      </c>
      <c r="L103" s="28">
        <f>IFERROR('Cash Flow Data'!M31,0)</f>
        <v>-1517</v>
      </c>
      <c r="M103" s="28">
        <f>IFERROR('Cash Flow Data'!N31,0)</f>
        <v>-1924</v>
      </c>
    </row>
    <row r="104" spans="2:13" x14ac:dyDescent="0.3">
      <c r="B104" t="s">
        <v>150</v>
      </c>
      <c r="D104" s="28">
        <f>IFERROR('Cash Flow Data'!E32,0)</f>
        <v>-57</v>
      </c>
      <c r="E104" s="28">
        <f>IFERROR('Cash Flow Data'!F32,0)</f>
        <v>0</v>
      </c>
      <c r="F104" s="28">
        <f>IFERROR('Cash Flow Data'!G32,0)</f>
        <v>0</v>
      </c>
      <c r="G104" s="28">
        <f>IFERROR('Cash Flow Data'!H32,0)</f>
        <v>0</v>
      </c>
      <c r="H104" s="28">
        <f>IFERROR('Cash Flow Data'!I32,0)</f>
        <v>0</v>
      </c>
      <c r="I104" s="28">
        <f>IFERROR('Cash Flow Data'!J32,0)</f>
        <v>-29</v>
      </c>
      <c r="J104" s="28">
        <f>IFERROR('Cash Flow Data'!K32,0)</f>
        <v>0</v>
      </c>
      <c r="K104" s="28">
        <f>IFERROR('Cash Flow Data'!L32,0)</f>
        <v>3750</v>
      </c>
      <c r="L104" s="28">
        <f>IFERROR('Cash Flow Data'!M32,0)</f>
        <v>3355</v>
      </c>
      <c r="M104" s="28">
        <f>IFERROR('Cash Flow Data'!N32,0)</f>
        <v>3812</v>
      </c>
    </row>
    <row r="105" spans="2:13" x14ac:dyDescent="0.3">
      <c r="B105" s="70" t="s">
        <v>158</v>
      </c>
      <c r="C105" s="74"/>
      <c r="D105" s="72">
        <f>SUM(D97:D104)</f>
        <v>5203</v>
      </c>
      <c r="E105" s="72">
        <f t="shared" ref="E105:M105" si="25">SUM(E97:E104)</f>
        <v>-3796</v>
      </c>
      <c r="F105" s="72">
        <f t="shared" si="25"/>
        <v>6206</v>
      </c>
      <c r="G105" s="72">
        <f t="shared" si="25"/>
        <v>2011</v>
      </c>
      <c r="H105" s="72">
        <f t="shared" si="25"/>
        <v>8830</v>
      </c>
      <c r="I105" s="72">
        <f t="shared" si="25"/>
        <v>3389</v>
      </c>
      <c r="J105" s="72">
        <f t="shared" si="25"/>
        <v>9905</v>
      </c>
      <c r="K105" s="72">
        <f t="shared" si="25"/>
        <v>-3379</v>
      </c>
      <c r="L105" s="72">
        <f t="shared" si="25"/>
        <v>-26242</v>
      </c>
      <c r="M105" s="72">
        <f t="shared" si="25"/>
        <v>-37006</v>
      </c>
    </row>
    <row r="107" spans="2:13" ht="15" thickBot="1" x14ac:dyDescent="0.35">
      <c r="B107" s="78" t="s">
        <v>35</v>
      </c>
      <c r="C107" s="76"/>
      <c r="D107" s="77">
        <f>IFERROR(D105+D94+D80,0)</f>
        <v>830</v>
      </c>
      <c r="E107" s="77">
        <f t="shared" ref="E107:M107" si="26">IFERROR(E105+E94+E80,0)</f>
        <v>-1278</v>
      </c>
      <c r="F107" s="77">
        <f t="shared" si="26"/>
        <v>88</v>
      </c>
      <c r="G107" s="77">
        <f t="shared" si="26"/>
        <v>-5706</v>
      </c>
      <c r="H107" s="77">
        <f t="shared" si="26"/>
        <v>-378</v>
      </c>
      <c r="I107" s="77">
        <f t="shared" si="26"/>
        <v>1971</v>
      </c>
      <c r="J107" s="77">
        <f t="shared" si="26"/>
        <v>13141</v>
      </c>
      <c r="K107" s="77">
        <f t="shared" si="26"/>
        <v>-4289</v>
      </c>
      <c r="L107" s="77">
        <f t="shared" si="26"/>
        <v>-9400</v>
      </c>
      <c r="M107" s="77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N8 D14:N14 N24 N30 D8:L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workbookViewId="0">
      <selection activeCell="I14" sqref="I14"/>
    </sheetView>
  </sheetViews>
  <sheetFormatPr defaultRowHeight="14.4" x14ac:dyDescent="0.3"/>
  <cols>
    <col min="2" max="2" width="27" customWidth="1"/>
  </cols>
  <sheetData>
    <row r="2" spans="2:14" x14ac:dyDescent="0.3">
      <c r="B2" t="s">
        <v>110</v>
      </c>
      <c r="C2" s="64">
        <v>41334</v>
      </c>
      <c r="D2" s="64">
        <v>41699</v>
      </c>
      <c r="E2" s="64">
        <v>42064</v>
      </c>
      <c r="F2" s="64">
        <v>42430</v>
      </c>
      <c r="G2" s="64">
        <v>42795</v>
      </c>
      <c r="H2" s="64">
        <v>43160</v>
      </c>
      <c r="I2" s="64">
        <v>43525</v>
      </c>
      <c r="J2" s="64">
        <v>43891</v>
      </c>
      <c r="K2" s="64">
        <v>44256</v>
      </c>
      <c r="L2" s="64">
        <v>44621</v>
      </c>
      <c r="M2" s="64">
        <v>44986</v>
      </c>
      <c r="N2" s="64">
        <v>45352</v>
      </c>
    </row>
    <row r="3" spans="2:14" x14ac:dyDescent="0.3">
      <c r="B3" t="s">
        <v>32</v>
      </c>
      <c r="C3" s="65">
        <v>22163</v>
      </c>
      <c r="D3" s="65">
        <v>36151</v>
      </c>
      <c r="E3" s="65">
        <v>35531</v>
      </c>
      <c r="F3" s="65">
        <v>37900</v>
      </c>
      <c r="G3" s="65">
        <v>30199</v>
      </c>
      <c r="H3" s="65">
        <v>23857</v>
      </c>
      <c r="I3" s="65">
        <v>18891</v>
      </c>
      <c r="J3" s="65">
        <v>26633</v>
      </c>
      <c r="K3" s="65">
        <v>29001</v>
      </c>
      <c r="L3" s="65">
        <v>14283</v>
      </c>
      <c r="M3" s="65">
        <v>35388</v>
      </c>
      <c r="N3" s="65">
        <v>67915</v>
      </c>
    </row>
    <row r="4" spans="2:14" x14ac:dyDescent="0.3">
      <c r="B4" t="s">
        <v>126</v>
      </c>
      <c r="C4" s="65">
        <v>24406</v>
      </c>
      <c r="D4" s="65">
        <v>36303</v>
      </c>
      <c r="E4" s="65">
        <v>43397</v>
      </c>
      <c r="F4" s="65">
        <v>38626</v>
      </c>
      <c r="G4" s="65">
        <v>28840</v>
      </c>
      <c r="H4" s="65">
        <v>33312</v>
      </c>
      <c r="I4" s="65">
        <v>28771</v>
      </c>
      <c r="J4" s="65">
        <v>23352</v>
      </c>
      <c r="K4" s="65">
        <v>31198</v>
      </c>
      <c r="L4" s="65">
        <v>26943</v>
      </c>
      <c r="M4" s="65">
        <v>41694</v>
      </c>
      <c r="N4" s="65">
        <v>65106</v>
      </c>
    </row>
    <row r="5" spans="2:14" x14ac:dyDescent="0.3">
      <c r="B5" t="s">
        <v>78</v>
      </c>
      <c r="C5" s="65">
        <v>-5177</v>
      </c>
      <c r="D5" s="66">
        <v>445</v>
      </c>
      <c r="E5" s="65">
        <v>-3179</v>
      </c>
      <c r="F5" s="65">
        <v>-2223</v>
      </c>
      <c r="G5" s="65">
        <v>-4152</v>
      </c>
      <c r="H5" s="65">
        <v>-10688</v>
      </c>
      <c r="I5" s="65">
        <v>-9109</v>
      </c>
      <c r="J5" s="65">
        <v>9950</v>
      </c>
      <c r="K5" s="65">
        <v>-5505</v>
      </c>
      <c r="L5" s="66">
        <v>185</v>
      </c>
      <c r="M5" s="65">
        <v>-2213</v>
      </c>
      <c r="N5" s="65">
        <v>-1875</v>
      </c>
    </row>
    <row r="6" spans="2:14" x14ac:dyDescent="0.3">
      <c r="B6" t="s">
        <v>45</v>
      </c>
      <c r="C6" s="65">
        <v>-2656</v>
      </c>
      <c r="D6" s="65">
        <v>-2853</v>
      </c>
      <c r="E6" s="65">
        <v>-3692</v>
      </c>
      <c r="F6" s="65">
        <v>-5743</v>
      </c>
      <c r="G6" s="65">
        <v>-6621</v>
      </c>
      <c r="H6" s="65">
        <v>-3560</v>
      </c>
      <c r="I6" s="65">
        <v>2069</v>
      </c>
      <c r="J6" s="65">
        <v>2326</v>
      </c>
      <c r="K6" s="65">
        <v>3814</v>
      </c>
      <c r="L6" s="66">
        <v>472</v>
      </c>
      <c r="M6" s="65">
        <v>-5665</v>
      </c>
      <c r="N6" s="65">
        <v>-7265</v>
      </c>
    </row>
    <row r="7" spans="2:14" x14ac:dyDescent="0.3">
      <c r="B7" t="s">
        <v>127</v>
      </c>
      <c r="C7" s="65">
        <v>8132</v>
      </c>
      <c r="D7" s="65">
        <v>4694</v>
      </c>
      <c r="E7" s="65">
        <v>3598</v>
      </c>
      <c r="F7" s="65">
        <v>3947</v>
      </c>
      <c r="G7" s="65">
        <v>9301</v>
      </c>
      <c r="H7" s="65">
        <v>7320</v>
      </c>
      <c r="I7" s="65">
        <v>-4692</v>
      </c>
      <c r="J7" s="65">
        <v>-8085</v>
      </c>
      <c r="K7" s="65">
        <v>5748</v>
      </c>
      <c r="L7" s="65">
        <v>-7012</v>
      </c>
      <c r="M7" s="65">
        <v>6945</v>
      </c>
      <c r="N7" s="65">
        <v>13706</v>
      </c>
    </row>
    <row r="8" spans="2:14" x14ac:dyDescent="0.3">
      <c r="B8" t="s">
        <v>128</v>
      </c>
      <c r="C8" s="66">
        <v>0</v>
      </c>
      <c r="D8" s="66">
        <v>0</v>
      </c>
      <c r="E8" s="66">
        <v>0</v>
      </c>
      <c r="F8" s="66">
        <v>-520</v>
      </c>
      <c r="G8" s="66">
        <v>0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</row>
    <row r="9" spans="2:14" x14ac:dyDescent="0.3">
      <c r="B9" t="s">
        <v>129</v>
      </c>
      <c r="C9" s="66">
        <v>-303</v>
      </c>
      <c r="D9" s="65">
        <v>1870</v>
      </c>
      <c r="E9" s="66">
        <v>-398</v>
      </c>
      <c r="F9" s="65">
        <v>5852</v>
      </c>
      <c r="G9" s="65">
        <v>4727</v>
      </c>
      <c r="H9" s="66">
        <v>494</v>
      </c>
      <c r="I9" s="65">
        <v>4512</v>
      </c>
      <c r="J9" s="66">
        <v>875</v>
      </c>
      <c r="K9" s="65">
        <v>-4150</v>
      </c>
      <c r="L9" s="65">
        <v>-4396</v>
      </c>
      <c r="M9" s="65">
        <v>-2194</v>
      </c>
      <c r="N9" s="65">
        <v>2760</v>
      </c>
    </row>
    <row r="10" spans="2:14" x14ac:dyDescent="0.3">
      <c r="B10" t="s">
        <v>130</v>
      </c>
      <c r="C10" s="66">
        <v>-3</v>
      </c>
      <c r="D10" s="65">
        <v>4157</v>
      </c>
      <c r="E10" s="65">
        <v>-3672</v>
      </c>
      <c r="F10" s="65">
        <v>1313</v>
      </c>
      <c r="G10" s="65">
        <v>3254</v>
      </c>
      <c r="H10" s="65">
        <v>-6434</v>
      </c>
      <c r="I10" s="65">
        <v>-7221</v>
      </c>
      <c r="J10" s="65">
        <v>5065</v>
      </c>
      <c r="K10" s="66">
        <v>-93</v>
      </c>
      <c r="L10" s="65">
        <v>-10750</v>
      </c>
      <c r="M10" s="65">
        <v>-3127</v>
      </c>
      <c r="N10" s="65">
        <v>7325</v>
      </c>
    </row>
    <row r="11" spans="2:14" x14ac:dyDescent="0.3">
      <c r="B11" t="s">
        <v>131</v>
      </c>
      <c r="C11" s="65">
        <v>-2240</v>
      </c>
      <c r="D11" s="65">
        <v>-4308</v>
      </c>
      <c r="E11" s="65">
        <v>-4194</v>
      </c>
      <c r="F11" s="65">
        <v>-2040</v>
      </c>
      <c r="G11" s="65">
        <v>-1895</v>
      </c>
      <c r="H11" s="65">
        <v>-3021</v>
      </c>
      <c r="I11" s="65">
        <v>-2659</v>
      </c>
      <c r="J11" s="65">
        <v>-1785</v>
      </c>
      <c r="K11" s="65">
        <v>-2105</v>
      </c>
      <c r="L11" s="65">
        <v>-1910</v>
      </c>
      <c r="M11" s="65">
        <v>-3179</v>
      </c>
      <c r="N11" s="65">
        <v>-4516</v>
      </c>
    </row>
    <row r="12" spans="2:14" x14ac:dyDescent="0.3">
      <c r="B12" t="s">
        <v>33</v>
      </c>
      <c r="C12" s="65">
        <v>-22969</v>
      </c>
      <c r="D12" s="65">
        <v>-27991</v>
      </c>
      <c r="E12" s="65">
        <v>-36232</v>
      </c>
      <c r="F12" s="65">
        <v>-36694</v>
      </c>
      <c r="G12" s="65">
        <v>-39571</v>
      </c>
      <c r="H12" s="65">
        <v>-25139</v>
      </c>
      <c r="I12" s="65">
        <v>-20878</v>
      </c>
      <c r="J12" s="65">
        <v>-33115</v>
      </c>
      <c r="K12" s="65">
        <v>-25672</v>
      </c>
      <c r="L12" s="65">
        <v>-4444</v>
      </c>
      <c r="M12" s="65">
        <v>-15417</v>
      </c>
      <c r="N12" s="65">
        <v>-22782</v>
      </c>
    </row>
    <row r="13" spans="2:14" x14ac:dyDescent="0.3">
      <c r="B13" t="s">
        <v>132</v>
      </c>
      <c r="C13" s="65">
        <v>-18863</v>
      </c>
      <c r="D13" s="65">
        <v>-26975</v>
      </c>
      <c r="E13" s="65">
        <v>-31962</v>
      </c>
      <c r="F13" s="65">
        <v>-31503</v>
      </c>
      <c r="G13" s="65">
        <v>-16072</v>
      </c>
      <c r="H13" s="65">
        <v>-35079</v>
      </c>
      <c r="I13" s="65">
        <v>-35304</v>
      </c>
      <c r="J13" s="65">
        <v>-29702</v>
      </c>
      <c r="K13" s="65">
        <v>-20205</v>
      </c>
      <c r="L13" s="65">
        <v>-15168</v>
      </c>
      <c r="M13" s="65">
        <v>-19230</v>
      </c>
      <c r="N13" s="65">
        <v>-31414</v>
      </c>
    </row>
    <row r="14" spans="2:14" x14ac:dyDescent="0.3">
      <c r="B14" t="s">
        <v>133</v>
      </c>
      <c r="C14" s="66">
        <v>37</v>
      </c>
      <c r="D14" s="66">
        <v>50</v>
      </c>
      <c r="E14" s="66">
        <v>74</v>
      </c>
      <c r="F14" s="66">
        <v>59</v>
      </c>
      <c r="G14" s="66">
        <v>53</v>
      </c>
      <c r="H14" s="66">
        <v>30</v>
      </c>
      <c r="I14" s="66">
        <v>67</v>
      </c>
      <c r="J14" s="66">
        <v>171</v>
      </c>
      <c r="K14" s="66">
        <v>351</v>
      </c>
      <c r="L14" s="66">
        <v>230</v>
      </c>
      <c r="M14" s="66">
        <v>285</v>
      </c>
      <c r="N14" s="66">
        <v>231</v>
      </c>
    </row>
    <row r="15" spans="2:14" x14ac:dyDescent="0.3">
      <c r="B15" t="s">
        <v>134</v>
      </c>
      <c r="C15" s="66">
        <v>73</v>
      </c>
      <c r="D15" s="66">
        <v>-429</v>
      </c>
      <c r="E15" s="65">
        <v>-5461</v>
      </c>
      <c r="F15" s="65">
        <v>-4728</v>
      </c>
      <c r="G15" s="66">
        <v>-6</v>
      </c>
      <c r="H15" s="66">
        <v>-329</v>
      </c>
      <c r="I15" s="66">
        <v>-130</v>
      </c>
      <c r="J15" s="65">
        <v>-1439</v>
      </c>
      <c r="K15" s="65">
        <v>-7530</v>
      </c>
      <c r="L15" s="65">
        <v>-3008</v>
      </c>
      <c r="M15" s="66">
        <v>-50</v>
      </c>
      <c r="N15" s="66">
        <v>-74</v>
      </c>
    </row>
    <row r="16" spans="2:14" x14ac:dyDescent="0.3">
      <c r="B16" t="s">
        <v>135</v>
      </c>
      <c r="C16" s="66">
        <v>34</v>
      </c>
      <c r="D16" s="66">
        <v>4</v>
      </c>
      <c r="E16" s="66">
        <v>42</v>
      </c>
      <c r="F16" s="66">
        <v>89</v>
      </c>
      <c r="G16" s="65">
        <v>1965</v>
      </c>
      <c r="H16" s="65">
        <v>2381</v>
      </c>
      <c r="I16" s="65">
        <v>5644</v>
      </c>
      <c r="J16" s="66">
        <v>21</v>
      </c>
      <c r="K16" s="66">
        <v>226</v>
      </c>
      <c r="L16" s="66">
        <v>104</v>
      </c>
      <c r="M16" s="65">
        <v>6895</v>
      </c>
      <c r="N16" s="65">
        <v>10820</v>
      </c>
    </row>
    <row r="17" spans="2:14" x14ac:dyDescent="0.3">
      <c r="B17" t="s">
        <v>136</v>
      </c>
      <c r="C17" s="66">
        <v>713</v>
      </c>
      <c r="D17" s="66">
        <v>653</v>
      </c>
      <c r="E17" s="66">
        <v>698</v>
      </c>
      <c r="F17" s="66">
        <v>731</v>
      </c>
      <c r="G17" s="66">
        <v>638</v>
      </c>
      <c r="H17" s="66">
        <v>690</v>
      </c>
      <c r="I17" s="66">
        <v>761</v>
      </c>
      <c r="J17" s="65">
        <v>1104</v>
      </c>
      <c r="K17" s="66">
        <v>428</v>
      </c>
      <c r="L17" s="66">
        <v>653</v>
      </c>
      <c r="M17" s="66">
        <v>973</v>
      </c>
      <c r="N17" s="65">
        <v>2493</v>
      </c>
    </row>
    <row r="18" spans="2:14" x14ac:dyDescent="0.3">
      <c r="B18" t="s">
        <v>137</v>
      </c>
      <c r="C18" s="66">
        <v>95</v>
      </c>
      <c r="D18" s="66">
        <v>40</v>
      </c>
      <c r="E18" s="66">
        <v>80</v>
      </c>
      <c r="F18" s="66">
        <v>58</v>
      </c>
      <c r="G18" s="66">
        <v>620</v>
      </c>
      <c r="H18" s="65">
        <v>1797</v>
      </c>
      <c r="I18" s="66">
        <v>232</v>
      </c>
      <c r="J18" s="66">
        <v>21</v>
      </c>
      <c r="K18" s="66">
        <v>18</v>
      </c>
      <c r="L18" s="66">
        <v>32</v>
      </c>
      <c r="M18" s="66">
        <v>46</v>
      </c>
      <c r="N18" s="66">
        <v>47</v>
      </c>
    </row>
    <row r="19" spans="2:14" x14ac:dyDescent="0.3">
      <c r="B19" t="s">
        <v>138</v>
      </c>
      <c r="C19" s="66">
        <v>0</v>
      </c>
      <c r="D19" s="66">
        <v>0</v>
      </c>
      <c r="E19" s="66">
        <v>-160</v>
      </c>
      <c r="F19" s="66">
        <v>0</v>
      </c>
      <c r="G19" s="66">
        <v>-107</v>
      </c>
      <c r="H19" s="66">
        <v>-4</v>
      </c>
      <c r="I19" s="66">
        <v>-9</v>
      </c>
      <c r="J19" s="66">
        <v>-606</v>
      </c>
      <c r="K19" s="66">
        <v>-10</v>
      </c>
      <c r="L19" s="66">
        <v>0</v>
      </c>
      <c r="M19" s="66">
        <v>0</v>
      </c>
      <c r="N19" s="66">
        <v>-150</v>
      </c>
    </row>
    <row r="20" spans="2:14" x14ac:dyDescent="0.3">
      <c r="B20" t="s">
        <v>139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14</v>
      </c>
      <c r="I20" s="66">
        <v>533</v>
      </c>
      <c r="J20" s="66">
        <v>0</v>
      </c>
      <c r="K20" s="66">
        <v>0</v>
      </c>
      <c r="L20" s="66">
        <v>0</v>
      </c>
      <c r="M20" s="66">
        <v>19</v>
      </c>
      <c r="N20" s="66">
        <v>108</v>
      </c>
    </row>
    <row r="21" spans="2:14" x14ac:dyDescent="0.3">
      <c r="B21" t="s">
        <v>140</v>
      </c>
      <c r="C21" s="66">
        <v>0</v>
      </c>
      <c r="D21" s="66">
        <v>-185</v>
      </c>
      <c r="E21" s="66">
        <v>0</v>
      </c>
      <c r="F21" s="66">
        <v>-111</v>
      </c>
      <c r="G21" s="66">
        <v>0</v>
      </c>
      <c r="H21" s="66">
        <v>0</v>
      </c>
      <c r="I21" s="66">
        <v>-8</v>
      </c>
      <c r="J21" s="66">
        <v>-27</v>
      </c>
      <c r="K21" s="66">
        <v>0</v>
      </c>
      <c r="L21" s="66">
        <v>-98</v>
      </c>
      <c r="M21" s="66">
        <v>0</v>
      </c>
      <c r="N21" s="66">
        <v>0</v>
      </c>
    </row>
    <row r="22" spans="2:14" x14ac:dyDescent="0.3">
      <c r="B22" t="s">
        <v>141</v>
      </c>
      <c r="C22" s="66">
        <v>45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-24</v>
      </c>
    </row>
    <row r="23" spans="2:14" x14ac:dyDescent="0.3">
      <c r="B23" t="s">
        <v>142</v>
      </c>
      <c r="C23" s="65">
        <v>-5103</v>
      </c>
      <c r="D23" s="65">
        <v>-1149</v>
      </c>
      <c r="E23" s="66">
        <v>456</v>
      </c>
      <c r="F23" s="65">
        <v>-1289</v>
      </c>
      <c r="G23" s="65">
        <v>-26663</v>
      </c>
      <c r="H23" s="65">
        <v>5360</v>
      </c>
      <c r="I23" s="65">
        <v>7335</v>
      </c>
      <c r="J23" s="65">
        <v>-2659</v>
      </c>
      <c r="K23" s="65">
        <v>1051</v>
      </c>
      <c r="L23" s="65">
        <v>12813</v>
      </c>
      <c r="M23" s="65">
        <v>-4357</v>
      </c>
      <c r="N23" s="65">
        <v>-4817</v>
      </c>
    </row>
    <row r="24" spans="2:14" x14ac:dyDescent="0.3">
      <c r="B24" t="s">
        <v>34</v>
      </c>
      <c r="C24" s="65">
        <v>-1692</v>
      </c>
      <c r="D24" s="65">
        <v>-3883</v>
      </c>
      <c r="E24" s="65">
        <v>5201</v>
      </c>
      <c r="F24" s="65">
        <v>-3795</v>
      </c>
      <c r="G24" s="65">
        <v>6205</v>
      </c>
      <c r="H24" s="65">
        <v>2012</v>
      </c>
      <c r="I24" s="65">
        <v>8830</v>
      </c>
      <c r="J24" s="65">
        <v>3390</v>
      </c>
      <c r="K24" s="65">
        <v>9904</v>
      </c>
      <c r="L24" s="65">
        <v>-3380</v>
      </c>
      <c r="M24" s="65">
        <v>-26243</v>
      </c>
      <c r="N24" s="65">
        <v>-37006</v>
      </c>
    </row>
    <row r="25" spans="2:14" x14ac:dyDescent="0.3">
      <c r="B25" t="s">
        <v>143</v>
      </c>
      <c r="C25" s="66">
        <v>1</v>
      </c>
      <c r="D25" s="66">
        <v>0</v>
      </c>
      <c r="E25" s="66">
        <v>0</v>
      </c>
      <c r="F25" s="65">
        <v>7433</v>
      </c>
      <c r="G25" s="66">
        <v>5</v>
      </c>
      <c r="H25" s="66">
        <v>0</v>
      </c>
      <c r="I25" s="66">
        <v>0</v>
      </c>
      <c r="J25" s="65">
        <v>3889</v>
      </c>
      <c r="K25" s="65">
        <v>2603</v>
      </c>
      <c r="L25" s="66">
        <v>19</v>
      </c>
      <c r="M25" s="66">
        <v>20</v>
      </c>
      <c r="N25" s="66">
        <v>82</v>
      </c>
    </row>
    <row r="26" spans="2:14" x14ac:dyDescent="0.3">
      <c r="B26" t="s">
        <v>144</v>
      </c>
      <c r="C26" s="66">
        <v>-97</v>
      </c>
      <c r="D26" s="66">
        <v>-658</v>
      </c>
      <c r="E26" s="66">
        <v>-744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</row>
    <row r="27" spans="2:14" x14ac:dyDescent="0.3">
      <c r="B27" t="s">
        <v>145</v>
      </c>
      <c r="C27" s="65">
        <v>27863</v>
      </c>
      <c r="D27" s="65">
        <v>33258</v>
      </c>
      <c r="E27" s="65">
        <v>36363</v>
      </c>
      <c r="F27" s="65">
        <v>19519</v>
      </c>
      <c r="G27" s="65">
        <v>33390</v>
      </c>
      <c r="H27" s="65">
        <v>37482</v>
      </c>
      <c r="I27" s="65">
        <v>51128</v>
      </c>
      <c r="J27" s="65">
        <v>38297</v>
      </c>
      <c r="K27" s="65">
        <v>46641</v>
      </c>
      <c r="L27" s="65">
        <v>46578</v>
      </c>
      <c r="M27" s="65">
        <v>43934</v>
      </c>
      <c r="N27" s="65">
        <v>18747</v>
      </c>
    </row>
    <row r="28" spans="2:14" x14ac:dyDescent="0.3">
      <c r="B28" t="s">
        <v>146</v>
      </c>
      <c r="C28" s="65">
        <v>-20395</v>
      </c>
      <c r="D28" s="65">
        <v>-29141</v>
      </c>
      <c r="E28" s="65">
        <v>-23332</v>
      </c>
      <c r="F28" s="65">
        <v>-24924</v>
      </c>
      <c r="G28" s="65">
        <v>-21732</v>
      </c>
      <c r="H28" s="65">
        <v>-29964</v>
      </c>
      <c r="I28" s="65">
        <v>-35198</v>
      </c>
      <c r="J28" s="65">
        <v>-29847</v>
      </c>
      <c r="K28" s="65">
        <v>-29709</v>
      </c>
      <c r="L28" s="65">
        <v>-42816</v>
      </c>
      <c r="M28" s="65">
        <v>-62557</v>
      </c>
      <c r="N28" s="65">
        <v>-47332</v>
      </c>
    </row>
    <row r="29" spans="2:14" x14ac:dyDescent="0.3">
      <c r="B29" t="s">
        <v>147</v>
      </c>
      <c r="C29" s="65">
        <v>-4666</v>
      </c>
      <c r="D29" s="65">
        <v>-6171</v>
      </c>
      <c r="E29" s="65">
        <v>-6307</v>
      </c>
      <c r="F29" s="65">
        <v>-5716</v>
      </c>
      <c r="G29" s="65">
        <v>-5336</v>
      </c>
      <c r="H29" s="65">
        <v>-5411</v>
      </c>
      <c r="I29" s="65">
        <v>-7005</v>
      </c>
      <c r="J29" s="65">
        <v>-7518</v>
      </c>
      <c r="K29" s="65">
        <v>-8123</v>
      </c>
      <c r="L29" s="65">
        <v>-9251</v>
      </c>
      <c r="M29" s="65">
        <v>-9336</v>
      </c>
      <c r="N29" s="65">
        <v>-9332</v>
      </c>
    </row>
    <row r="30" spans="2:14" x14ac:dyDescent="0.3">
      <c r="B30" t="s">
        <v>148</v>
      </c>
      <c r="C30" s="65">
        <v>-1551</v>
      </c>
      <c r="D30" s="66">
        <v>-722</v>
      </c>
      <c r="E30" s="66">
        <v>-720</v>
      </c>
      <c r="F30" s="66">
        <v>-108</v>
      </c>
      <c r="G30" s="66">
        <v>-121</v>
      </c>
      <c r="H30" s="66">
        <v>-96</v>
      </c>
      <c r="I30" s="66">
        <v>-95</v>
      </c>
      <c r="J30" s="66">
        <v>-57</v>
      </c>
      <c r="K30" s="66">
        <v>-30</v>
      </c>
      <c r="L30" s="66">
        <v>-100</v>
      </c>
      <c r="M30" s="66">
        <v>-141</v>
      </c>
      <c r="N30" s="65">
        <v>-1059</v>
      </c>
    </row>
    <row r="31" spans="2:14" x14ac:dyDescent="0.3">
      <c r="B31" t="s">
        <v>149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5">
        <v>-1346</v>
      </c>
      <c r="K31" s="65">
        <v>-1477</v>
      </c>
      <c r="L31" s="65">
        <v>-1559</v>
      </c>
      <c r="M31" s="65">
        <v>-1517</v>
      </c>
      <c r="N31" s="65">
        <v>-1924</v>
      </c>
    </row>
    <row r="32" spans="2:14" x14ac:dyDescent="0.3">
      <c r="B32" t="s">
        <v>150</v>
      </c>
      <c r="C32" s="65">
        <v>-2849</v>
      </c>
      <c r="D32" s="66">
        <v>-450</v>
      </c>
      <c r="E32" s="66">
        <v>-57</v>
      </c>
      <c r="F32" s="66">
        <v>0</v>
      </c>
      <c r="G32" s="66">
        <v>0</v>
      </c>
      <c r="H32" s="66">
        <v>0</v>
      </c>
      <c r="I32" s="66">
        <v>0</v>
      </c>
      <c r="J32" s="66">
        <v>-29</v>
      </c>
      <c r="K32" s="66">
        <v>0</v>
      </c>
      <c r="L32" s="65">
        <v>3750</v>
      </c>
      <c r="M32" s="65">
        <v>3355</v>
      </c>
      <c r="N32" s="65">
        <v>3812</v>
      </c>
    </row>
    <row r="33" spans="2:14" x14ac:dyDescent="0.3">
      <c r="B33" t="s">
        <v>151</v>
      </c>
      <c r="C33" s="65">
        <v>-2499</v>
      </c>
      <c r="D33" s="65">
        <v>4277</v>
      </c>
      <c r="E33" s="65">
        <v>4500</v>
      </c>
      <c r="F33" s="65">
        <v>-2589</v>
      </c>
      <c r="G33" s="65">
        <v>-3167</v>
      </c>
      <c r="H33" s="66">
        <v>730</v>
      </c>
      <c r="I33" s="65">
        <v>6843</v>
      </c>
      <c r="J33" s="65">
        <v>-3092</v>
      </c>
      <c r="K33" s="65">
        <v>13232</v>
      </c>
      <c r="L33" s="65">
        <v>6459</v>
      </c>
      <c r="M33" s="65">
        <v>-6272</v>
      </c>
      <c r="N33" s="65">
        <v>8128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tabSelected="1" workbookViewId="0">
      <pane ySplit="3" topLeftCell="A4" activePane="bottomLeft" state="frozen"/>
      <selection pane="bottomLeft" activeCell="G50" sqref="G50"/>
    </sheetView>
  </sheetViews>
  <sheetFormatPr defaultRowHeight="14.4" x14ac:dyDescent="0.3"/>
  <cols>
    <col min="1" max="1" width="1.88671875" customWidth="1"/>
    <col min="2" max="2" width="16.77734375" customWidth="1"/>
    <col min="4" max="4" width="11" bestFit="1" customWidth="1"/>
    <col min="5" max="6" width="12" bestFit="1" customWidth="1"/>
    <col min="7" max="9" width="10" bestFit="1" customWidth="1"/>
    <col min="10" max="10" width="9" bestFit="1" customWidth="1"/>
    <col min="11" max="11" width="9.77734375" customWidth="1"/>
    <col min="12" max="13" width="10" bestFit="1" customWidth="1"/>
    <col min="14" max="14" width="14.109375" customWidth="1"/>
    <col min="15" max="15" width="11" bestFit="1" customWidth="1"/>
    <col min="16" max="16" width="10" bestFit="1" customWidth="1"/>
  </cols>
  <sheetData>
    <row r="2" spans="2:16" x14ac:dyDescent="0.3">
      <c r="B2" s="52" t="str">
        <f>"Ratio Analysis of - "&amp;'Data Sheet'!B1</f>
        <v>Ratio Analysis of - METROPOLIS HEALTHCARE LTD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2:16" x14ac:dyDescent="0.3">
      <c r="B3" s="25" t="s">
        <v>94</v>
      </c>
      <c r="C3" s="25"/>
      <c r="D3" s="26">
        <f>'Data Sheet'!B16</f>
        <v>42460</v>
      </c>
      <c r="E3" s="26">
        <f>'Data Sheet'!C16</f>
        <v>42825</v>
      </c>
      <c r="F3" s="26">
        <f>'Data Sheet'!D16</f>
        <v>43190</v>
      </c>
      <c r="G3" s="26">
        <f>'Data Sheet'!E16</f>
        <v>43555</v>
      </c>
      <c r="H3" s="26">
        <f>'Data Sheet'!F16</f>
        <v>43921</v>
      </c>
      <c r="I3" s="26">
        <f>'Data Sheet'!G16</f>
        <v>44286</v>
      </c>
      <c r="J3" s="26">
        <f>'Data Sheet'!H16</f>
        <v>44651</v>
      </c>
      <c r="K3" s="26">
        <f>'Data Sheet'!I16</f>
        <v>45016</v>
      </c>
      <c r="L3" s="26">
        <f>'Data Sheet'!J16</f>
        <v>45382</v>
      </c>
      <c r="M3" s="26">
        <f>'Data Sheet'!K16</f>
        <v>45747</v>
      </c>
      <c r="N3" s="27" t="s">
        <v>189</v>
      </c>
      <c r="O3" s="42" t="s">
        <v>187</v>
      </c>
      <c r="P3" s="42" t="s">
        <v>188</v>
      </c>
    </row>
    <row r="5" spans="2:16" x14ac:dyDescent="0.3">
      <c r="B5" s="53" t="s">
        <v>22</v>
      </c>
      <c r="C5" s="53"/>
      <c r="D5" s="53"/>
      <c r="E5" s="54">
        <f>IFERROR('Historical FS'!E6,0)</f>
        <v>0.14564536143184648</v>
      </c>
      <c r="F5" s="54">
        <f>IFERROR('Historical FS'!F6,0)</f>
        <v>0.1880599206932001</v>
      </c>
      <c r="G5" s="54">
        <f>IFERROR('Historical FS'!G6,0)</f>
        <v>0.17618517831757208</v>
      </c>
      <c r="H5" s="54">
        <f>IFERROR('Historical FS'!H6,0)</f>
        <v>0.12510838435061356</v>
      </c>
      <c r="I5" s="54">
        <f>IFERROR('Historical FS'!I6,0)</f>
        <v>0.1653180135682677</v>
      </c>
      <c r="J5" s="54">
        <f>IFERROR('Historical FS'!J6,0)</f>
        <v>0.23081393601138278</v>
      </c>
      <c r="K5" s="54">
        <f>IFERROR('Historical FS'!K6,0)</f>
        <v>-6.5234381360209648E-2</v>
      </c>
      <c r="L5" s="54">
        <f>IFERROR('Historical FS'!L6,0)</f>
        <v>5.1819789062976351E-2</v>
      </c>
      <c r="M5" s="54">
        <f>IFERROR('Historical FS'!M6,0)</f>
        <v>0.10225136829205694</v>
      </c>
      <c r="N5" s="36"/>
      <c r="O5" s="36">
        <f>IFERROR(AVERAGE(E5:M5),0)</f>
        <v>0.12444084115196737</v>
      </c>
      <c r="P5" s="5">
        <f>IFERROR(MEDIAN(E5:M5),0)</f>
        <v>0.14564536143184648</v>
      </c>
    </row>
    <row r="6" spans="2:16" x14ac:dyDescent="0.3">
      <c r="B6" s="55" t="s">
        <v>160</v>
      </c>
      <c r="C6" s="55"/>
      <c r="D6" s="55"/>
      <c r="E6" s="37">
        <f>IFERROR('Historical FS'!E17/'Historical FS'!D17-1,0)</f>
        <v>0.20560667297274082</v>
      </c>
      <c r="F6" s="37">
        <f>IFERROR('Historical FS'!F17/'Historical FS'!E17-1,0)</f>
        <v>0.28794579172610479</v>
      </c>
      <c r="G6" s="37">
        <f>IFERROR('Historical FS'!G17/'Historical FS'!F17-1,0)</f>
        <v>0.1218364069335991</v>
      </c>
      <c r="H6" s="37">
        <f>IFERROR('Historical FS'!H17/'Historical FS'!G17-1,0)</f>
        <v>0.1710026163795233</v>
      </c>
      <c r="I6" s="37">
        <f>IFERROR('Historical FS'!I17/'Historical FS'!H17-1,0)</f>
        <v>0.22166013237216031</v>
      </c>
      <c r="J6" s="37">
        <f>IFERROR('Historical FS'!J17/'Historical FS'!I17-1,0)</f>
        <v>0.20114565720004074</v>
      </c>
      <c r="K6" s="37">
        <f>IFERROR('Historical FS'!K17/'Historical FS'!J17-1,0)</f>
        <v>-0.15723396920248212</v>
      </c>
      <c r="L6" s="37">
        <f>IFERROR('Historical FS'!L17/'Historical FS'!K17-1,0)</f>
        <v>-1.8476222941877563E-2</v>
      </c>
      <c r="M6" s="37">
        <f>IFERROR('Historical FS'!M17/'Historical FS'!L17-1,0)</f>
        <v>5.2304379536692425E-2</v>
      </c>
      <c r="N6" s="36"/>
      <c r="O6" s="36">
        <f t="shared" ref="O6:O9" si="0">IFERROR(AVERAGE(E6:M6),0)</f>
        <v>0.12064349610850021</v>
      </c>
      <c r="P6" s="5">
        <f t="shared" ref="P6:P9" si="1">IFERROR(MEDIAN(E6:M6),0)</f>
        <v>0.1710026163795233</v>
      </c>
    </row>
    <row r="7" spans="2:16" x14ac:dyDescent="0.3">
      <c r="B7" s="55" t="s">
        <v>185</v>
      </c>
      <c r="C7" s="55"/>
      <c r="D7" s="55"/>
      <c r="E7" s="37">
        <f>IFERROR('Historical FS'!E27/'Historical FS'!D27-1,0)</f>
        <v>0.23437021927587987</v>
      </c>
      <c r="F7" s="37">
        <f>IFERROR('Historical FS'!F27/'Historical FS'!E27-1,0)</f>
        <v>0.30554407998016941</v>
      </c>
      <c r="G7" s="37">
        <f>IFERROR('Historical FS'!G27/'Historical FS'!F27-1,0)</f>
        <v>0.1289158913992785</v>
      </c>
      <c r="H7" s="37">
        <f>IFERROR('Historical FS'!H27/'Historical FS'!G27-1,0)</f>
        <v>3.8737526628545904E-2</v>
      </c>
      <c r="I7" s="37">
        <f>IFERROR('Historical FS'!I27/'Historical FS'!H27-1,0)</f>
        <v>0.25365643046036013</v>
      </c>
      <c r="J7" s="37">
        <f>IFERROR('Historical FS'!J27/'Historical FS'!I27-1,0)</f>
        <v>0.11860174781523014</v>
      </c>
      <c r="K7" s="37">
        <f>IFERROR('Historical FS'!K27/'Historical FS'!J27-1,0)</f>
        <v>-0.33697660098522153</v>
      </c>
      <c r="L7" s="37">
        <f>IFERROR('Historical FS'!L27/'Historical FS'!K27-1,0)</f>
        <v>-3.8948223821684502E-2</v>
      </c>
      <c r="M7" s="37">
        <f>IFERROR('Historical FS'!M27/'Historical FS'!L27-1,0)</f>
        <v>6.1424171045478149E-2</v>
      </c>
      <c r="N7" s="36"/>
      <c r="O7" s="36">
        <f t="shared" si="0"/>
        <v>8.5036137977559559E-2</v>
      </c>
      <c r="P7" s="5">
        <f t="shared" si="1"/>
        <v>0.11860174781523014</v>
      </c>
    </row>
    <row r="8" spans="2:16" x14ac:dyDescent="0.3">
      <c r="B8" s="55" t="s">
        <v>161</v>
      </c>
      <c r="C8" s="55"/>
      <c r="D8" s="55"/>
      <c r="E8" s="37">
        <f>IFERROR('Historical FS'!E33/'Historical FS'!D33-1,0)</f>
        <v>0.30278201219512257</v>
      </c>
      <c r="F8" s="37">
        <f>IFERROR('Historical FS'!F33/'Historical FS'!E33-1,0)</f>
        <v>0.55287406757349555</v>
      </c>
      <c r="G8" s="37">
        <f>IFERROR('Historical FS'!G33/'Historical FS'!F33-1,0)</f>
        <v>8.7312800226052367E-2</v>
      </c>
      <c r="H8" s="37">
        <f>IFERROR('Historical FS'!H33/'Historical FS'!G33-1,0)</f>
        <v>0.24835412335412355</v>
      </c>
      <c r="I8" s="37">
        <f>IFERROR('Historical FS'!I33/'Historical FS'!H33-1,0)</f>
        <v>0.188814100340019</v>
      </c>
      <c r="J8" s="37">
        <f>IFERROR('Historical FS'!J33/'Historical FS'!I33-1,0)</f>
        <v>5.7553116974082608E-2</v>
      </c>
      <c r="K8" s="37">
        <f>IFERROR('Historical FS'!K33/'Historical FS'!J33-1,0)</f>
        <v>-0.29258196268903847</v>
      </c>
      <c r="L8" s="37">
        <f>IFERROR('Historical FS'!L33/'Historical FS'!K33-1,0)</f>
        <v>-6.8892876648199985E-2</v>
      </c>
      <c r="M8" s="37">
        <f>IFERROR('Historical FS'!M33/'Historical FS'!L33-1,0)</f>
        <v>9.2676386794032339E-2</v>
      </c>
      <c r="N8" s="36"/>
      <c r="O8" s="36">
        <f t="shared" si="0"/>
        <v>0.12987686312440994</v>
      </c>
      <c r="P8" s="5">
        <f t="shared" si="1"/>
        <v>9.2676386794032339E-2</v>
      </c>
    </row>
    <row r="9" spans="2:16" x14ac:dyDescent="0.3">
      <c r="B9" s="56" t="s">
        <v>162</v>
      </c>
      <c r="C9" s="56"/>
      <c r="D9" s="56"/>
      <c r="E9" s="57">
        <f>IFERROR('Historical FS'!E41/'Historical FS'!D41-1,0)</f>
        <v>-0.34845522096206494</v>
      </c>
      <c r="F9" s="57">
        <f>IFERROR('Historical FS'!F41/'Historical FS'!E41-1,0)</f>
        <v>-1</v>
      </c>
      <c r="G9" s="57">
        <f>IFERROR('Historical FS'!G41/'Historical FS'!F41-1,0)</f>
        <v>0</v>
      </c>
      <c r="H9" s="57">
        <f>IFERROR('Historical FS'!H41/'Historical FS'!G41-1,0)</f>
        <v>-0.39612913032197072</v>
      </c>
      <c r="I9" s="57">
        <f>IFERROR('Historical FS'!I41/'Historical FS'!H41-1,0)</f>
        <v>-9.8716683119459692E-4</v>
      </c>
      <c r="J9" s="57">
        <f>IFERROR('Historical FS'!J41/'Historical FS'!I41-1,0)</f>
        <v>-9.765625E-4</v>
      </c>
      <c r="K9" s="57">
        <f>IFERROR('Historical FS'!K41/'Historical FS'!J41-1,0)</f>
        <v>9.7751710654936375E-4</v>
      </c>
      <c r="L9" s="57">
        <f>IFERROR('Historical FS'!L41/'Historical FS'!K41-1,0)</f>
        <v>-0.49951171875</v>
      </c>
      <c r="M9" s="57">
        <f>IFERROR('Historical FS'!M41/'Historical FS'!L41-1,0)</f>
        <v>-1</v>
      </c>
      <c r="N9" s="36"/>
      <c r="O9" s="36">
        <f t="shared" si="0"/>
        <v>-0.3605646980287423</v>
      </c>
      <c r="P9" s="5">
        <f t="shared" si="1"/>
        <v>-0.34845522096206494</v>
      </c>
    </row>
    <row r="11" spans="2:16" x14ac:dyDescent="0.3">
      <c r="B11" s="53" t="s">
        <v>159</v>
      </c>
      <c r="C11" s="53"/>
      <c r="D11" s="54">
        <f>IFERROR('Historical FS'!D12,0)</f>
        <v>0.47029255263213243</v>
      </c>
      <c r="E11" s="54">
        <f>IFERROR('Historical FS'!E12,0)</f>
        <v>0.47964091643413137</v>
      </c>
      <c r="F11" s="54">
        <f>IFERROR('Historical FS'!F12,0)</f>
        <v>0.44035478088880642</v>
      </c>
      <c r="G11" s="54">
        <f>IFERROR('Historical FS'!G12,0)</f>
        <v>0.42434115452324017</v>
      </c>
      <c r="H11" s="54">
        <f>IFERROR('Historical FS'!H12,0)</f>
        <v>0.49806751439147134</v>
      </c>
      <c r="I11" s="54">
        <f>IFERROR('Historical FS'!I12,0)</f>
        <v>0.50952414352849229</v>
      </c>
      <c r="J11" s="54">
        <f>IFERROR('Historical FS'!J12,0)</f>
        <v>0.54614357588289886</v>
      </c>
      <c r="K11" s="54">
        <f>IFERROR('Historical FS'!K12,0)</f>
        <v>0.51885979045644959</v>
      </c>
      <c r="L11" s="54">
        <f>IFERROR('Historical FS'!L12,0)</f>
        <v>0.51923889013090907</v>
      </c>
      <c r="M11" s="54">
        <f>IFERROR('Historical FS'!M12,0)</f>
        <v>0.56247746394230769</v>
      </c>
      <c r="O11" s="36">
        <f>IFERROR(AVERAGE(D11:M11),0)</f>
        <v>0.49689407828108401</v>
      </c>
      <c r="P11" s="5">
        <f>IFERROR(MEDIAN(D11:M11),0)</f>
        <v>0.50379582895998176</v>
      </c>
    </row>
    <row r="12" spans="2:16" x14ac:dyDescent="0.3">
      <c r="B12" s="55" t="s">
        <v>163</v>
      </c>
      <c r="C12" s="55"/>
      <c r="D12" s="37">
        <f>IFERROR('Historical FS'!D18,0)</f>
        <v>0.24457904809977496</v>
      </c>
      <c r="E12" s="37">
        <f>IFERROR('Historical FS'!E18,0)</f>
        <v>0.25737993831693357</v>
      </c>
      <c r="F12" s="37">
        <f>IFERROR('Historical FS'!F18,0)</f>
        <v>0.27901909883181897</v>
      </c>
      <c r="G12" s="37">
        <f>IFERROR('Historical FS'!G18,0)</f>
        <v>0.26612627762158747</v>
      </c>
      <c r="H12" s="37">
        <f>IFERROR('Historical FS'!H18,0)</f>
        <v>0.27698181945563455</v>
      </c>
      <c r="I12" s="37">
        <f>IFERROR('Historical FS'!I18,0)</f>
        <v>0.29037365103858764</v>
      </c>
      <c r="J12" s="37">
        <f>IFERROR('Historical FS'!J18,0)</f>
        <v>0.28337431004445018</v>
      </c>
      <c r="K12" s="37">
        <f>IFERROR('Historical FS'!K18,0)</f>
        <v>0.25548462389284188</v>
      </c>
      <c r="L12" s="37">
        <f>IFERROR('Historical FS'!L18,0)</f>
        <v>0.23840988316731679</v>
      </c>
      <c r="M12" s="37">
        <f>IFERROR('Historical FS'!M18,0)</f>
        <v>0.22760667067307691</v>
      </c>
      <c r="O12" s="36">
        <f t="shared" ref="O12:O15" si="2">IFERROR(AVERAGE(D12:M12),0)</f>
        <v>0.26193353211420228</v>
      </c>
      <c r="P12" s="5">
        <f t="shared" ref="P12:P15" si="3">IFERROR(MEDIAN(D12:M12),0)</f>
        <v>0.26175310796926055</v>
      </c>
    </row>
    <row r="13" spans="2:16" x14ac:dyDescent="0.3">
      <c r="B13" s="55" t="s">
        <v>164</v>
      </c>
      <c r="C13" s="55"/>
      <c r="D13" s="37">
        <f>IFERROR(('Historical FS'!D17-'Historical FS'!D24)/'Historical FS'!D5,0)</f>
        <v>0.20958209771384104</v>
      </c>
      <c r="E13" s="37">
        <f>IFERROR(('Historical FS'!E17-'Historical FS'!E24)/'Historical FS'!E5,0)</f>
        <v>0.22574900866500228</v>
      </c>
      <c r="F13" s="37">
        <f>IFERROR(('Historical FS'!F17-'Historical FS'!F24)/'Historical FS'!F5,0)</f>
        <v>0.24962914889671792</v>
      </c>
      <c r="G13" s="37">
        <f>IFERROR(('Historical FS'!G17-'Historical FS'!G24)/'Historical FS'!G5,0)</f>
        <v>0.23975932105415271</v>
      </c>
      <c r="H13" s="37">
        <f>IFERROR(('Historical FS'!H17-'Historical FS'!H24)/'Historical FS'!H5,0)</f>
        <v>0.23112761411006405</v>
      </c>
      <c r="I13" s="37">
        <f>IFERROR(('Historical FS'!I17-'Historical FS'!I24)/'Historical FS'!I5,0)</f>
        <v>0.24434112566258187</v>
      </c>
      <c r="J13" s="37">
        <f>IFERROR(('Historical FS'!J17-'Historical FS'!J24)/'Historical FS'!J5,0)</f>
        <v>0.2319064754058322</v>
      </c>
      <c r="K13" s="37">
        <f>IFERROR(('Historical FS'!K17-'Historical FS'!K24)/'Historical FS'!K5,0)</f>
        <v>0.17778106792311507</v>
      </c>
      <c r="L13" s="37">
        <f>IFERROR(('Historical FS'!L17-'Historical FS'!L24)/'Historical FS'!L5,0)</f>
        <v>0.16018746222189115</v>
      </c>
      <c r="M13" s="37">
        <f>IFERROR(('Historical FS'!M17-'Historical FS'!M24)/'Historical FS'!M5,0)</f>
        <v>0.14596604567307692</v>
      </c>
      <c r="O13" s="36">
        <f t="shared" si="2"/>
        <v>0.21160293673262753</v>
      </c>
      <c r="P13" s="5">
        <f t="shared" si="3"/>
        <v>0.22843831138753318</v>
      </c>
    </row>
    <row r="14" spans="2:16" x14ac:dyDescent="0.3">
      <c r="B14" s="55" t="s">
        <v>165</v>
      </c>
      <c r="C14" s="55"/>
      <c r="D14" s="37">
        <f>IFERROR('Historical FS'!D28,0)</f>
        <v>0.20621700633057818</v>
      </c>
      <c r="E14" s="37">
        <f>IFERROR('Historical FS'!E28,0)</f>
        <v>0.22218754589513887</v>
      </c>
      <c r="F14" s="37">
        <f>IFERROR('Historical FS'!F28,0)</f>
        <v>0.24415909512330794</v>
      </c>
      <c r="G14" s="37">
        <f>IFERROR('Historical FS'!G28,0)</f>
        <v>0.23434667227199868</v>
      </c>
      <c r="H14" s="37">
        <f>IFERROR('Historical FS'!H28,0)</f>
        <v>0.21635665160378786</v>
      </c>
      <c r="I14" s="37">
        <f>IFERROR('Historical FS'!I28,0)</f>
        <v>0.23275784326496265</v>
      </c>
      <c r="J14" s="37">
        <f>IFERROR('Historical FS'!J28,0)</f>
        <v>0.21153752218441144</v>
      </c>
      <c r="K14" s="37">
        <f>IFERROR('Historical FS'!K28,0)</f>
        <v>0.15004223965999247</v>
      </c>
      <c r="L14" s="37">
        <f>IFERROR('Historical FS'!L28,0)</f>
        <v>0.13709416995801985</v>
      </c>
      <c r="M14" s="37">
        <f>IFERROR('Historical FS'!M28,0)</f>
        <v>0.13201622596153847</v>
      </c>
      <c r="O14" s="36">
        <f t="shared" si="2"/>
        <v>0.19867149722537364</v>
      </c>
      <c r="P14" s="5">
        <f t="shared" si="3"/>
        <v>0.21394708689409964</v>
      </c>
    </row>
    <row r="15" spans="2:16" x14ac:dyDescent="0.3">
      <c r="B15" s="56" t="s">
        <v>166</v>
      </c>
      <c r="C15" s="56"/>
      <c r="D15" s="57">
        <f>IFERROR('Historical FS'!D34,0)</f>
        <v>0.11037499737102237</v>
      </c>
      <c r="E15" s="57">
        <f>IFERROR('Historical FS'!E34,0)</f>
        <v>0.12551402555441335</v>
      </c>
      <c r="F15" s="57">
        <f>IFERROR('Historical FS'!F34,0)</f>
        <v>0.16405525681438896</v>
      </c>
      <c r="G15" s="57">
        <f>IFERROR('Historical FS'!G34,0)</f>
        <v>0.15165926587666512</v>
      </c>
      <c r="H15" s="57">
        <f>IFERROR('Historical FS'!H34,0)</f>
        <v>0.16827220606952273</v>
      </c>
      <c r="I15" s="57">
        <f>IFERROR('Historical FS'!I34,0)</f>
        <v>0.17166504674395544</v>
      </c>
      <c r="J15" s="57">
        <f>IFERROR('Historical FS'!J34,0)</f>
        <v>0.14749987788397345</v>
      </c>
      <c r="K15" s="57">
        <f>IFERROR('Historical FS'!K34,0)</f>
        <v>0.11162592208742299</v>
      </c>
      <c r="L15" s="57">
        <f>IFERROR('Historical FS'!L34,0)</f>
        <v>9.8815112899620083E-2</v>
      </c>
      <c r="M15" s="57">
        <f>IFERROR('Historical FS'!M34,0)</f>
        <v>9.7956730769230768E-2</v>
      </c>
      <c r="O15" s="36">
        <f t="shared" si="2"/>
        <v>0.13474384420702154</v>
      </c>
      <c r="P15" s="5">
        <f t="shared" si="3"/>
        <v>0.13650695171919341</v>
      </c>
    </row>
    <row r="17" spans="2:16" x14ac:dyDescent="0.3">
      <c r="B17" s="53" t="s">
        <v>167</v>
      </c>
      <c r="C17" s="53"/>
      <c r="D17" s="54">
        <f>IFERROR('Historical FS'!D15,0)</f>
        <v>0.22571350453235747</v>
      </c>
      <c r="E17" s="54">
        <f>IFERROR('Historical FS'!E15,0)</f>
        <v>0.2222609781171978</v>
      </c>
      <c r="F17" s="54">
        <f>IFERROR('Historical FS'!F15,0)</f>
        <v>0.16133568205698745</v>
      </c>
      <c r="G17" s="54">
        <f>IFERROR('Historical FS'!G15,0)</f>
        <v>0.1582148769016527</v>
      </c>
      <c r="H17" s="54">
        <f>IFERROR('Historical FS'!H15,0)</f>
        <v>0.22108569493583682</v>
      </c>
      <c r="I17" s="54">
        <f>IFERROR('Historical FS'!I15,0)</f>
        <v>0.2191504924899047</v>
      </c>
      <c r="J17" s="54">
        <f>IFERROR('Historical FS'!J15,0)</f>
        <v>0.26276926583844862</v>
      </c>
      <c r="K17" s="54">
        <f>IFERROR('Historical FS'!K15,0)</f>
        <v>0.26337516656360771</v>
      </c>
      <c r="L17" s="54">
        <f>IFERROR('Historical FS'!L15,0)</f>
        <v>0.2808290069635922</v>
      </c>
      <c r="M17" s="54">
        <f>IFERROR('Historical FS'!M15,0)</f>
        <v>0.33487079326923075</v>
      </c>
      <c r="O17" s="36">
        <f>IFERROR(AVERAGE(D17:M17),0)</f>
        <v>0.23496054616688164</v>
      </c>
      <c r="P17" s="5">
        <f t="shared" ref="P17:P18" si="4">IFERROR(MEDIAN(D17:M17),0)</f>
        <v>0.22398724132477765</v>
      </c>
    </row>
    <row r="18" spans="2:16" x14ac:dyDescent="0.3">
      <c r="B18" s="55" t="s">
        <v>168</v>
      </c>
      <c r="C18" s="55"/>
      <c r="D18" s="37">
        <f>IFERROR('Historical FS'!D25,0)</f>
        <v>3.4996950385933916E-2</v>
      </c>
      <c r="E18" s="37">
        <f>IFERROR('Historical FS'!E25,0)</f>
        <v>3.1630929651931268E-2</v>
      </c>
      <c r="F18" s="37">
        <f>IFERROR('Historical FS'!F25,0)</f>
        <v>2.9389949935101058E-2</v>
      </c>
      <c r="G18" s="37">
        <f>IFERROR('Historical FS'!G25,0)</f>
        <v>2.6366956567434773E-2</v>
      </c>
      <c r="H18" s="37">
        <f>IFERROR('Historical FS'!H25,0)</f>
        <v>4.585420534557047E-2</v>
      </c>
      <c r="I18" s="37">
        <f>IFERROR('Historical FS'!I25,0)</f>
        <v>4.6032525376005766E-2</v>
      </c>
      <c r="J18" s="37">
        <f>IFERROR('Historical FS'!J25,0)</f>
        <v>5.1467834638617975E-2</v>
      </c>
      <c r="K18" s="37">
        <f>IFERROR('Historical FS'!K25,0)</f>
        <v>7.7703555969726792E-2</v>
      </c>
      <c r="L18" s="37">
        <f>IFERROR('Historical FS'!L25,0)</f>
        <v>7.8222420945425641E-2</v>
      </c>
      <c r="M18" s="37">
        <f>IFERROR('Historical FS'!M25,0)</f>
        <v>8.1640625000000008E-2</v>
      </c>
      <c r="O18" s="36">
        <f t="shared" ref="O18:O19" si="5">IFERROR(AVERAGE(D18:M18),0)</f>
        <v>5.0330595381574764E-2</v>
      </c>
      <c r="P18" s="5">
        <f t="shared" si="4"/>
        <v>4.5943365360788121E-2</v>
      </c>
    </row>
    <row r="19" spans="2:16" x14ac:dyDescent="0.3">
      <c r="B19" s="56" t="s">
        <v>169</v>
      </c>
      <c r="C19" s="56"/>
      <c r="D19" s="57">
        <f>D13</f>
        <v>0.20958209771384104</v>
      </c>
      <c r="E19" s="57">
        <f t="shared" ref="E19:M19" si="6">E13</f>
        <v>0.22574900866500228</v>
      </c>
      <c r="F19" s="57">
        <f t="shared" si="6"/>
        <v>0.24962914889671792</v>
      </c>
      <c r="G19" s="57">
        <f t="shared" si="6"/>
        <v>0.23975932105415271</v>
      </c>
      <c r="H19" s="57">
        <f t="shared" si="6"/>
        <v>0.23112761411006405</v>
      </c>
      <c r="I19" s="57">
        <f t="shared" si="6"/>
        <v>0.24434112566258187</v>
      </c>
      <c r="J19" s="57">
        <f t="shared" si="6"/>
        <v>0.2319064754058322</v>
      </c>
      <c r="K19" s="57">
        <f t="shared" si="6"/>
        <v>0.17778106792311507</v>
      </c>
      <c r="L19" s="57">
        <f t="shared" si="6"/>
        <v>0.16018746222189115</v>
      </c>
      <c r="M19" s="57">
        <f t="shared" si="6"/>
        <v>0.14596604567307692</v>
      </c>
      <c r="O19" s="36">
        <f t="shared" si="5"/>
        <v>0.21160293673262753</v>
      </c>
      <c r="P19" s="5">
        <f>IFERROR(MEDIAN(D19:M19),0)</f>
        <v>0.22843831138753318</v>
      </c>
    </row>
    <row r="21" spans="2:16" x14ac:dyDescent="0.3">
      <c r="B21" s="53" t="s">
        <v>170</v>
      </c>
      <c r="C21" s="53"/>
      <c r="D21" s="54">
        <f>IFERROR(('Historical FS'!D17-'Historical FS'!D24)/SUM('Historical FS'!D48:D50),0)</f>
        <v>0.35159833462705525</v>
      </c>
      <c r="E21" s="54">
        <f>IFERROR(('Historical FS'!E17-'Historical FS'!E24)/SUM('Historical FS'!E48:E50),0)</f>
        <v>0.37941993211971625</v>
      </c>
      <c r="F21" s="54">
        <f>IFERROR(('Historical FS'!F17-'Historical FS'!F24)/SUM('Historical FS'!F48:F50),0)</f>
        <v>0.38881802209439442</v>
      </c>
      <c r="G21" s="54">
        <f>IFERROR(('Historical FS'!G17-'Historical FS'!G24)/SUM('Historical FS'!G48:G50),0)</f>
        <v>0.4182709937660431</v>
      </c>
      <c r="H21" s="54">
        <f>IFERROR(('Historical FS'!H17-'Historical FS'!H24)/SUM('Historical FS'!H48:H50),0)</f>
        <v>0.33537783802100968</v>
      </c>
      <c r="I21" s="54">
        <f>IFERROR(('Historical FS'!I17-'Historical FS'!I24)/SUM('Historical FS'!I48:I50),0)</f>
        <v>0.29778841574364684</v>
      </c>
      <c r="J21" s="54">
        <f>IFERROR(('Historical FS'!J17-'Historical FS'!J24)/SUM('Historical FS'!J48:J50),0)</f>
        <v>0.22523028266455813</v>
      </c>
      <c r="K21" s="54">
        <f>IFERROR(('Historical FS'!K17-'Historical FS'!K24)/SUM('Historical FS'!K48:K50),0)</f>
        <v>0.16270394784036468</v>
      </c>
      <c r="L21" s="54">
        <f>IFERROR(('Historical FS'!L17-'Historical FS'!L24)/SUM('Historical FS'!L48:L50),0)</f>
        <v>0.14959558311810842</v>
      </c>
      <c r="M21" s="54">
        <f>IFERROR(('Historical FS'!M17-'Historical FS'!M24)/SUM('Historical FS'!M48:M50),0)</f>
        <v>0.12657807308970101</v>
      </c>
      <c r="O21" s="36">
        <f>IFERROR(AVERAGE(D21:M21),0)</f>
        <v>0.28353814230845981</v>
      </c>
      <c r="P21" s="5">
        <f>IFERROR(MEDIAN(D21:M21),0)</f>
        <v>0.31658312688232826</v>
      </c>
    </row>
    <row r="22" spans="2:16" x14ac:dyDescent="0.3">
      <c r="B22" s="55" t="s">
        <v>171</v>
      </c>
      <c r="C22" s="55"/>
      <c r="D22" s="37">
        <f>IFERROR('Historical FS'!D44,0)</f>
        <v>0</v>
      </c>
      <c r="E22" s="37">
        <f>IFERROR('Historical FS'!E44,0)</f>
        <v>0.26897762176393203</v>
      </c>
      <c r="F22" s="37">
        <f>IFERROR('Historical FS'!F44,0)</f>
        <v>1</v>
      </c>
      <c r="G22" s="37">
        <f>IFERROR('Historical FS'!G44,0)</f>
        <v>0.42333679833679805</v>
      </c>
      <c r="H22" s="37">
        <f>IFERROR('Historical FS'!H44,0)</f>
        <v>0.71882589688432441</v>
      </c>
      <c r="I22" s="37">
        <f>IFERROR('Historical FS'!I44,0)</f>
        <v>0.76138220873219709</v>
      </c>
      <c r="J22" s="37">
        <f>IFERROR('Historical FS'!J44,0)</f>
        <v>0.77414725687161923</v>
      </c>
      <c r="K22" s="37">
        <f>IFERROR('Historical FS'!K44,0)</f>
        <v>0.68042443629554494</v>
      </c>
      <c r="L22" s="37">
        <f>IFERROR('Historical FS'!L44,0)</f>
        <v>0.82822188704541666</v>
      </c>
      <c r="M22" s="37">
        <f>IFERROR('Historical FS'!M44,0)</f>
        <v>1</v>
      </c>
      <c r="O22" s="36">
        <f t="shared" ref="O22:O24" si="7">IFERROR(AVERAGE(D22:M22),0)</f>
        <v>0.64553161059298325</v>
      </c>
      <c r="P22" s="5">
        <f t="shared" ref="P22:P24" si="8">IFERROR(MEDIAN(D22:M22),0)</f>
        <v>0.74010405280826075</v>
      </c>
    </row>
    <row r="23" spans="2:16" x14ac:dyDescent="0.3">
      <c r="B23" s="55" t="s">
        <v>172</v>
      </c>
      <c r="C23" s="55"/>
      <c r="D23" s="37">
        <f>IFERROR('Historical FS'!D33/SUM('Historical FS'!D48:D49),0)</f>
        <v>0.18828932261768086</v>
      </c>
      <c r="E23" s="37">
        <f>IFERROR('Historical FS'!E33/SUM('Historical FS'!E48:E49),0)</f>
        <v>0.21156047900485825</v>
      </c>
      <c r="F23" s="37">
        <f>IFERROR('Historical FS'!F33/SUM('Historical FS'!F48:F49),0)</f>
        <v>0.25597936155849155</v>
      </c>
      <c r="G23" s="37">
        <f>IFERROR('Historical FS'!G33/SUM('Historical FS'!G48:G49),0)</f>
        <v>0.27581593157165368</v>
      </c>
      <c r="H23" s="37">
        <f>IFERROR('Historical FS'!H33/SUM('Historical FS'!H48:H49),0)</f>
        <v>0.27528175740210115</v>
      </c>
      <c r="I23" s="37">
        <f>IFERROR('Historical FS'!I33/SUM('Historical FS'!I48:I49),0)</f>
        <v>0.24245683555052375</v>
      </c>
      <c r="J23" s="37">
        <f>IFERROR('Historical FS'!J33/SUM('Historical FS'!J48:J49),0)</f>
        <v>0.20444825601733252</v>
      </c>
      <c r="K23" s="37">
        <f>IFERROR('Historical FS'!K33/SUM('Historical FS'!K48:K49),0)</f>
        <v>0.12969652813616259</v>
      </c>
      <c r="L23" s="37">
        <f>IFERROR('Historical FS'!L33/SUM('Historical FS'!L48:L49),0)</f>
        <v>0.10887096774193564</v>
      </c>
      <c r="M23" s="37">
        <f>IFERROR('Historical FS'!M33/SUM('Historical FS'!M48:M49),0)</f>
        <v>9.7973658309353354E-2</v>
      </c>
      <c r="O23" s="36">
        <f t="shared" si="7"/>
        <v>0.19903730979100934</v>
      </c>
      <c r="P23" s="5">
        <f t="shared" si="8"/>
        <v>0.20800436751109538</v>
      </c>
    </row>
    <row r="24" spans="2:16" x14ac:dyDescent="0.3">
      <c r="B24" s="55" t="s">
        <v>173</v>
      </c>
      <c r="C24" s="55"/>
      <c r="D24" s="37">
        <f>IFERROR(D22*D23,0)</f>
        <v>0</v>
      </c>
      <c r="E24" s="37">
        <f t="shared" ref="E24:M24" si="9">IFERROR(E22*E23,0)</f>
        <v>5.6905034501965046E-2</v>
      </c>
      <c r="F24" s="37">
        <f t="shared" si="9"/>
        <v>0.25597936155849155</v>
      </c>
      <c r="G24" s="37">
        <f t="shared" si="9"/>
        <v>0.11676303340182524</v>
      </c>
      <c r="H24" s="37">
        <f t="shared" si="9"/>
        <v>0.19787965616045836</v>
      </c>
      <c r="I24" s="37">
        <f t="shared" si="9"/>
        <v>0.18460232097367685</v>
      </c>
      <c r="J24" s="37">
        <f t="shared" si="9"/>
        <v>0.1582730565680045</v>
      </c>
      <c r="K24" s="37">
        <f t="shared" si="9"/>
        <v>8.824868704653771E-2</v>
      </c>
      <c r="L24" s="37">
        <f t="shared" si="9"/>
        <v>9.0169318347686614E-2</v>
      </c>
      <c r="M24" s="37">
        <f t="shared" si="9"/>
        <v>9.7973658309353354E-2</v>
      </c>
      <c r="O24" s="36">
        <f t="shared" si="7"/>
        <v>0.12467941268679991</v>
      </c>
      <c r="P24" s="5">
        <f t="shared" si="8"/>
        <v>0.1073683458555893</v>
      </c>
    </row>
    <row r="25" spans="2:16" x14ac:dyDescent="0.3">
      <c r="B25" s="56" t="s">
        <v>186</v>
      </c>
      <c r="C25" s="56"/>
      <c r="D25" s="58">
        <f>IFERROR(('Historical FS'!D17-'Historical FS'!D24)/'Historical FS'!D21,0)</f>
        <v>62.28125</v>
      </c>
      <c r="E25" s="58">
        <f>IFERROR(('Historical FS'!E17-'Historical FS'!E24)/'Historical FS'!E21,0)</f>
        <v>63.386597938144355</v>
      </c>
      <c r="F25" s="58">
        <f>IFERROR(('Historical FS'!F17-'Historical FS'!F24)/'Historical FS'!F21,0)</f>
        <v>45.635593220338968</v>
      </c>
      <c r="G25" s="58">
        <f>IFERROR(('Historical FS'!G17-'Historical FS'!G24)/'Historical FS'!G21,0)</f>
        <v>44.296116504854353</v>
      </c>
      <c r="H25" s="58">
        <f>IFERROR(('Historical FS'!H17-'Historical FS'!H24)/'Historical FS'!H21,0)</f>
        <v>15.64743083003952</v>
      </c>
      <c r="I25" s="58">
        <f>IFERROR(('Historical FS'!I17-'Historical FS'!I24)/'Historical FS'!I21,0)</f>
        <v>21.094290657439451</v>
      </c>
      <c r="J25" s="58">
        <f>IFERROR(('Historical FS'!J17-'Historical FS'!J24)/'Historical FS'!J21,0)</f>
        <v>11.385291766586727</v>
      </c>
      <c r="K25" s="58">
        <f>IFERROR(('Historical FS'!K17-'Historical FS'!K24)/'Historical FS'!K21,0)</f>
        <v>6.4091051805337509</v>
      </c>
      <c r="L25" s="58">
        <f>IFERROR(('Historical FS'!L17-'Historical FS'!L24)/'Historical FS'!L21,0)</f>
        <v>6.936536392972398</v>
      </c>
      <c r="M25" s="58">
        <f>IFERROR(('Historical FS'!M17-'Historical FS'!M24)/'Historical FS'!M21,0)</f>
        <v>10.463651050080776</v>
      </c>
      <c r="O25" s="39">
        <f>IFERROR(AVERAGE(D25:M25),0)</f>
        <v>28.753586354099031</v>
      </c>
      <c r="P25" s="5">
        <f>IFERROR(MEDIAN(D25:M25),0)</f>
        <v>18.370860743739485</v>
      </c>
    </row>
    <row r="27" spans="2:16" x14ac:dyDescent="0.3">
      <c r="B27" s="53" t="s">
        <v>174</v>
      </c>
      <c r="C27" s="53"/>
      <c r="D27" s="59">
        <f>IFERROR('Historical FS'!D5/'Historical FS'!D60,0)</f>
        <v>6.773076923076923</v>
      </c>
      <c r="E27" s="59">
        <f>IFERROR('Historical FS'!E5/'Historical FS'!E60,0)</f>
        <v>6.7844065263420097</v>
      </c>
      <c r="F27" s="59">
        <f>IFERROR('Historical FS'!F5/'Historical FS'!F60,0)</f>
        <v>6.4278903456495824</v>
      </c>
      <c r="G27" s="59">
        <f>IFERROR('Historical FS'!G5/'Historical FS'!G60,0)</f>
        <v>5.5621483375959082</v>
      </c>
      <c r="H27" s="59">
        <f>IFERROR('Historical FS'!H5/'Historical FS'!H60,0)</f>
        <v>6.6776608187134503</v>
      </c>
      <c r="I27" s="59">
        <f>IFERROR('Historical FS'!I5/'Historical FS'!I60,0)</f>
        <v>8.1150593592454054</v>
      </c>
      <c r="J27" s="59">
        <f>IFERROR('Historical FS'!J5/'Historical FS'!J60,0)</f>
        <v>9.0659089231677594</v>
      </c>
      <c r="K27" s="59">
        <f>IFERROR('Historical FS'!K5/'Historical FS'!K60,0)</f>
        <v>9.420050865534499</v>
      </c>
      <c r="L27" s="59">
        <f>IFERROR('Historical FS'!L5/'Historical FS'!L60,0)</f>
        <v>9.5637472283813754</v>
      </c>
      <c r="M27" s="59">
        <f>IFERROR('Historical FS'!M5/'Historical FS'!M60,0)</f>
        <v>8.9976343359242996</v>
      </c>
      <c r="O27" s="39">
        <f>IFERROR(AVERAGE(D27:M27),0)</f>
        <v>7.7387583663631219</v>
      </c>
      <c r="P27" s="40">
        <f>IFERROR(MEDIAN(D27:M27),0)</f>
        <v>7.4497329427937071</v>
      </c>
    </row>
    <row r="28" spans="2:16" x14ac:dyDescent="0.3">
      <c r="B28" s="55" t="s">
        <v>175</v>
      </c>
      <c r="C28" s="55"/>
      <c r="D28" s="60">
        <f>IFERROR('Historical FS'!D5/'Historical FS'!D51,0)</f>
        <v>4.4337001118985455</v>
      </c>
      <c r="E28" s="60">
        <f>IFERROR('Historical FS'!E5/'Historical FS'!E51,0)</f>
        <v>2.9031604754037201</v>
      </c>
      <c r="F28" s="60">
        <f>IFERROR('Historical FS'!F5/'Historical FS'!F51,0)</f>
        <v>5.8619565217391303</v>
      </c>
      <c r="G28" s="60">
        <f>IFERROR('Historical FS'!G5/'Historical FS'!G51,0)</f>
        <v>6.7111620525480511</v>
      </c>
      <c r="H28" s="60">
        <f>IFERROR('Historical FS'!H5/'Historical FS'!H51,0)</f>
        <v>5.3425452276980652</v>
      </c>
      <c r="I28" s="60">
        <f>IFERROR('Historical FS'!I5/'Historical FS'!I51,0)</f>
        <v>5.501901979160924</v>
      </c>
      <c r="J28" s="60">
        <f>IFERROR('Historical FS'!J5/'Historical FS'!J51,0)</f>
        <v>4.8027056615577104</v>
      </c>
      <c r="K28" s="60">
        <f>IFERROR('Historical FS'!K5/'Historical FS'!K51,0)</f>
        <v>4.7820165757361206</v>
      </c>
      <c r="L28" s="60">
        <f>IFERROR('Historical FS'!L5/'Historical FS'!L51,0)</f>
        <v>4.7508359230557415</v>
      </c>
      <c r="M28" s="60">
        <f>IFERROR('Historical FS'!M5/'Historical FS'!M51,0)</f>
        <v>4.0067421141343607</v>
      </c>
      <c r="O28" s="39">
        <f t="shared" ref="O28:O31" si="10">IFERROR(AVERAGE(D28:M28),0)</f>
        <v>4.9096726642932369</v>
      </c>
      <c r="P28" s="40">
        <f t="shared" ref="P28:P31" si="11">IFERROR(MEDIAN(D28:M28),0)</f>
        <v>4.7923611186469159</v>
      </c>
    </row>
    <row r="29" spans="2:16" x14ac:dyDescent="0.3">
      <c r="B29" s="55" t="s">
        <v>176</v>
      </c>
      <c r="C29" s="55"/>
      <c r="D29" s="60">
        <f>IFERROR('Historical FS'!D5/'Historical FS'!D61,0)</f>
        <v>30.537572254335263</v>
      </c>
      <c r="E29" s="60">
        <f>IFERROR('Historical FS'!E5/'Historical FS'!E61,0)</f>
        <v>38.550601556970982</v>
      </c>
      <c r="F29" s="60">
        <f>IFERROR('Historical FS'!F5/'Historical FS'!F61,0)</f>
        <v>30.540821142048131</v>
      </c>
      <c r="G29" s="60">
        <f>IFERROR('Historical FS'!G5/'Historical FS'!G61,0)</f>
        <v>29.163984674329498</v>
      </c>
      <c r="H29" s="60">
        <f>IFERROR('Historical FS'!H5/'Historical FS'!H61,0)</f>
        <v>35.098770491803279</v>
      </c>
      <c r="I29" s="60">
        <f>IFERROR('Historical FS'!I5/'Historical FS'!I61,0)</f>
        <v>24.611344019728733</v>
      </c>
      <c r="J29" s="60">
        <f>IFERROR('Historical FS'!J5/'Historical FS'!J61,0)</f>
        <v>24.033261592643317</v>
      </c>
      <c r="K29" s="60">
        <f>IFERROR('Historical FS'!K5/'Historical FS'!K61,0)</f>
        <v>25.750392464678178</v>
      </c>
      <c r="L29" s="60">
        <f>IFERROR('Historical FS'!L5/'Historical FS'!L61,0)</f>
        <v>31.215042646678732</v>
      </c>
      <c r="M29" s="60">
        <f>IFERROR('Historical FS'!M5/'Historical FS'!M61,0)</f>
        <v>27.826086956521738</v>
      </c>
      <c r="O29" s="39">
        <f t="shared" si="10"/>
        <v>29.732787779973783</v>
      </c>
      <c r="P29" s="40">
        <f t="shared" si="11"/>
        <v>29.850778464332379</v>
      </c>
    </row>
    <row r="30" spans="2:16" x14ac:dyDescent="0.3">
      <c r="B30" s="55" t="s">
        <v>177</v>
      </c>
      <c r="C30" s="55"/>
      <c r="D30" s="60">
        <f>IFERROR('Historical FS'!D5/'Historical FS'!D54,0)</f>
        <v>3.3564167725540028</v>
      </c>
      <c r="E30" s="60">
        <f>IFERROR('Historical FS'!E5/'Historical FS'!E54,0)</f>
        <v>2.6918363312907689</v>
      </c>
      <c r="F30" s="60">
        <f>IFERROR('Historical FS'!F5/'Historical FS'!F54,0)</f>
        <v>3.1197454685692247</v>
      </c>
      <c r="G30" s="60">
        <f>IFERROR('Historical FS'!G5/'Historical FS'!G54,0)</f>
        <v>3.5768056012405429</v>
      </c>
      <c r="H30" s="60">
        <f>IFERROR('Historical FS'!H5/'Historical FS'!H54,0)</f>
        <v>2.889664945844721</v>
      </c>
      <c r="I30" s="60">
        <f>IFERROR('Historical FS'!I5/'Historical FS'!I54,0)</f>
        <v>2.9086590306315756</v>
      </c>
      <c r="J30" s="60">
        <f>IFERROR('Historical FS'!J5/'Historical FS'!J54,0)</f>
        <v>1.1599822462296845</v>
      </c>
      <c r="K30" s="60">
        <f>IFERROR('Historical FS'!K5/'Historical FS'!K54,0)</f>
        <v>1.0245745848465651</v>
      </c>
      <c r="L30" s="60">
        <f>IFERROR('Historical FS'!L5/'Historical FS'!L54,0)</f>
        <v>1.0260394542334292</v>
      </c>
      <c r="M30" s="60">
        <f>IFERROR('Historical FS'!M5/'Historical FS'!M54,0)</f>
        <v>0.91999778846685465</v>
      </c>
      <c r="O30" s="39">
        <f t="shared" si="10"/>
        <v>2.2673722223907373</v>
      </c>
      <c r="P30" s="40">
        <f t="shared" si="11"/>
        <v>2.790750638567745</v>
      </c>
    </row>
    <row r="31" spans="2:16" x14ac:dyDescent="0.3">
      <c r="B31" s="56" t="s">
        <v>178</v>
      </c>
      <c r="C31" s="56"/>
      <c r="D31" s="58">
        <f>IFERROR('Historical FS'!D5/SUM('Historical FS'!D48:D49),0)</f>
        <v>1.7059055683122846</v>
      </c>
      <c r="E31" s="58">
        <f>IFERROR('Historical FS'!E5/SUM('Historical FS'!E48:E49),0)</f>
        <v>1.6855524955905561</v>
      </c>
      <c r="F31" s="58">
        <f>IFERROR('Historical FS'!F5/SUM('Historical FS'!F48:F49),0)</f>
        <v>1.5603240428199439</v>
      </c>
      <c r="G31" s="58">
        <f>IFERROR('Historical FS'!G5/SUM('Historical FS'!G48:G49),0)</f>
        <v>1.8186553256558511</v>
      </c>
      <c r="H31" s="58">
        <f>IFERROR('Historical FS'!H5/SUM('Historical FS'!H48:H49),0)</f>
        <v>1.6359312320916906</v>
      </c>
      <c r="I31" s="58">
        <f>IFERROR('Historical FS'!I5/SUM('Historical FS'!I48:I49),0)</f>
        <v>1.4123832437022361</v>
      </c>
      <c r="J31" s="58">
        <f>IFERROR('Historical FS'!J5/SUM('Historical FS'!J48:J49),0)</f>
        <v>1.3860910188560014</v>
      </c>
      <c r="K31" s="58">
        <f>IFERROR('Historical FS'!K5/SUM('Historical FS'!K48:K49),0)</f>
        <v>1.1618853910526903</v>
      </c>
      <c r="L31" s="58">
        <f>IFERROR('Historical FS'!L5/SUM('Historical FS'!L48:L49),0)</f>
        <v>1.1017643409721207</v>
      </c>
      <c r="M31" s="58">
        <f>IFERROR('Historical FS'!M5/SUM('Historical FS'!M48:M49),0)</f>
        <v>1.0001728062991655</v>
      </c>
      <c r="O31" s="39">
        <f t="shared" si="10"/>
        <v>1.4468665465352539</v>
      </c>
      <c r="P31" s="40">
        <f t="shared" si="11"/>
        <v>1.48635364326109</v>
      </c>
    </row>
    <row r="33" spans="2:16" x14ac:dyDescent="0.3">
      <c r="B33" s="53" t="s">
        <v>46</v>
      </c>
      <c r="C33" s="53"/>
      <c r="D33" s="61">
        <f>IFERROR(365/D27,0)</f>
        <v>53.889835320840433</v>
      </c>
      <c r="E33" s="61">
        <f t="shared" ref="E33:M33" si="12">IFERROR(365/E27,0)</f>
        <v>53.79984212072258</v>
      </c>
      <c r="F33" s="61">
        <f t="shared" si="12"/>
        <v>56.783793806786576</v>
      </c>
      <c r="G33" s="61">
        <f t="shared" si="12"/>
        <v>65.622126172521604</v>
      </c>
      <c r="H33" s="61">
        <f t="shared" si="12"/>
        <v>54.659859179598556</v>
      </c>
      <c r="I33" s="61">
        <f t="shared" si="12"/>
        <v>44.978105993046022</v>
      </c>
      <c r="J33" s="61">
        <f t="shared" si="12"/>
        <v>40.260717716593135</v>
      </c>
      <c r="K33" s="61">
        <f t="shared" si="12"/>
        <v>38.747136847789164</v>
      </c>
      <c r="L33" s="61">
        <f t="shared" si="12"/>
        <v>38.164956819103921</v>
      </c>
      <c r="M33" s="61">
        <f t="shared" si="12"/>
        <v>40.566218449519226</v>
      </c>
      <c r="O33" s="38">
        <f>IFERROR(AVERAGE(D33:M33),0)</f>
        <v>48.747259242652127</v>
      </c>
      <c r="P33" s="41">
        <f>IFERROR(MEDIAN(D33:M33),0)</f>
        <v>49.388974056884301</v>
      </c>
    </row>
    <row r="34" spans="2:16" x14ac:dyDescent="0.3">
      <c r="B34" s="55" t="s">
        <v>179</v>
      </c>
      <c r="C34" s="55"/>
      <c r="D34" s="62">
        <f>IFERROR(365/D28,0)</f>
        <v>82.324016236565924</v>
      </c>
      <c r="E34" s="62">
        <f t="shared" ref="E34:M34" si="13">IFERROR(365/E28,0)</f>
        <v>125.72505140255544</v>
      </c>
      <c r="F34" s="62">
        <f t="shared" si="13"/>
        <v>62.265900241053217</v>
      </c>
      <c r="G34" s="62">
        <f t="shared" si="13"/>
        <v>54.387004387924016</v>
      </c>
      <c r="H34" s="62">
        <f t="shared" si="13"/>
        <v>68.319496502843279</v>
      </c>
      <c r="I34" s="62">
        <f t="shared" si="13"/>
        <v>66.340694796541044</v>
      </c>
      <c r="J34" s="62">
        <f t="shared" si="13"/>
        <v>75.998827686145532</v>
      </c>
      <c r="K34" s="62">
        <f t="shared" si="13"/>
        <v>76.327631705001707</v>
      </c>
      <c r="L34" s="62">
        <f t="shared" si="13"/>
        <v>76.828584676784985</v>
      </c>
      <c r="M34" s="62">
        <f t="shared" si="13"/>
        <v>91.09645432692308</v>
      </c>
      <c r="O34" s="38">
        <f t="shared" ref="O34:O36" si="14">IFERROR(AVERAGE(D34:M34),0)</f>
        <v>77.961366196233826</v>
      </c>
      <c r="P34" s="41">
        <f t="shared" ref="P34:P36" si="15">IFERROR(MEDIAN(D34:M34),0)</f>
        <v>76.163229695573619</v>
      </c>
    </row>
    <row r="35" spans="2:16" x14ac:dyDescent="0.3">
      <c r="B35" s="55" t="s">
        <v>180</v>
      </c>
      <c r="C35" s="55"/>
      <c r="D35" s="62">
        <f>IFERROR(365/D29,0)</f>
        <v>11.952489116032556</v>
      </c>
      <c r="E35" s="62">
        <f t="shared" ref="E35:M35" si="16">IFERROR(365/E29,0)</f>
        <v>9.4680753414598335</v>
      </c>
      <c r="F35" s="62">
        <f t="shared" si="16"/>
        <v>11.951217627789111</v>
      </c>
      <c r="G35" s="62">
        <f t="shared" si="16"/>
        <v>12.515436559026776</v>
      </c>
      <c r="H35" s="62">
        <f t="shared" si="16"/>
        <v>10.399224670426548</v>
      </c>
      <c r="I35" s="62">
        <f t="shared" si="16"/>
        <v>14.830559424443129</v>
      </c>
      <c r="J35" s="62">
        <f t="shared" si="16"/>
        <v>15.187285279320058</v>
      </c>
      <c r="K35" s="62">
        <f t="shared" si="16"/>
        <v>14.174541242455648</v>
      </c>
      <c r="L35" s="62">
        <f t="shared" si="16"/>
        <v>11.693080292454313</v>
      </c>
      <c r="M35" s="62">
        <f t="shared" si="16"/>
        <v>13.1171875</v>
      </c>
      <c r="O35" s="38">
        <f t="shared" si="14"/>
        <v>12.528909705340796</v>
      </c>
      <c r="P35" s="41">
        <f t="shared" si="15"/>
        <v>12.233962837529667</v>
      </c>
    </row>
    <row r="36" spans="2:16" x14ac:dyDescent="0.3">
      <c r="B36" s="56" t="s">
        <v>181</v>
      </c>
      <c r="C36" s="56"/>
      <c r="D36" s="63">
        <f>IFERROR(SUM(D33,D35)-D34,0)</f>
        <v>-16.481691799692939</v>
      </c>
      <c r="E36" s="63">
        <f t="shared" ref="E36:M36" si="17">IFERROR(SUM(E33,E35)-E34,0)</f>
        <v>-62.457133940373026</v>
      </c>
      <c r="F36" s="63">
        <f t="shared" si="17"/>
        <v>6.4691111935224654</v>
      </c>
      <c r="G36" s="63">
        <f t="shared" si="17"/>
        <v>23.75055834362437</v>
      </c>
      <c r="H36" s="63">
        <f t="shared" si="17"/>
        <v>-3.2604126528181752</v>
      </c>
      <c r="I36" s="63">
        <f t="shared" si="17"/>
        <v>-6.5320293790518917</v>
      </c>
      <c r="J36" s="63">
        <f t="shared" si="17"/>
        <v>-20.550824690232339</v>
      </c>
      <c r="K36" s="63">
        <f t="shared" si="17"/>
        <v>-23.405953614756896</v>
      </c>
      <c r="L36" s="63">
        <f t="shared" si="17"/>
        <v>-26.970547565226752</v>
      </c>
      <c r="M36" s="63">
        <f t="shared" si="17"/>
        <v>-37.413048377403854</v>
      </c>
      <c r="O36" s="38">
        <f t="shared" si="14"/>
        <v>-16.685197248240904</v>
      </c>
      <c r="P36" s="41">
        <f t="shared" si="15"/>
        <v>-18.516258244962639</v>
      </c>
    </row>
    <row r="38" spans="2:16" x14ac:dyDescent="0.3">
      <c r="B38" s="53" t="s">
        <v>182</v>
      </c>
      <c r="C38" s="53"/>
      <c r="D38" s="54">
        <f>IFERROR('Historical FS'!D80/'Historical FS'!D5,0)</f>
        <v>67.007382169222026</v>
      </c>
      <c r="E38" s="54">
        <f>IFERROR('Historical FS'!E80/'Historical FS'!E5,0)</f>
        <v>71.98560728447643</v>
      </c>
      <c r="F38" s="54">
        <f>IFERROR('Historical FS'!F80/'Historical FS'!F5,0)</f>
        <v>51.693553371654616</v>
      </c>
      <c r="G38" s="54">
        <f>IFERROR('Historical FS'!G80/'Historical FS'!G5,0)</f>
        <v>22.889461099871255</v>
      </c>
      <c r="H38" s="54">
        <f>IFERROR('Historical FS'!H80/'Historical FS'!H5,0)</f>
        <v>13.62781845144265</v>
      </c>
      <c r="I38" s="54">
        <f>IFERROR('Historical FS'!I80/'Historical FS'!I5,0)</f>
        <v>31.761841301015039</v>
      </c>
      <c r="J38" s="54">
        <f>IFERROR('Historical FS'!J80/'Historical FS'!J5,0)</f>
        <v>23.533386521647103</v>
      </c>
      <c r="K38" s="54">
        <f>IFERROR('Historical FS'!K80/'Historical FS'!K5,0)</f>
        <v>3.0760923524442392</v>
      </c>
      <c r="L38" s="54">
        <f>IFERROR('Historical FS'!L80/'Historical FS'!L5,0)</f>
        <v>26.71253860612233</v>
      </c>
      <c r="M38" s="54">
        <f>IFERROR('Historical FS'!M80/'Historical FS'!M5,0)</f>
        <v>56.521183894230766</v>
      </c>
      <c r="O38" s="36">
        <f>IFERROR(AVERAGE(D38:M38),0)</f>
        <v>36.880886505212644</v>
      </c>
      <c r="P38" s="5">
        <f>IFERROR(MEDIAN(D38:M38),0)</f>
        <v>29.237189953568684</v>
      </c>
    </row>
    <row r="39" spans="2:16" x14ac:dyDescent="0.3">
      <c r="B39" s="55" t="s">
        <v>183</v>
      </c>
      <c r="C39" s="55"/>
      <c r="D39" s="37">
        <f>IFERROR('Historical FS'!D80/'Historical FS'!D65,0)</f>
        <v>81.554292735370908</v>
      </c>
      <c r="E39" s="37">
        <f>IFERROR('Historical FS'!E80/'Historical FS'!E65,0)</f>
        <v>76.626345924608685</v>
      </c>
      <c r="F39" s="37">
        <f>IFERROR('Historical FS'!F80/'Historical FS'!F65,0)</f>
        <v>63.61406377759608</v>
      </c>
      <c r="G39" s="37">
        <f>IFERROR('Historical FS'!G80/'Historical FS'!G65,0)</f>
        <v>31.693164041183103</v>
      </c>
      <c r="H39" s="37">
        <f>IFERROR('Historical FS'!H80/'Historical FS'!H65,0)</f>
        <v>15.550966022651565</v>
      </c>
      <c r="I39" s="37">
        <f>IFERROR('Historical FS'!I80/'Historical FS'!I65,0)</f>
        <v>31.689760662227823</v>
      </c>
      <c r="J39" s="37">
        <f>IFERROR('Historical FS'!J80/'Historical FS'!J65,0)</f>
        <v>19.0113843381497</v>
      </c>
      <c r="K39" s="37">
        <f>IFERROR('Historical FS'!K80/'Historical FS'!K65,0)</f>
        <v>2.3629843716548917</v>
      </c>
      <c r="L39" s="37">
        <f>IFERROR('Historical FS'!L80/'Historical FS'!L65,0)</f>
        <v>20.848115908312494</v>
      </c>
      <c r="M39" s="37">
        <f>IFERROR('Historical FS'!M80/'Historical FS'!M65,0)</f>
        <v>40.293144258678119</v>
      </c>
      <c r="O39" s="36">
        <f t="shared" ref="O39:O40" si="18">IFERROR(AVERAGE(D39:M39),0)</f>
        <v>38.32442220404333</v>
      </c>
      <c r="P39" s="5">
        <f t="shared" ref="P39:P40" si="19">IFERROR(MEDIAN(D39:M39),0)</f>
        <v>31.691462351705461</v>
      </c>
    </row>
    <row r="40" spans="2:16" x14ac:dyDescent="0.3">
      <c r="B40" s="56" t="s">
        <v>184</v>
      </c>
      <c r="C40" s="56"/>
      <c r="D40" s="57">
        <f>IFERROR('Historical FS'!D80/'Historical FS'!D50,0)</f>
        <v>6778.7234042553191</v>
      </c>
      <c r="E40" s="57">
        <f>IFERROR('Historical FS'!E80/'Historical FS'!E50,0)</f>
        <v>42163.440860215051</v>
      </c>
      <c r="F40" s="57">
        <f>IFERROR('Historical FS'!F80/'Historical FS'!F50,0)</f>
        <v>45827.397260273974</v>
      </c>
      <c r="G40" s="57">
        <f>IFERROR('Historical FS'!G80/'Historical FS'!G50,0)</f>
        <v>979.92125984251959</v>
      </c>
      <c r="H40" s="57">
        <f>IFERROR('Historical FS'!H80/'Historical FS'!H50,0)</f>
        <v>174.97751124437781</v>
      </c>
      <c r="I40" s="57">
        <f>IFERROR('Historical FS'!I80/'Historical FS'!I50,0)</f>
        <v>282.33722276654493</v>
      </c>
      <c r="J40" s="57">
        <f>IFERROR('Historical FS'!J80/'Historical FS'!J50,0)</f>
        <v>76.360418427726117</v>
      </c>
      <c r="K40" s="57">
        <f>IFERROR('Historical FS'!K80/'Historical FS'!K50,0)</f>
        <v>13.259253697725054</v>
      </c>
      <c r="L40" s="57">
        <f>IFERROR('Historical FS'!L80/'Historical FS'!L50,0)</f>
        <v>163.71155993098549</v>
      </c>
      <c r="M40" s="57">
        <f>IFERROR('Historical FS'!M80/'Historical FS'!M50,0)</f>
        <v>368.59354333023072</v>
      </c>
      <c r="O40" s="36">
        <f t="shared" si="18"/>
        <v>9682.8722293984465</v>
      </c>
      <c r="P40" s="5">
        <f t="shared" si="19"/>
        <v>325.46538304838782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workbookViewId="0">
      <selection activeCell="J5" sqref="J5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17.77734375" customWidth="1"/>
  </cols>
  <sheetData>
    <row r="2" spans="2:15" x14ac:dyDescent="0.3">
      <c r="B2" s="48" t="str">
        <f>'Data Sheet'!$B$1&amp;" -" &amp;'Data Sheet'!A17</f>
        <v>METROPOLIS HEALTHCARE LTD -Sales</v>
      </c>
      <c r="C2" s="48"/>
      <c r="D2" s="48"/>
      <c r="E2" s="48"/>
      <c r="G2" s="49" t="str">
        <f>'Data Sheet'!$B$1&amp;" - "&amp;'Historical FS'!B17</f>
        <v>METROPOLIS HEALTHCARE LTD - EBITDA</v>
      </c>
      <c r="H2" s="49"/>
      <c r="I2" s="49"/>
      <c r="J2" s="49"/>
      <c r="L2" s="49" t="str">
        <f>'Data Sheet'!B1&amp; " - " &amp;'Historical FS'!B38</f>
        <v>METROPOLIS HEALTHCARE LTD - EPS(Earning per share)</v>
      </c>
      <c r="M2" s="49"/>
      <c r="N2" s="49"/>
      <c r="O2" s="49"/>
    </row>
    <row r="3" spans="2:15" x14ac:dyDescent="0.3">
      <c r="B3" s="50" t="s">
        <v>190</v>
      </c>
      <c r="C3" s="50" t="s">
        <v>191</v>
      </c>
      <c r="D3" s="51" t="s">
        <v>6</v>
      </c>
      <c r="E3" s="51" t="s">
        <v>22</v>
      </c>
      <c r="G3" s="50" t="s">
        <v>190</v>
      </c>
      <c r="H3" s="50" t="s">
        <v>191</v>
      </c>
      <c r="I3" s="51" t="s">
        <v>6</v>
      </c>
      <c r="J3" s="51" t="s">
        <v>22</v>
      </c>
      <c r="L3" s="50" t="s">
        <v>190</v>
      </c>
      <c r="M3" s="50" t="s">
        <v>191</v>
      </c>
      <c r="N3" s="51" t="s">
        <v>6</v>
      </c>
      <c r="O3" s="51" t="s">
        <v>22</v>
      </c>
    </row>
    <row r="4" spans="2:15" x14ac:dyDescent="0.3">
      <c r="B4">
        <v>1</v>
      </c>
      <c r="C4" s="43">
        <v>2015</v>
      </c>
      <c r="D4" s="41">
        <f t="array" ref="D4:D13">TRANSPOSE('Data Sheet'!B17:K17)</f>
        <v>475.47</v>
      </c>
      <c r="G4">
        <v>1</v>
      </c>
      <c r="H4" s="43">
        <v>2015</v>
      </c>
      <c r="I4" s="45">
        <f t="array" ref="I4:I13">TRANSPOSE('Historical FS'!D17:M17)</f>
        <v>116.29</v>
      </c>
      <c r="L4">
        <v>1</v>
      </c>
      <c r="M4" s="43">
        <v>2015</v>
      </c>
      <c r="N4">
        <f t="array" ref="N4:N13">TRANSPOSE('Historical FS'!D38:M38)</f>
        <v>55.24210526315791</v>
      </c>
    </row>
    <row r="5" spans="2:15" x14ac:dyDescent="0.3">
      <c r="B5">
        <f>B4+1</f>
        <v>2</v>
      </c>
      <c r="C5" s="43">
        <f>C4+1</f>
        <v>2016</v>
      </c>
      <c r="D5">
        <v>544.72</v>
      </c>
      <c r="E5" s="33">
        <f>D5/D4-1</f>
        <v>0.14564536143184648</v>
      </c>
      <c r="G5">
        <f>G4+1</f>
        <v>2</v>
      </c>
      <c r="H5" s="43">
        <f>H4+1</f>
        <v>2016</v>
      </c>
      <c r="I5" s="45">
        <v>140.20000000000005</v>
      </c>
      <c r="J5" s="36">
        <f>I5/I4-1</f>
        <v>0.20560667297274082</v>
      </c>
      <c r="L5">
        <f>L4+1</f>
        <v>2</v>
      </c>
      <c r="M5" s="43">
        <f>M4+1</f>
        <v>2016</v>
      </c>
      <c r="N5">
        <v>71.968421052631626</v>
      </c>
      <c r="O5" s="36">
        <f>N5/N4-1</f>
        <v>0.30278201219512235</v>
      </c>
    </row>
    <row r="6" spans="2:15" x14ac:dyDescent="0.3">
      <c r="B6">
        <f t="shared" ref="B6:B18" si="0">B5+1</f>
        <v>3</v>
      </c>
      <c r="C6" s="43">
        <f t="shared" ref="C6:C18" si="1">C5+1</f>
        <v>2017</v>
      </c>
      <c r="D6">
        <v>647.16</v>
      </c>
      <c r="E6" s="33">
        <f t="shared" ref="E6:E18" si="2">D6/D5-1</f>
        <v>0.1880599206932001</v>
      </c>
      <c r="G6">
        <f t="shared" ref="G6:H18" si="3">G5+1</f>
        <v>3</v>
      </c>
      <c r="H6" s="43">
        <f t="shared" si="3"/>
        <v>2017</v>
      </c>
      <c r="I6" s="45">
        <v>180.56999999999996</v>
      </c>
      <c r="J6" s="36">
        <f t="shared" ref="J6:J18" si="4">I6/I5-1</f>
        <v>0.28794579172610479</v>
      </c>
      <c r="L6">
        <f t="shared" ref="L6:M6" si="5">L5+1</f>
        <v>3</v>
      </c>
      <c r="M6" s="43">
        <f t="shared" si="5"/>
        <v>2017</v>
      </c>
      <c r="N6">
        <v>111.75789473684206</v>
      </c>
      <c r="O6" s="36">
        <f t="shared" ref="O6:O18" si="6">N6/N5-1</f>
        <v>0.55287406757349555</v>
      </c>
    </row>
    <row r="7" spans="2:15" x14ac:dyDescent="0.3">
      <c r="B7">
        <f t="shared" si="0"/>
        <v>4</v>
      </c>
      <c r="C7" s="43">
        <f t="shared" si="1"/>
        <v>2018</v>
      </c>
      <c r="D7">
        <v>761.18</v>
      </c>
      <c r="E7" s="33">
        <f t="shared" si="2"/>
        <v>0.17618517831757208</v>
      </c>
      <c r="G7">
        <f t="shared" si="3"/>
        <v>4</v>
      </c>
      <c r="H7" s="43">
        <f t="shared" si="3"/>
        <v>2018</v>
      </c>
      <c r="I7" s="45">
        <v>202.56999999999994</v>
      </c>
      <c r="J7" s="36">
        <f t="shared" si="4"/>
        <v>0.1218364069335991</v>
      </c>
      <c r="L7">
        <f t="shared" ref="L7:M7" si="7">L6+1</f>
        <v>4</v>
      </c>
      <c r="M7" s="43">
        <f t="shared" si="7"/>
        <v>2018</v>
      </c>
      <c r="N7">
        <v>22.99601593625497</v>
      </c>
      <c r="O7" s="36">
        <f t="shared" si="6"/>
        <v>-0.79423363342335662</v>
      </c>
    </row>
    <row r="8" spans="2:15" x14ac:dyDescent="0.3">
      <c r="B8">
        <f t="shared" si="0"/>
        <v>5</v>
      </c>
      <c r="C8" s="43">
        <f t="shared" si="1"/>
        <v>2019</v>
      </c>
      <c r="D8">
        <v>856.41</v>
      </c>
      <c r="E8" s="33">
        <f t="shared" si="2"/>
        <v>0.12510838435061356</v>
      </c>
      <c r="G8">
        <f t="shared" si="3"/>
        <v>5</v>
      </c>
      <c r="H8" s="43">
        <f t="shared" si="3"/>
        <v>2019</v>
      </c>
      <c r="I8" s="45">
        <v>237.20999999999995</v>
      </c>
      <c r="J8" s="36">
        <f t="shared" si="4"/>
        <v>0.1710026163795233</v>
      </c>
      <c r="L8">
        <f t="shared" ref="L8:M8" si="8">L7+1</f>
        <v>5</v>
      </c>
      <c r="M8" s="43">
        <f t="shared" si="8"/>
        <v>2019</v>
      </c>
      <c r="N8">
        <v>28.480237154150192</v>
      </c>
      <c r="O8" s="36">
        <f t="shared" si="6"/>
        <v>0.23848571131179863</v>
      </c>
    </row>
    <row r="9" spans="2:15" x14ac:dyDescent="0.3">
      <c r="B9">
        <f t="shared" si="0"/>
        <v>6</v>
      </c>
      <c r="C9" s="43">
        <f t="shared" si="1"/>
        <v>2020</v>
      </c>
      <c r="D9">
        <v>997.99</v>
      </c>
      <c r="E9" s="33">
        <f t="shared" si="2"/>
        <v>0.1653180135682677</v>
      </c>
      <c r="G9">
        <f t="shared" si="3"/>
        <v>6</v>
      </c>
      <c r="H9" s="43">
        <f t="shared" si="3"/>
        <v>2020</v>
      </c>
      <c r="I9" s="45">
        <v>289.79000000000008</v>
      </c>
      <c r="J9" s="36">
        <f t="shared" si="4"/>
        <v>0.22166013237216031</v>
      </c>
      <c r="L9">
        <f t="shared" ref="L9:M9" si="9">L8+1</f>
        <v>6</v>
      </c>
      <c r="M9" s="43">
        <f t="shared" si="9"/>
        <v>2020</v>
      </c>
      <c r="N9">
        <v>33.526418786692773</v>
      </c>
      <c r="O9" s="36">
        <f t="shared" si="6"/>
        <v>0.17718186843845296</v>
      </c>
    </row>
    <row r="10" spans="2:15" x14ac:dyDescent="0.3">
      <c r="B10">
        <f t="shared" si="0"/>
        <v>7</v>
      </c>
      <c r="C10" s="43">
        <f t="shared" si="1"/>
        <v>2021</v>
      </c>
      <c r="D10">
        <v>1228.3399999999999</v>
      </c>
      <c r="E10" s="33">
        <f t="shared" si="2"/>
        <v>0.23081393601138278</v>
      </c>
      <c r="G10">
        <f t="shared" si="3"/>
        <v>7</v>
      </c>
      <c r="H10" s="43">
        <f t="shared" si="3"/>
        <v>2021</v>
      </c>
      <c r="I10" s="45">
        <v>348.07999999999993</v>
      </c>
      <c r="J10" s="36">
        <f t="shared" si="4"/>
        <v>0.20114565720004074</v>
      </c>
      <c r="L10">
        <f t="shared" ref="L10:M10" si="10">L9+1</f>
        <v>7</v>
      </c>
      <c r="M10" s="43">
        <f t="shared" si="10"/>
        <v>2021</v>
      </c>
      <c r="N10">
        <v>35.386718749999986</v>
      </c>
      <c r="O10" s="36">
        <f t="shared" si="6"/>
        <v>5.5487583542492835E-2</v>
      </c>
    </row>
    <row r="11" spans="2:15" x14ac:dyDescent="0.3">
      <c r="B11">
        <f t="shared" si="0"/>
        <v>8</v>
      </c>
      <c r="C11" s="43">
        <f t="shared" si="1"/>
        <v>2022</v>
      </c>
      <c r="D11">
        <v>1148.21</v>
      </c>
      <c r="E11" s="33">
        <f t="shared" si="2"/>
        <v>-6.5234381360209648E-2</v>
      </c>
      <c r="G11">
        <f t="shared" si="3"/>
        <v>8</v>
      </c>
      <c r="H11" s="43">
        <f t="shared" si="3"/>
        <v>2022</v>
      </c>
      <c r="I11" s="45">
        <v>293.34999999999997</v>
      </c>
      <c r="J11" s="36">
        <f t="shared" si="4"/>
        <v>-0.15723396920248212</v>
      </c>
      <c r="L11">
        <f t="shared" ref="L11:M11" si="11">L10+1</f>
        <v>8</v>
      </c>
      <c r="M11" s="43">
        <f t="shared" si="11"/>
        <v>2022</v>
      </c>
      <c r="N11">
        <v>25.033203124999993</v>
      </c>
      <c r="O11" s="36">
        <f t="shared" si="6"/>
        <v>-0.29258196268903847</v>
      </c>
    </row>
    <row r="12" spans="2:15" x14ac:dyDescent="0.3">
      <c r="B12">
        <f t="shared" si="0"/>
        <v>9</v>
      </c>
      <c r="C12" s="43">
        <f t="shared" si="1"/>
        <v>2023</v>
      </c>
      <c r="D12">
        <v>1207.71</v>
      </c>
      <c r="E12" s="33">
        <f t="shared" si="2"/>
        <v>5.1819789062976351E-2</v>
      </c>
      <c r="G12">
        <f t="shared" si="3"/>
        <v>9</v>
      </c>
      <c r="H12" s="43">
        <f t="shared" si="3"/>
        <v>2023</v>
      </c>
      <c r="I12" s="45">
        <v>287.93000000000018</v>
      </c>
      <c r="J12" s="36">
        <f t="shared" si="4"/>
        <v>-1.8476222941877563E-2</v>
      </c>
      <c r="L12">
        <f t="shared" ref="L12:M12" si="12">L11+1</f>
        <v>9</v>
      </c>
      <c r="M12" s="43">
        <f t="shared" si="12"/>
        <v>2023</v>
      </c>
      <c r="N12">
        <v>23.308593750000032</v>
      </c>
      <c r="O12" s="36">
        <f t="shared" si="6"/>
        <v>-6.8892876648200096E-2</v>
      </c>
    </row>
    <row r="13" spans="2:15" x14ac:dyDescent="0.3">
      <c r="B13">
        <f t="shared" si="0"/>
        <v>10</v>
      </c>
      <c r="C13" s="43">
        <f t="shared" si="1"/>
        <v>2024</v>
      </c>
      <c r="D13">
        <v>1331.2</v>
      </c>
      <c r="E13" s="33">
        <f t="shared" si="2"/>
        <v>0.10225136829205694</v>
      </c>
      <c r="G13">
        <f t="shared" si="3"/>
        <v>10</v>
      </c>
      <c r="H13" s="43">
        <f t="shared" si="3"/>
        <v>2024</v>
      </c>
      <c r="I13" s="45">
        <v>302.99</v>
      </c>
      <c r="J13" s="36">
        <f t="shared" si="4"/>
        <v>5.2304379536692425E-2</v>
      </c>
      <c r="L13">
        <f t="shared" ref="L13:M13" si="13">L12+1</f>
        <v>10</v>
      </c>
      <c r="M13" s="43">
        <f t="shared" si="13"/>
        <v>2024</v>
      </c>
      <c r="N13">
        <v>25.173745173745175</v>
      </c>
      <c r="O13" s="36">
        <f t="shared" si="6"/>
        <v>8.0019903549313876E-2</v>
      </c>
    </row>
    <row r="14" spans="2:15" x14ac:dyDescent="0.3">
      <c r="B14">
        <f t="shared" si="0"/>
        <v>11</v>
      </c>
      <c r="C14" s="44">
        <f t="shared" si="1"/>
        <v>2025</v>
      </c>
      <c r="D14">
        <f>FORECAST(B14,$D$4:$D$13,$B$4:$B$13)</f>
        <v>1466.1993333333335</v>
      </c>
      <c r="E14" s="33">
        <f t="shared" si="2"/>
        <v>0.10141175881410258</v>
      </c>
      <c r="G14">
        <f t="shared" si="3"/>
        <v>11</v>
      </c>
      <c r="H14" s="44">
        <f t="shared" si="3"/>
        <v>2025</v>
      </c>
      <c r="I14" s="45">
        <f>FORECAST(G14,$I$4:$I$13,$G$4:$G$13)</f>
        <v>365.47866666666675</v>
      </c>
      <c r="J14" s="36">
        <f t="shared" si="4"/>
        <v>0.20624002992398016</v>
      </c>
      <c r="L14">
        <f t="shared" ref="L14:M14" si="14">L13+1</f>
        <v>11</v>
      </c>
      <c r="M14" s="44">
        <f t="shared" si="14"/>
        <v>2025</v>
      </c>
      <c r="N14">
        <f>FORECAST(L14,$N$4:$N$13,$L$4:$L$13)</f>
        <v>9.8660287092285159</v>
      </c>
      <c r="O14" s="36">
        <f t="shared" si="6"/>
        <v>-0.60808260188800833</v>
      </c>
    </row>
    <row r="15" spans="2:15" x14ac:dyDescent="0.3">
      <c r="B15">
        <f t="shared" si="0"/>
        <v>12</v>
      </c>
      <c r="C15" s="44">
        <f t="shared" si="1"/>
        <v>2026</v>
      </c>
      <c r="D15">
        <f t="shared" ref="D15:D18" si="15">FORECAST(B15,$D$4:$D$13,$B$4:$B$13)</f>
        <v>1565.5375757575757</v>
      </c>
      <c r="E15" s="33">
        <f t="shared" si="2"/>
        <v>6.7752208151944382E-2</v>
      </c>
      <c r="G15">
        <f t="shared" si="3"/>
        <v>12</v>
      </c>
      <c r="H15" s="44">
        <f t="shared" si="3"/>
        <v>2026</v>
      </c>
      <c r="I15" s="45">
        <f t="shared" ref="I15:I18" si="16">FORECAST(G15,$I$4:$I$13,$G$4:$G$13)</f>
        <v>388.31151515151527</v>
      </c>
      <c r="J15" s="36">
        <f t="shared" si="4"/>
        <v>6.2473820135918068E-2</v>
      </c>
      <c r="L15">
        <f t="shared" ref="L15:M15" si="17">L14+1</f>
        <v>12</v>
      </c>
      <c r="M15" s="44">
        <f t="shared" si="17"/>
        <v>2026</v>
      </c>
      <c r="N15">
        <f t="shared" ref="N15:N18" si="18">FORECAST(L15,$N$4:$N$13,$L$4:$L$13)</f>
        <v>3.7894274976614213</v>
      </c>
      <c r="O15" s="36">
        <f t="shared" si="6"/>
        <v>-0.61591156793240875</v>
      </c>
    </row>
    <row r="16" spans="2:15" x14ac:dyDescent="0.3">
      <c r="B16">
        <f t="shared" si="0"/>
        <v>13</v>
      </c>
      <c r="C16" s="44">
        <f t="shared" si="1"/>
        <v>2027</v>
      </c>
      <c r="D16">
        <f t="shared" si="15"/>
        <v>1664.8758181818184</v>
      </c>
      <c r="E16" s="33">
        <f t="shared" si="2"/>
        <v>6.3453119211253739E-2</v>
      </c>
      <c r="G16">
        <f t="shared" si="3"/>
        <v>13</v>
      </c>
      <c r="H16" s="44">
        <f t="shared" si="3"/>
        <v>2027</v>
      </c>
      <c r="I16" s="45">
        <f t="shared" si="16"/>
        <v>411.14436363636372</v>
      </c>
      <c r="J16" s="36">
        <f t="shared" si="4"/>
        <v>5.8800338372503091E-2</v>
      </c>
      <c r="L16">
        <f t="shared" ref="L16:M16" si="19">L15+1</f>
        <v>13</v>
      </c>
      <c r="M16" s="44">
        <f t="shared" si="19"/>
        <v>2027</v>
      </c>
      <c r="N16">
        <f t="shared" si="18"/>
        <v>-2.2871737139056592</v>
      </c>
      <c r="O16" s="36">
        <f t="shared" si="6"/>
        <v>-1.6035670864047797</v>
      </c>
    </row>
    <row r="17" spans="2:15" x14ac:dyDescent="0.3">
      <c r="B17">
        <f t="shared" si="0"/>
        <v>14</v>
      </c>
      <c r="C17" s="44">
        <f t="shared" si="1"/>
        <v>2028</v>
      </c>
      <c r="D17">
        <f t="shared" si="15"/>
        <v>1764.2140606060607</v>
      </c>
      <c r="E17" s="33">
        <f t="shared" si="2"/>
        <v>5.9667058251063887E-2</v>
      </c>
      <c r="G17">
        <f t="shared" si="3"/>
        <v>14</v>
      </c>
      <c r="H17" s="44">
        <f t="shared" si="3"/>
        <v>2028</v>
      </c>
      <c r="I17" s="45">
        <f t="shared" si="16"/>
        <v>433.97721212121223</v>
      </c>
      <c r="J17" s="36">
        <f t="shared" si="4"/>
        <v>5.5534869268068165E-2</v>
      </c>
      <c r="L17">
        <f t="shared" ref="L17:M17" si="20">L16+1</f>
        <v>14</v>
      </c>
      <c r="M17" s="44">
        <f t="shared" si="20"/>
        <v>2028</v>
      </c>
      <c r="N17">
        <f t="shared" si="18"/>
        <v>-8.3637749254727396</v>
      </c>
      <c r="O17" s="36">
        <f t="shared" si="6"/>
        <v>2.6568166530693729</v>
      </c>
    </row>
    <row r="18" spans="2:15" x14ac:dyDescent="0.3">
      <c r="B18">
        <f t="shared" si="0"/>
        <v>15</v>
      </c>
      <c r="C18" s="44">
        <f t="shared" si="1"/>
        <v>2029</v>
      </c>
      <c r="D18">
        <f t="shared" si="15"/>
        <v>1863.5523030303029</v>
      </c>
      <c r="E18" s="33">
        <f t="shared" si="2"/>
        <v>5.6307363512405395E-2</v>
      </c>
      <c r="G18">
        <f t="shared" si="3"/>
        <v>15</v>
      </c>
      <c r="H18" s="44">
        <f t="shared" si="3"/>
        <v>2029</v>
      </c>
      <c r="I18" s="45">
        <f t="shared" si="16"/>
        <v>456.81006060606069</v>
      </c>
      <c r="J18" s="36">
        <f t="shared" si="4"/>
        <v>5.2613012497234823E-2</v>
      </c>
      <c r="L18">
        <f t="shared" ref="L18:M18" si="21">L17+1</f>
        <v>15</v>
      </c>
      <c r="M18" s="44">
        <f t="shared" si="21"/>
        <v>2029</v>
      </c>
      <c r="N18">
        <f t="shared" si="18"/>
        <v>-14.44037613703982</v>
      </c>
      <c r="O18" s="36">
        <f t="shared" si="6"/>
        <v>0.72653810817650832</v>
      </c>
    </row>
  </sheetData>
  <mergeCells count="3">
    <mergeCell ref="B2:E2"/>
    <mergeCell ref="G2:J2"/>
    <mergeCell ref="L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Profit &amp; Loss</vt:lpstr>
      <vt:lpstr>Quarters</vt:lpstr>
      <vt:lpstr>Balance Sheet</vt:lpstr>
      <vt:lpstr>Cash Flow</vt:lpstr>
      <vt:lpstr>Customization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2025-06-23T13:58:08Z</dcterms:modified>
</cp:coreProperties>
</file>