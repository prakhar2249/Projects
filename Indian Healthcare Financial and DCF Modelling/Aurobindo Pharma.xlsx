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B3193C6-E8F2-4EA7-9300-7E454E1749EC}" xr6:coauthVersionLast="47" xr6:coauthVersionMax="47" xr10:uidLastSave="{00000000-0000-0000-0000-000000000000}"/>
  <bookViews>
    <workbookView xWindow="11424" yWindow="0" windowWidth="11712" windowHeight="12336" activeTab="1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Data&gt;" sheetId="9" r:id="rId5"/>
    <sheet name="Data Sheet" sheetId="6" r:id="rId6"/>
    <sheet name="Financials&gt;" sheetId="7" r:id="rId7"/>
    <sheet name="Historical FS" sheetId="8" r:id="rId8"/>
    <sheet name="Cash Flow Data" sheetId="10" r:id="rId9"/>
    <sheet name="Ratio Analysis" sheetId="11" r:id="rId10"/>
    <sheet name="Forecasting" sheetId="12" r:id="rId11"/>
  </sheets>
  <definedNames>
    <definedName name="UPDATE">'Data Sheet'!$E$1</definedName>
  </definedNames>
  <calcPr calcId="191029" iterate="1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14" i="12" l="1"/>
  <c r="M5" i="12"/>
  <c r="M6" i="12" s="1"/>
  <c r="M7" i="12" s="1"/>
  <c r="M8" i="12" s="1"/>
  <c r="M9" i="12" s="1"/>
  <c r="M10" i="12" s="1"/>
  <c r="M11" i="12" s="1"/>
  <c r="M12" i="12" s="1"/>
  <c r="M13" i="12" s="1"/>
  <c r="M14" i="12" s="1"/>
  <c r="M15" i="12" s="1"/>
  <c r="M16" i="12" s="1"/>
  <c r="M17" i="12" s="1"/>
  <c r="M18" i="12" s="1"/>
  <c r="L5" i="12"/>
  <c r="L6" i="12" s="1"/>
  <c r="L7" i="12" s="1"/>
  <c r="L8" i="12" s="1"/>
  <c r="L9" i="12" s="1"/>
  <c r="L10" i="12" s="1"/>
  <c r="L11" i="12" s="1"/>
  <c r="L12" i="12" s="1"/>
  <c r="L13" i="12" s="1"/>
  <c r="L15" i="12" s="1"/>
  <c r="L16" i="12" s="1"/>
  <c r="L17" i="12" s="1"/>
  <c r="L18" i="12" s="1"/>
  <c r="L2" i="12"/>
  <c r="G2" i="12"/>
  <c r="H5" i="12"/>
  <c r="H6" i="12" s="1"/>
  <c r="H7" i="12" s="1"/>
  <c r="H8" i="12" s="1"/>
  <c r="H9" i="12" s="1"/>
  <c r="H10" i="12" s="1"/>
  <c r="H11" i="12" s="1"/>
  <c r="H12" i="12" s="1"/>
  <c r="H13" i="12" s="1"/>
  <c r="H14" i="12" s="1"/>
  <c r="H15" i="12" s="1"/>
  <c r="H16" i="12" s="1"/>
  <c r="H17" i="12" s="1"/>
  <c r="H18" i="12" s="1"/>
  <c r="G5" i="12"/>
  <c r="G6" i="12" s="1"/>
  <c r="G7" i="12" s="1"/>
  <c r="G8" i="12" s="1"/>
  <c r="G9" i="12" s="1"/>
  <c r="G10" i="12" s="1"/>
  <c r="G11" i="12" s="1"/>
  <c r="G12" i="12" s="1"/>
  <c r="G13" i="12" s="1"/>
  <c r="G14" i="12" s="1"/>
  <c r="G15" i="12" s="1"/>
  <c r="G16" i="12" s="1"/>
  <c r="G17" i="12" s="1"/>
  <c r="G18" i="12" s="1"/>
  <c r="B2" i="12"/>
  <c r="D4" i="12" a="1"/>
  <c r="D4" i="12" s="1"/>
  <c r="C5" i="12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B5" i="12"/>
  <c r="B6" i="12" s="1"/>
  <c r="B7" i="12" s="1"/>
  <c r="B8" i="12" s="1"/>
  <c r="B9" i="12" s="1"/>
  <c r="B10" i="12" s="1"/>
  <c r="B11" i="12" s="1"/>
  <c r="B12" i="12" s="1"/>
  <c r="B13" i="12" s="1"/>
  <c r="B14" i="12" s="1"/>
  <c r="K35" i="11"/>
  <c r="J35" i="11"/>
  <c r="I35" i="11"/>
  <c r="H35" i="11"/>
  <c r="H34" i="11"/>
  <c r="E34" i="11"/>
  <c r="E36" i="11" s="1"/>
  <c r="H33" i="11"/>
  <c r="G33" i="11"/>
  <c r="F33" i="11"/>
  <c r="E33" i="11"/>
  <c r="H31" i="11"/>
  <c r="G31" i="11"/>
  <c r="F31" i="11"/>
  <c r="E31" i="11"/>
  <c r="M30" i="11"/>
  <c r="L30" i="11"/>
  <c r="K30" i="11"/>
  <c r="K29" i="11"/>
  <c r="J29" i="11"/>
  <c r="I29" i="11"/>
  <c r="H29" i="11"/>
  <c r="L28" i="11"/>
  <c r="L34" i="11" s="1"/>
  <c r="K28" i="11"/>
  <c r="K34" i="11" s="1"/>
  <c r="K36" i="11" s="1"/>
  <c r="J28" i="11"/>
  <c r="J34" i="11" s="1"/>
  <c r="J36" i="11" s="1"/>
  <c r="I28" i="11"/>
  <c r="I34" i="11" s="1"/>
  <c r="I36" i="11" s="1"/>
  <c r="H28" i="11"/>
  <c r="E28" i="11"/>
  <c r="I27" i="11"/>
  <c r="I33" i="11" s="1"/>
  <c r="H27" i="11"/>
  <c r="G27" i="11"/>
  <c r="F27" i="11"/>
  <c r="E27" i="11"/>
  <c r="D31" i="11"/>
  <c r="D30" i="11"/>
  <c r="D29" i="11"/>
  <c r="H18" i="11"/>
  <c r="N21" i="8"/>
  <c r="M21" i="8"/>
  <c r="L21" i="8"/>
  <c r="K21" i="8"/>
  <c r="J21" i="8"/>
  <c r="I21" i="8"/>
  <c r="H21" i="8"/>
  <c r="H22" i="8" s="1"/>
  <c r="G21" i="8"/>
  <c r="F21" i="8"/>
  <c r="E21" i="8"/>
  <c r="D21" i="8"/>
  <c r="N12" i="8"/>
  <c r="M12" i="8"/>
  <c r="M11" i="11" s="1"/>
  <c r="B2" i="11"/>
  <c r="M3" i="11"/>
  <c r="L3" i="11"/>
  <c r="K3" i="11"/>
  <c r="J3" i="11"/>
  <c r="I3" i="11"/>
  <c r="H3" i="11"/>
  <c r="G3" i="11"/>
  <c r="F3" i="11"/>
  <c r="E3" i="11"/>
  <c r="D3" i="11"/>
  <c r="M104" i="8"/>
  <c r="L104" i="8"/>
  <c r="K104" i="8"/>
  <c r="J104" i="8"/>
  <c r="I104" i="8"/>
  <c r="H104" i="8"/>
  <c r="G104" i="8"/>
  <c r="F104" i="8"/>
  <c r="E104" i="8"/>
  <c r="D104" i="8"/>
  <c r="M103" i="8"/>
  <c r="L103" i="8"/>
  <c r="K103" i="8"/>
  <c r="J103" i="8"/>
  <c r="I103" i="8"/>
  <c r="H103" i="8"/>
  <c r="G103" i="8"/>
  <c r="F103" i="8"/>
  <c r="E103" i="8"/>
  <c r="D103" i="8"/>
  <c r="M102" i="8"/>
  <c r="L102" i="8"/>
  <c r="K102" i="8"/>
  <c r="J102" i="8"/>
  <c r="I102" i="8"/>
  <c r="H102" i="8"/>
  <c r="G102" i="8"/>
  <c r="F102" i="8"/>
  <c r="E102" i="8"/>
  <c r="D102" i="8"/>
  <c r="M101" i="8"/>
  <c r="L101" i="8"/>
  <c r="K101" i="8"/>
  <c r="J101" i="8"/>
  <c r="I101" i="8"/>
  <c r="H101" i="8"/>
  <c r="G101" i="8"/>
  <c r="F101" i="8"/>
  <c r="E101" i="8"/>
  <c r="D101" i="8"/>
  <c r="M100" i="8"/>
  <c r="L100" i="8"/>
  <c r="K100" i="8"/>
  <c r="J100" i="8"/>
  <c r="I100" i="8"/>
  <c r="H100" i="8"/>
  <c r="G100" i="8"/>
  <c r="F100" i="8"/>
  <c r="E100" i="8"/>
  <c r="D100" i="8"/>
  <c r="M99" i="8"/>
  <c r="L99" i="8"/>
  <c r="K99" i="8"/>
  <c r="J99" i="8"/>
  <c r="I99" i="8"/>
  <c r="H99" i="8"/>
  <c r="G99" i="8"/>
  <c r="F99" i="8"/>
  <c r="E99" i="8"/>
  <c r="D99" i="8"/>
  <c r="M98" i="8"/>
  <c r="L98" i="8"/>
  <c r="K98" i="8"/>
  <c r="J98" i="8"/>
  <c r="I98" i="8"/>
  <c r="H98" i="8"/>
  <c r="G98" i="8"/>
  <c r="F98" i="8"/>
  <c r="E98" i="8"/>
  <c r="D98" i="8"/>
  <c r="M97" i="8"/>
  <c r="L97" i="8"/>
  <c r="K97" i="8"/>
  <c r="J97" i="8"/>
  <c r="I97" i="8"/>
  <c r="H97" i="8"/>
  <c r="G97" i="8"/>
  <c r="F97" i="8"/>
  <c r="E97" i="8"/>
  <c r="D97" i="8"/>
  <c r="M93" i="8"/>
  <c r="L93" i="8"/>
  <c r="K93" i="8"/>
  <c r="J93" i="8"/>
  <c r="I93" i="8"/>
  <c r="H93" i="8"/>
  <c r="G93" i="8"/>
  <c r="F93" i="8"/>
  <c r="E93" i="8"/>
  <c r="D93" i="8"/>
  <c r="M92" i="8"/>
  <c r="L92" i="8"/>
  <c r="K92" i="8"/>
  <c r="J92" i="8"/>
  <c r="I92" i="8"/>
  <c r="H92" i="8"/>
  <c r="G92" i="8"/>
  <c r="F92" i="8"/>
  <c r="E92" i="8"/>
  <c r="D92" i="8"/>
  <c r="M91" i="8"/>
  <c r="L91" i="8"/>
  <c r="K91" i="8"/>
  <c r="J91" i="8"/>
  <c r="I91" i="8"/>
  <c r="H91" i="8"/>
  <c r="G91" i="8"/>
  <c r="F91" i="8"/>
  <c r="E91" i="8"/>
  <c r="D91" i="8"/>
  <c r="M90" i="8"/>
  <c r="L90" i="8"/>
  <c r="K90" i="8"/>
  <c r="J90" i="8"/>
  <c r="I90" i="8"/>
  <c r="H90" i="8"/>
  <c r="G90" i="8"/>
  <c r="F90" i="8"/>
  <c r="E90" i="8"/>
  <c r="D90" i="8"/>
  <c r="M89" i="8"/>
  <c r="L89" i="8"/>
  <c r="K89" i="8"/>
  <c r="J89" i="8"/>
  <c r="I89" i="8"/>
  <c r="H89" i="8"/>
  <c r="G89" i="8"/>
  <c r="F89" i="8"/>
  <c r="E89" i="8"/>
  <c r="D89" i="8"/>
  <c r="M88" i="8"/>
  <c r="L88" i="8"/>
  <c r="K88" i="8"/>
  <c r="J88" i="8"/>
  <c r="I88" i="8"/>
  <c r="H88" i="8"/>
  <c r="G88" i="8"/>
  <c r="F88" i="8"/>
  <c r="E88" i="8"/>
  <c r="D88" i="8"/>
  <c r="M87" i="8"/>
  <c r="L87" i="8"/>
  <c r="K87" i="8"/>
  <c r="J87" i="8"/>
  <c r="I87" i="8"/>
  <c r="H87" i="8"/>
  <c r="G87" i="8"/>
  <c r="F87" i="8"/>
  <c r="E87" i="8"/>
  <c r="D87" i="8"/>
  <c r="M86" i="8"/>
  <c r="L86" i="8"/>
  <c r="K86" i="8"/>
  <c r="J86" i="8"/>
  <c r="I86" i="8"/>
  <c r="H86" i="8"/>
  <c r="G86" i="8"/>
  <c r="F86" i="8"/>
  <c r="E86" i="8"/>
  <c r="D86" i="8"/>
  <c r="M85" i="8"/>
  <c r="L85" i="8"/>
  <c r="K85" i="8"/>
  <c r="J85" i="8"/>
  <c r="I85" i="8"/>
  <c r="H85" i="8"/>
  <c r="G85" i="8"/>
  <c r="F85" i="8"/>
  <c r="E85" i="8"/>
  <c r="D85" i="8"/>
  <c r="M84" i="8"/>
  <c r="L84" i="8"/>
  <c r="K84" i="8"/>
  <c r="J84" i="8"/>
  <c r="I84" i="8"/>
  <c r="H84" i="8"/>
  <c r="G84" i="8"/>
  <c r="F84" i="8"/>
  <c r="E84" i="8"/>
  <c r="D84" i="8"/>
  <c r="M83" i="8"/>
  <c r="L83" i="8"/>
  <c r="K83" i="8"/>
  <c r="J83" i="8"/>
  <c r="I83" i="8"/>
  <c r="H83" i="8"/>
  <c r="G83" i="8"/>
  <c r="F83" i="8"/>
  <c r="E83" i="8"/>
  <c r="D83" i="8"/>
  <c r="M79" i="8"/>
  <c r="L79" i="8"/>
  <c r="K79" i="8"/>
  <c r="J79" i="8"/>
  <c r="I79" i="8"/>
  <c r="H79" i="8"/>
  <c r="G79" i="8"/>
  <c r="F79" i="8"/>
  <c r="E79" i="8"/>
  <c r="M78" i="8"/>
  <c r="L78" i="8"/>
  <c r="K78" i="8"/>
  <c r="J78" i="8"/>
  <c r="I78" i="8"/>
  <c r="H78" i="8"/>
  <c r="G78" i="8"/>
  <c r="F78" i="8"/>
  <c r="E78" i="8"/>
  <c r="M77" i="8"/>
  <c r="L77" i="8"/>
  <c r="K77" i="8"/>
  <c r="J77" i="8"/>
  <c r="I77" i="8"/>
  <c r="H77" i="8"/>
  <c r="G77" i="8"/>
  <c r="F77" i="8"/>
  <c r="E77" i="8"/>
  <c r="M76" i="8"/>
  <c r="L76" i="8"/>
  <c r="K76" i="8"/>
  <c r="J76" i="8"/>
  <c r="I76" i="8"/>
  <c r="H76" i="8"/>
  <c r="G76" i="8"/>
  <c r="F76" i="8"/>
  <c r="E76" i="8"/>
  <c r="M75" i="8"/>
  <c r="L75" i="8"/>
  <c r="K75" i="8"/>
  <c r="J75" i="8"/>
  <c r="I75" i="8"/>
  <c r="H75" i="8"/>
  <c r="G75" i="8"/>
  <c r="F75" i="8"/>
  <c r="E75" i="8"/>
  <c r="M74" i="8"/>
  <c r="L74" i="8"/>
  <c r="K74" i="8"/>
  <c r="J74" i="8"/>
  <c r="I74" i="8"/>
  <c r="H74" i="8"/>
  <c r="G74" i="8"/>
  <c r="F74" i="8"/>
  <c r="E74" i="8"/>
  <c r="M73" i="8"/>
  <c r="L73" i="8"/>
  <c r="K73" i="8"/>
  <c r="J73" i="8"/>
  <c r="I73" i="8"/>
  <c r="H73" i="8"/>
  <c r="G73" i="8"/>
  <c r="F73" i="8"/>
  <c r="E73" i="8"/>
  <c r="M72" i="8"/>
  <c r="L72" i="8"/>
  <c r="K72" i="8"/>
  <c r="J72" i="8"/>
  <c r="I72" i="8"/>
  <c r="H72" i="8"/>
  <c r="G72" i="8"/>
  <c r="F72" i="8"/>
  <c r="E72" i="8"/>
  <c r="D74" i="8"/>
  <c r="D79" i="8"/>
  <c r="D78" i="8"/>
  <c r="D77" i="8"/>
  <c r="D76" i="8"/>
  <c r="D75" i="8"/>
  <c r="D73" i="8"/>
  <c r="D72" i="8"/>
  <c r="M57" i="8"/>
  <c r="L57" i="8"/>
  <c r="K57" i="8"/>
  <c r="J57" i="8"/>
  <c r="I57" i="8"/>
  <c r="H57" i="8"/>
  <c r="G57" i="8"/>
  <c r="F57" i="8"/>
  <c r="E57" i="8"/>
  <c r="D57" i="8"/>
  <c r="M62" i="8"/>
  <c r="L62" i="8"/>
  <c r="K62" i="8"/>
  <c r="J62" i="8"/>
  <c r="I62" i="8"/>
  <c r="H62" i="8"/>
  <c r="G62" i="8"/>
  <c r="F62" i="8"/>
  <c r="E62" i="8"/>
  <c r="D62" i="8"/>
  <c r="M61" i="8"/>
  <c r="L61" i="8"/>
  <c r="K61" i="8"/>
  <c r="J61" i="8"/>
  <c r="I61" i="8"/>
  <c r="H61" i="8"/>
  <c r="G61" i="8"/>
  <c r="F61" i="8"/>
  <c r="E61" i="8"/>
  <c r="D61" i="8"/>
  <c r="M60" i="8"/>
  <c r="L60" i="8"/>
  <c r="K60" i="8"/>
  <c r="K27" i="11" s="1"/>
  <c r="K33" i="11" s="1"/>
  <c r="J60" i="8"/>
  <c r="J27" i="11" s="1"/>
  <c r="J33" i="11" s="1"/>
  <c r="I60" i="8"/>
  <c r="H60" i="8"/>
  <c r="G60" i="8"/>
  <c r="F60" i="8"/>
  <c r="E60" i="8"/>
  <c r="D60" i="8"/>
  <c r="M56" i="8"/>
  <c r="L56" i="8"/>
  <c r="K56" i="8"/>
  <c r="J56" i="8"/>
  <c r="I56" i="8"/>
  <c r="H56" i="8"/>
  <c r="G56" i="8"/>
  <c r="F56" i="8"/>
  <c r="E56" i="8"/>
  <c r="D56" i="8"/>
  <c r="M55" i="8"/>
  <c r="L55" i="8"/>
  <c r="K55" i="8"/>
  <c r="J55" i="8"/>
  <c r="I55" i="8"/>
  <c r="H55" i="8"/>
  <c r="G55" i="8"/>
  <c r="F55" i="8"/>
  <c r="E55" i="8"/>
  <c r="D55" i="8"/>
  <c r="M54" i="8"/>
  <c r="L54" i="8"/>
  <c r="K54" i="8"/>
  <c r="J54" i="8"/>
  <c r="I54" i="8"/>
  <c r="H54" i="8"/>
  <c r="G54" i="8"/>
  <c r="F54" i="8"/>
  <c r="E54" i="8"/>
  <c r="D54" i="8"/>
  <c r="M52" i="8"/>
  <c r="L52" i="8"/>
  <c r="K52" i="8"/>
  <c r="J52" i="8"/>
  <c r="I52" i="8"/>
  <c r="H52" i="8"/>
  <c r="G52" i="8"/>
  <c r="F52" i="8"/>
  <c r="E52" i="8"/>
  <c r="M51" i="8"/>
  <c r="L51" i="8"/>
  <c r="K51" i="8"/>
  <c r="J51" i="8"/>
  <c r="I51" i="8"/>
  <c r="H51" i="8"/>
  <c r="G51" i="8"/>
  <c r="F51" i="8"/>
  <c r="E51" i="8"/>
  <c r="M50" i="8"/>
  <c r="L50" i="8"/>
  <c r="K50" i="8"/>
  <c r="J50" i="8"/>
  <c r="I50" i="8"/>
  <c r="H50" i="8"/>
  <c r="G50" i="8"/>
  <c r="F50" i="8"/>
  <c r="E50" i="8"/>
  <c r="M49" i="8"/>
  <c r="L49" i="8"/>
  <c r="K49" i="8"/>
  <c r="J49" i="8"/>
  <c r="I49" i="8"/>
  <c r="H49" i="8"/>
  <c r="G49" i="8"/>
  <c r="F49" i="8"/>
  <c r="E49" i="8"/>
  <c r="M48" i="8"/>
  <c r="L48" i="8"/>
  <c r="K48" i="8"/>
  <c r="K31" i="11" s="1"/>
  <c r="J48" i="8"/>
  <c r="J31" i="11" s="1"/>
  <c r="I48" i="8"/>
  <c r="I31" i="11" s="1"/>
  <c r="H48" i="8"/>
  <c r="G48" i="8"/>
  <c r="F48" i="8"/>
  <c r="E48" i="8"/>
  <c r="D52" i="8"/>
  <c r="D51" i="8"/>
  <c r="D50" i="8"/>
  <c r="D49" i="8"/>
  <c r="D48" i="8"/>
  <c r="M36" i="8"/>
  <c r="M41" i="8" s="1"/>
  <c r="L36" i="8"/>
  <c r="L41" i="8" s="1"/>
  <c r="K36" i="8"/>
  <c r="K41" i="8" s="1"/>
  <c r="J36" i="8"/>
  <c r="J41" i="8" s="1"/>
  <c r="I36" i="8"/>
  <c r="I41" i="8" s="1"/>
  <c r="H36" i="8"/>
  <c r="H41" i="8" s="1"/>
  <c r="H9" i="11" s="1"/>
  <c r="G36" i="8"/>
  <c r="G41" i="8" s="1"/>
  <c r="F36" i="8"/>
  <c r="F41" i="8" s="1"/>
  <c r="E36" i="8"/>
  <c r="E41" i="8" s="1"/>
  <c r="D36" i="8"/>
  <c r="D41" i="8" s="1"/>
  <c r="N30" i="8"/>
  <c r="M30" i="8"/>
  <c r="L30" i="8"/>
  <c r="K30" i="8"/>
  <c r="J30" i="8"/>
  <c r="I30" i="8"/>
  <c r="H30" i="8"/>
  <c r="G30" i="8"/>
  <c r="F30" i="8"/>
  <c r="E30" i="8"/>
  <c r="D30" i="8"/>
  <c r="M24" i="8"/>
  <c r="L24" i="8"/>
  <c r="K24" i="8"/>
  <c r="J24" i="8"/>
  <c r="I24" i="8"/>
  <c r="H24" i="8"/>
  <c r="H25" i="8" s="1"/>
  <c r="G24" i="8"/>
  <c r="F24" i="8"/>
  <c r="E24" i="8"/>
  <c r="D24" i="8"/>
  <c r="N24" i="8"/>
  <c r="N14" i="8"/>
  <c r="M14" i="8"/>
  <c r="L14" i="8"/>
  <c r="K14" i="8"/>
  <c r="J14" i="8"/>
  <c r="I14" i="8"/>
  <c r="H14" i="8"/>
  <c r="H15" i="8" s="1"/>
  <c r="H17" i="11" s="1"/>
  <c r="G14" i="8"/>
  <c r="F14" i="8"/>
  <c r="E14" i="8"/>
  <c r="D14" i="8"/>
  <c r="N8" i="8"/>
  <c r="M8" i="8"/>
  <c r="L8" i="8"/>
  <c r="K8" i="8"/>
  <c r="K12" i="8" s="1"/>
  <c r="K11" i="11" s="1"/>
  <c r="J8" i="8"/>
  <c r="I8" i="8"/>
  <c r="I12" i="8" s="1"/>
  <c r="I11" i="11" s="1"/>
  <c r="H8" i="8"/>
  <c r="H12" i="8" s="1"/>
  <c r="H11" i="11" s="1"/>
  <c r="G8" i="8"/>
  <c r="F8" i="8"/>
  <c r="E8" i="8"/>
  <c r="E12" i="8" s="1"/>
  <c r="E11" i="11" s="1"/>
  <c r="D8" i="8"/>
  <c r="N5" i="8"/>
  <c r="M5" i="8"/>
  <c r="L5" i="8"/>
  <c r="K5" i="8"/>
  <c r="J5" i="8"/>
  <c r="J30" i="11" s="1"/>
  <c r="I5" i="8"/>
  <c r="I30" i="11" s="1"/>
  <c r="H5" i="8"/>
  <c r="H30" i="11" s="1"/>
  <c r="G5" i="8"/>
  <c r="G28" i="11" s="1"/>
  <c r="G34" i="11" s="1"/>
  <c r="F5" i="8"/>
  <c r="F29" i="11" s="1"/>
  <c r="F35" i="11" s="1"/>
  <c r="E5" i="8"/>
  <c r="E29" i="11" s="1"/>
  <c r="E35" i="11" s="1"/>
  <c r="D5" i="8"/>
  <c r="D12" i="8" s="1"/>
  <c r="D11" i="11" s="1"/>
  <c r="M3" i="8"/>
  <c r="L3" i="8"/>
  <c r="K3" i="8"/>
  <c r="J3" i="8"/>
  <c r="I3" i="8"/>
  <c r="H3" i="8"/>
  <c r="G3" i="8"/>
  <c r="F3" i="8"/>
  <c r="E3" i="8"/>
  <c r="D3" i="8"/>
  <c r="B2" i="8"/>
  <c r="C6" i="3"/>
  <c r="D6" i="3"/>
  <c r="E6" i="3"/>
  <c r="F6" i="3"/>
  <c r="F14" i="3" s="1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G13" i="1"/>
  <c r="B6" i="6"/>
  <c r="C17" i="2"/>
  <c r="D17" i="2"/>
  <c r="E17" i="2"/>
  <c r="F17" i="2"/>
  <c r="G17" i="2"/>
  <c r="H17" i="2"/>
  <c r="I17" i="2"/>
  <c r="J17" i="2"/>
  <c r="K17" i="2"/>
  <c r="C18" i="2"/>
  <c r="C21" i="2" s="1"/>
  <c r="D18" i="2"/>
  <c r="D21" i="2" s="1"/>
  <c r="E18" i="2"/>
  <c r="F18" i="2"/>
  <c r="G18" i="2"/>
  <c r="H18" i="2"/>
  <c r="I18" i="2"/>
  <c r="J18" i="2"/>
  <c r="J21" i="2" s="1"/>
  <c r="K18" i="2"/>
  <c r="K21" i="2" s="1"/>
  <c r="B17" i="2"/>
  <c r="C4" i="2"/>
  <c r="D4" i="2"/>
  <c r="E4" i="2"/>
  <c r="E5" i="2"/>
  <c r="E23" i="2" s="1"/>
  <c r="F4" i="2"/>
  <c r="G4" i="2"/>
  <c r="H4" i="2"/>
  <c r="I4" i="2"/>
  <c r="I5" i="2"/>
  <c r="J4" i="2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C16" i="2" s="1"/>
  <c r="D7" i="2"/>
  <c r="E7" i="2"/>
  <c r="F7" i="2"/>
  <c r="G7" i="2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F16" i="2" s="1"/>
  <c r="G13" i="2"/>
  <c r="H13" i="2"/>
  <c r="I13" i="2"/>
  <c r="J13" i="2"/>
  <c r="K13" i="2"/>
  <c r="K16" i="2" s="1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E4" i="3"/>
  <c r="F4" i="3"/>
  <c r="G4" i="3"/>
  <c r="H4" i="3"/>
  <c r="H14" i="3" s="1"/>
  <c r="I4" i="3"/>
  <c r="I14" i="3" s="1"/>
  <c r="J4" i="3"/>
  <c r="K4" i="3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L11" i="1" s="1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C20" i="2" s="1"/>
  <c r="D4" i="1"/>
  <c r="I23" i="1" s="1"/>
  <c r="E4" i="1"/>
  <c r="E20" i="2" s="1"/>
  <c r="F4" i="1"/>
  <c r="G4" i="1"/>
  <c r="H4" i="1"/>
  <c r="I4" i="1"/>
  <c r="I6" i="1" s="1"/>
  <c r="I19" i="1" s="1"/>
  <c r="J4" i="1"/>
  <c r="J6" i="1" s="1"/>
  <c r="J19" i="1" s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C14" i="1" s="1"/>
  <c r="D12" i="1"/>
  <c r="E12" i="1"/>
  <c r="F12" i="1"/>
  <c r="F13" i="1" s="1"/>
  <c r="F14" i="1" s="1"/>
  <c r="G12" i="1"/>
  <c r="H12" i="1"/>
  <c r="I12" i="1"/>
  <c r="I13" i="1" s="1"/>
  <c r="J12" i="1"/>
  <c r="J13" i="1" s="1"/>
  <c r="J14" i="1" s="1"/>
  <c r="K12" i="1"/>
  <c r="K13" i="1" s="1"/>
  <c r="K14" i="1" s="1"/>
  <c r="C15" i="1"/>
  <c r="D15" i="1"/>
  <c r="E15" i="1"/>
  <c r="F15" i="1"/>
  <c r="G15" i="1"/>
  <c r="H15" i="1"/>
  <c r="I15" i="1"/>
  <c r="J15" i="1"/>
  <c r="K15" i="1"/>
  <c r="B15" i="1"/>
  <c r="H13" i="1"/>
  <c r="B7" i="1"/>
  <c r="B4" i="1"/>
  <c r="A1" i="1"/>
  <c r="E1" i="6"/>
  <c r="H1" i="1" s="1"/>
  <c r="E1" i="2"/>
  <c r="E1" i="3"/>
  <c r="H16" i="2"/>
  <c r="F23" i="2"/>
  <c r="C23" i="2"/>
  <c r="H23" i="2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I21" i="2"/>
  <c r="B18" i="2"/>
  <c r="B21" i="2"/>
  <c r="B13" i="2"/>
  <c r="B12" i="2"/>
  <c r="B11" i="2"/>
  <c r="B10" i="2"/>
  <c r="B8" i="2"/>
  <c r="B7" i="2"/>
  <c r="B6" i="2"/>
  <c r="B3" i="2"/>
  <c r="J14" i="3"/>
  <c r="B12" i="3"/>
  <c r="B11" i="3"/>
  <c r="B10" i="3"/>
  <c r="B9" i="3"/>
  <c r="B8" i="3"/>
  <c r="B7" i="3"/>
  <c r="B4" i="3"/>
  <c r="B3" i="3"/>
  <c r="L13" i="1"/>
  <c r="L14" i="1" s="1"/>
  <c r="L25" i="1" s="1"/>
  <c r="L15" i="1"/>
  <c r="B12" i="1"/>
  <c r="B13" i="1" s="1"/>
  <c r="B11" i="1"/>
  <c r="B10" i="1"/>
  <c r="B9" i="1"/>
  <c r="B8" i="1"/>
  <c r="B3" i="1"/>
  <c r="K20" i="2"/>
  <c r="D20" i="2"/>
  <c r="L12" i="1"/>
  <c r="L6" i="1"/>
  <c r="A1" i="3"/>
  <c r="A1" i="2"/>
  <c r="A1" i="4" s="1"/>
  <c r="G36" i="11" l="1"/>
  <c r="O29" i="11"/>
  <c r="G14" i="1"/>
  <c r="L12" i="8"/>
  <c r="L11" i="11" s="1"/>
  <c r="L31" i="11"/>
  <c r="O31" i="11" s="1"/>
  <c r="L27" i="11"/>
  <c r="L33" i="11" s="1"/>
  <c r="L36" i="11" s="1"/>
  <c r="M15" i="8"/>
  <c r="M17" i="11" s="1"/>
  <c r="M31" i="11"/>
  <c r="M27" i="11"/>
  <c r="M33" i="11" s="1"/>
  <c r="M28" i="11"/>
  <c r="M34" i="11" s="1"/>
  <c r="G9" i="11"/>
  <c r="G23" i="2"/>
  <c r="G15" i="8"/>
  <c r="G17" i="11" s="1"/>
  <c r="G80" i="8"/>
  <c r="F12" i="8"/>
  <c r="F11" i="11" s="1"/>
  <c r="O11" i="11" s="1"/>
  <c r="F28" i="11"/>
  <c r="F34" i="11" s="1"/>
  <c r="F36" i="11" s="1"/>
  <c r="M29" i="11"/>
  <c r="M35" i="11" s="1"/>
  <c r="E21" i="2"/>
  <c r="K23" i="2"/>
  <c r="G12" i="8"/>
  <c r="G11" i="11" s="1"/>
  <c r="E30" i="11"/>
  <c r="O30" i="11" s="1"/>
  <c r="D35" i="11"/>
  <c r="D28" i="11"/>
  <c r="D27" i="11"/>
  <c r="L29" i="11"/>
  <c r="L35" i="11" s="1"/>
  <c r="H36" i="11"/>
  <c r="K6" i="1"/>
  <c r="K19" i="1" s="1"/>
  <c r="K24" i="1" s="1"/>
  <c r="H23" i="1"/>
  <c r="G29" i="11"/>
  <c r="G35" i="11" s="1"/>
  <c r="G30" i="11"/>
  <c r="F30" i="11"/>
  <c r="L9" i="11"/>
  <c r="G14" i="3"/>
  <c r="D16" i="2"/>
  <c r="D23" i="2"/>
  <c r="M9" i="11"/>
  <c r="J12" i="8"/>
  <c r="J11" i="11" s="1"/>
  <c r="G6" i="1"/>
  <c r="G19" i="1" s="1"/>
  <c r="J24" i="1" s="1"/>
  <c r="J20" i="2"/>
  <c r="H63" i="8"/>
  <c r="L4" i="1"/>
  <c r="L23" i="1" s="1"/>
  <c r="F20" i="2"/>
  <c r="L10" i="1"/>
  <c r="L5" i="1"/>
  <c r="E14" i="3"/>
  <c r="B15" i="12"/>
  <c r="D13" i="12"/>
  <c r="D12" i="12"/>
  <c r="D11" i="12"/>
  <c r="D10" i="12"/>
  <c r="D9" i="12"/>
  <c r="D8" i="12"/>
  <c r="D7" i="12"/>
  <c r="D6" i="12"/>
  <c r="D5" i="12"/>
  <c r="E5" i="12" s="1"/>
  <c r="J9" i="11"/>
  <c r="K9" i="11"/>
  <c r="G63" i="8"/>
  <c r="L58" i="8"/>
  <c r="F80" i="8"/>
  <c r="H80" i="8"/>
  <c r="I63" i="8"/>
  <c r="G94" i="8"/>
  <c r="E105" i="8"/>
  <c r="G105" i="8"/>
  <c r="D58" i="8"/>
  <c r="J63" i="8"/>
  <c r="H94" i="8"/>
  <c r="F94" i="8"/>
  <c r="K80" i="8"/>
  <c r="I105" i="8"/>
  <c r="M105" i="8"/>
  <c r="D94" i="8"/>
  <c r="E58" i="8"/>
  <c r="G58" i="8"/>
  <c r="K63" i="8"/>
  <c r="E94" i="8"/>
  <c r="N25" i="8"/>
  <c r="F9" i="11"/>
  <c r="F58" i="8"/>
  <c r="L63" i="8"/>
  <c r="L65" i="8" s="1"/>
  <c r="L67" i="8" s="1"/>
  <c r="D80" i="8"/>
  <c r="I80" i="8"/>
  <c r="L80" i="8"/>
  <c r="M63" i="8"/>
  <c r="J80" i="8"/>
  <c r="D105" i="8"/>
  <c r="H58" i="8"/>
  <c r="I9" i="11"/>
  <c r="I58" i="8"/>
  <c r="I65" i="8" s="1"/>
  <c r="I67" i="8" s="1"/>
  <c r="K58" i="8"/>
  <c r="M58" i="8"/>
  <c r="E63" i="8"/>
  <c r="I94" i="8"/>
  <c r="M94" i="8"/>
  <c r="F105" i="8"/>
  <c r="G22" i="8"/>
  <c r="G25" i="8"/>
  <c r="G18" i="11" s="1"/>
  <c r="J58" i="8"/>
  <c r="D63" i="8"/>
  <c r="F63" i="8"/>
  <c r="M80" i="8"/>
  <c r="J94" i="8"/>
  <c r="L94" i="8"/>
  <c r="L107" i="8" s="1"/>
  <c r="K94" i="8"/>
  <c r="H105" i="8"/>
  <c r="L105" i="8"/>
  <c r="F6" i="8"/>
  <c r="F5" i="11" s="1"/>
  <c r="G11" i="8"/>
  <c r="G17" i="8" s="1"/>
  <c r="I15" i="8"/>
  <c r="I17" i="11" s="1"/>
  <c r="J105" i="8"/>
  <c r="H6" i="8"/>
  <c r="H5" i="11" s="1"/>
  <c r="E80" i="8"/>
  <c r="K105" i="8"/>
  <c r="E9" i="11"/>
  <c r="H107" i="8"/>
  <c r="I107" i="8"/>
  <c r="I25" i="8"/>
  <c r="I18" i="11" s="1"/>
  <c r="N6" i="8"/>
  <c r="J22" i="8"/>
  <c r="J25" i="8"/>
  <c r="J18" i="11" s="1"/>
  <c r="K25" i="8"/>
  <c r="K18" i="11" s="1"/>
  <c r="J15" i="8"/>
  <c r="J17" i="11" s="1"/>
  <c r="D22" i="8"/>
  <c r="G6" i="8"/>
  <c r="G5" i="11" s="1"/>
  <c r="H11" i="8"/>
  <c r="H17" i="8" s="1"/>
  <c r="E25" i="8"/>
  <c r="E18" i="11" s="1"/>
  <c r="M25" i="8"/>
  <c r="M18" i="11" s="1"/>
  <c r="F22" i="8"/>
  <c r="H9" i="8"/>
  <c r="M9" i="8"/>
  <c r="J11" i="8"/>
  <c r="J17" i="8" s="1"/>
  <c r="D25" i="8"/>
  <c r="D18" i="11" s="1"/>
  <c r="M22" i="8"/>
  <c r="L22" i="8"/>
  <c r="I11" i="8"/>
  <c r="I17" i="8" s="1"/>
  <c r="F25" i="8"/>
  <c r="F18" i="11" s="1"/>
  <c r="D15" i="8"/>
  <c r="D17" i="11" s="1"/>
  <c r="E9" i="8"/>
  <c r="F15" i="8"/>
  <c r="F17" i="11" s="1"/>
  <c r="G9" i="8"/>
  <c r="I6" i="8"/>
  <c r="I5" i="11" s="1"/>
  <c r="I9" i="8"/>
  <c r="L25" i="8"/>
  <c r="L18" i="11" s="1"/>
  <c r="D9" i="8"/>
  <c r="J9" i="8"/>
  <c r="K6" i="8"/>
  <c r="K5" i="11" s="1"/>
  <c r="F9" i="8"/>
  <c r="N9" i="8"/>
  <c r="N22" i="8"/>
  <c r="K11" i="8"/>
  <c r="K17" i="8" s="1"/>
  <c r="K15" i="8"/>
  <c r="K17" i="11" s="1"/>
  <c r="L11" i="8"/>
  <c r="L17" i="8" s="1"/>
  <c r="L15" i="8"/>
  <c r="L17" i="11" s="1"/>
  <c r="E6" i="8"/>
  <c r="E5" i="11" s="1"/>
  <c r="E22" i="8"/>
  <c r="L6" i="8"/>
  <c r="L5" i="11" s="1"/>
  <c r="E11" i="8"/>
  <c r="E17" i="8" s="1"/>
  <c r="E15" i="8"/>
  <c r="E17" i="11" s="1"/>
  <c r="I22" i="8"/>
  <c r="M6" i="8"/>
  <c r="M5" i="11" s="1"/>
  <c r="F11" i="8"/>
  <c r="F17" i="8" s="1"/>
  <c r="K9" i="8"/>
  <c r="M11" i="8"/>
  <c r="M17" i="8" s="1"/>
  <c r="L9" i="8"/>
  <c r="N11" i="8"/>
  <c r="N17" i="8" s="1"/>
  <c r="N18" i="8" s="1"/>
  <c r="N15" i="8"/>
  <c r="J6" i="8"/>
  <c r="J5" i="11" s="1"/>
  <c r="D11" i="8"/>
  <c r="D17" i="8" s="1"/>
  <c r="K22" i="8"/>
  <c r="N11" i="1"/>
  <c r="M11" i="1"/>
  <c r="B14" i="1"/>
  <c r="L19" i="1"/>
  <c r="L24" i="1" s="1"/>
  <c r="G20" i="2"/>
  <c r="D6" i="1"/>
  <c r="D19" i="1" s="1"/>
  <c r="J16" i="2"/>
  <c r="G16" i="2"/>
  <c r="D13" i="1"/>
  <c r="E13" i="1" s="1"/>
  <c r="E14" i="1" s="1"/>
  <c r="E24" i="2"/>
  <c r="L7" i="1"/>
  <c r="D14" i="3"/>
  <c r="D24" i="2"/>
  <c r="F21" i="2"/>
  <c r="K24" i="2"/>
  <c r="B14" i="3"/>
  <c r="G21" i="2"/>
  <c r="E6" i="1"/>
  <c r="E19" i="1" s="1"/>
  <c r="I24" i="1" s="1"/>
  <c r="I14" i="1"/>
  <c r="K25" i="1" s="1"/>
  <c r="M25" i="1" s="1"/>
  <c r="M14" i="1" s="1"/>
  <c r="C24" i="2"/>
  <c r="I23" i="2"/>
  <c r="J23" i="1"/>
  <c r="H21" i="2"/>
  <c r="B23" i="2"/>
  <c r="H14" i="1"/>
  <c r="C6" i="1"/>
  <c r="C19" i="1" s="1"/>
  <c r="H24" i="1" s="1"/>
  <c r="L8" i="1"/>
  <c r="M8" i="1" s="1"/>
  <c r="J24" i="2"/>
  <c r="B20" i="2"/>
  <c r="K14" i="3"/>
  <c r="I24" i="2"/>
  <c r="H24" i="2"/>
  <c r="B16" i="2"/>
  <c r="G24" i="2"/>
  <c r="L9" i="1"/>
  <c r="E16" i="2"/>
  <c r="F24" i="2"/>
  <c r="M9" i="1"/>
  <c r="N9" i="1"/>
  <c r="N8" i="1"/>
  <c r="I20" i="2"/>
  <c r="H20" i="2"/>
  <c r="K23" i="1"/>
  <c r="M23" i="1" s="1"/>
  <c r="M4" i="1" s="1"/>
  <c r="H6" i="1"/>
  <c r="H19" i="1" s="1"/>
  <c r="F6" i="1"/>
  <c r="F19" i="1" s="1"/>
  <c r="E1" i="4"/>
  <c r="L18" i="8" l="1"/>
  <c r="L12" i="11" s="1"/>
  <c r="L25" i="11"/>
  <c r="L21" i="11"/>
  <c r="L13" i="11"/>
  <c r="L19" i="11" s="1"/>
  <c r="D38" i="11"/>
  <c r="D40" i="11"/>
  <c r="M25" i="11"/>
  <c r="M21" i="11"/>
  <c r="M18" i="8"/>
  <c r="M12" i="11" s="1"/>
  <c r="M13" i="11"/>
  <c r="M19" i="11" s="1"/>
  <c r="K18" i="8"/>
  <c r="K12" i="11" s="1"/>
  <c r="K25" i="11"/>
  <c r="K21" i="11"/>
  <c r="K13" i="11"/>
  <c r="K19" i="11" s="1"/>
  <c r="M24" i="1"/>
  <c r="H21" i="11"/>
  <c r="H13" i="11"/>
  <c r="H19" i="11" s="1"/>
  <c r="H25" i="11"/>
  <c r="H18" i="8"/>
  <c r="H12" i="11" s="1"/>
  <c r="M107" i="8"/>
  <c r="M40" i="11"/>
  <c r="M39" i="11"/>
  <c r="M38" i="11"/>
  <c r="E38" i="11"/>
  <c r="E40" i="11"/>
  <c r="P27" i="11"/>
  <c r="O27" i="11"/>
  <c r="D33" i="11"/>
  <c r="H65" i="8"/>
  <c r="H67" i="8" s="1"/>
  <c r="P31" i="11"/>
  <c r="E6" i="11"/>
  <c r="E13" i="11"/>
  <c r="E19" i="11" s="1"/>
  <c r="E25" i="11"/>
  <c r="E21" i="11"/>
  <c r="E18" i="8"/>
  <c r="E12" i="11" s="1"/>
  <c r="P30" i="11"/>
  <c r="P29" i="11"/>
  <c r="K40" i="11"/>
  <c r="K38" i="11"/>
  <c r="J25" i="1"/>
  <c r="F6" i="11"/>
  <c r="F18" i="8"/>
  <c r="F12" i="11" s="1"/>
  <c r="F13" i="11"/>
  <c r="F19" i="11" s="1"/>
  <c r="F25" i="11"/>
  <c r="F21" i="11"/>
  <c r="P28" i="11"/>
  <c r="O28" i="11"/>
  <c r="D34" i="11"/>
  <c r="O18" i="11"/>
  <c r="P18" i="11"/>
  <c r="O35" i="11"/>
  <c r="P35" i="11"/>
  <c r="G27" i="8"/>
  <c r="G33" i="8" s="1"/>
  <c r="G23" i="11" s="1"/>
  <c r="G13" i="11"/>
  <c r="G19" i="11" s="1"/>
  <c r="G25" i="11"/>
  <c r="G21" i="11"/>
  <c r="G18" i="8"/>
  <c r="G12" i="11" s="1"/>
  <c r="J38" i="11"/>
  <c r="J40" i="11"/>
  <c r="P9" i="11"/>
  <c r="O9" i="11"/>
  <c r="O17" i="11"/>
  <c r="P17" i="11"/>
  <c r="G38" i="11"/>
  <c r="G40" i="11"/>
  <c r="G39" i="11"/>
  <c r="I18" i="8"/>
  <c r="I12" i="11" s="1"/>
  <c r="I13" i="11"/>
  <c r="I19" i="11" s="1"/>
  <c r="I25" i="11"/>
  <c r="I21" i="11"/>
  <c r="G107" i="8"/>
  <c r="D21" i="11"/>
  <c r="D18" i="8"/>
  <c r="D12" i="11" s="1"/>
  <c r="D25" i="11"/>
  <c r="I4" i="12" a="1"/>
  <c r="D13" i="11"/>
  <c r="J18" i="8"/>
  <c r="J12" i="11" s="1"/>
  <c r="J25" i="11"/>
  <c r="J21" i="11"/>
  <c r="J13" i="11"/>
  <c r="J19" i="11" s="1"/>
  <c r="H38" i="11"/>
  <c r="H40" i="11"/>
  <c r="M36" i="11"/>
  <c r="I25" i="1"/>
  <c r="O5" i="11"/>
  <c r="P5" i="11"/>
  <c r="L39" i="11"/>
  <c r="L40" i="11"/>
  <c r="L38" i="11"/>
  <c r="F38" i="11"/>
  <c r="F40" i="11"/>
  <c r="E9" i="12"/>
  <c r="P11" i="11"/>
  <c r="I38" i="11"/>
  <c r="I39" i="11"/>
  <c r="I40" i="11"/>
  <c r="E12" i="12"/>
  <c r="E13" i="12"/>
  <c r="E10" i="12"/>
  <c r="E6" i="12"/>
  <c r="E7" i="12"/>
  <c r="D14" i="12"/>
  <c r="E14" i="12" s="1"/>
  <c r="E8" i="12"/>
  <c r="E11" i="12"/>
  <c r="B16" i="12"/>
  <c r="D15" i="12"/>
  <c r="E107" i="8"/>
  <c r="K107" i="8"/>
  <c r="F65" i="8"/>
  <c r="F67" i="8" s="1"/>
  <c r="D107" i="8"/>
  <c r="G65" i="8"/>
  <c r="G67" i="8" s="1"/>
  <c r="E65" i="8"/>
  <c r="E67" i="8" s="1"/>
  <c r="F107" i="8"/>
  <c r="J65" i="8"/>
  <c r="J67" i="8" s="1"/>
  <c r="G19" i="8"/>
  <c r="H6" i="11"/>
  <c r="M6" i="11"/>
  <c r="D65" i="8"/>
  <c r="D67" i="8" s="1"/>
  <c r="J107" i="8"/>
  <c r="K65" i="8"/>
  <c r="K67" i="8" s="1"/>
  <c r="J6" i="11"/>
  <c r="M65" i="8"/>
  <c r="M67" i="8" s="1"/>
  <c r="I6" i="11"/>
  <c r="H27" i="8"/>
  <c r="K6" i="11"/>
  <c r="I19" i="8"/>
  <c r="I27" i="8"/>
  <c r="H19" i="8"/>
  <c r="J19" i="8"/>
  <c r="L6" i="11"/>
  <c r="J27" i="8"/>
  <c r="G6" i="11"/>
  <c r="E19" i="8"/>
  <c r="E27" i="8"/>
  <c r="M27" i="8"/>
  <c r="M19" i="8"/>
  <c r="G31" i="8"/>
  <c r="D19" i="8"/>
  <c r="D27" i="8"/>
  <c r="N27" i="8"/>
  <c r="N19" i="8"/>
  <c r="L27" i="8"/>
  <c r="L19" i="8"/>
  <c r="K27" i="8"/>
  <c r="K19" i="8"/>
  <c r="F19" i="8"/>
  <c r="F27" i="8"/>
  <c r="D14" i="1"/>
  <c r="H25" i="1" s="1"/>
  <c r="N25" i="1" s="1"/>
  <c r="N14" i="1" s="1"/>
  <c r="N24" i="1"/>
  <c r="N23" i="1"/>
  <c r="N4" i="1" s="1"/>
  <c r="N6" i="1" s="1"/>
  <c r="N10" i="1" s="1"/>
  <c r="N12" i="1" s="1"/>
  <c r="N13" i="1" s="1"/>
  <c r="M6" i="1"/>
  <c r="M10" i="1" s="1"/>
  <c r="M12" i="1" s="1"/>
  <c r="M13" i="1" s="1"/>
  <c r="M15" i="1" s="1"/>
  <c r="P13" i="11" l="1"/>
  <c r="D19" i="11"/>
  <c r="O13" i="11"/>
  <c r="I4" i="12"/>
  <c r="I6" i="12"/>
  <c r="I7" i="12"/>
  <c r="J7" i="12" s="1"/>
  <c r="I5" i="12"/>
  <c r="J5" i="12" s="1"/>
  <c r="I13" i="12"/>
  <c r="J13" i="12" s="1"/>
  <c r="I11" i="12"/>
  <c r="I10" i="12"/>
  <c r="I9" i="12"/>
  <c r="I8" i="12"/>
  <c r="J8" i="12" s="1"/>
  <c r="I12" i="12"/>
  <c r="P40" i="11"/>
  <c r="O40" i="11"/>
  <c r="D39" i="11"/>
  <c r="G28" i="8"/>
  <c r="G14" i="11" s="1"/>
  <c r="O21" i="11"/>
  <c r="P21" i="11"/>
  <c r="K39" i="11"/>
  <c r="P25" i="11"/>
  <c r="O25" i="11"/>
  <c r="O33" i="11"/>
  <c r="P33" i="11"/>
  <c r="O34" i="11"/>
  <c r="D36" i="11"/>
  <c r="P34" i="11"/>
  <c r="G7" i="11"/>
  <c r="O12" i="11"/>
  <c r="P12" i="11"/>
  <c r="P38" i="11"/>
  <c r="O38" i="11"/>
  <c r="H39" i="11"/>
  <c r="O6" i="11"/>
  <c r="P6" i="11"/>
  <c r="F39" i="11"/>
  <c r="J39" i="11"/>
  <c r="E39" i="11"/>
  <c r="B17" i="12"/>
  <c r="D16" i="12"/>
  <c r="E16" i="12" s="1"/>
  <c r="E15" i="12"/>
  <c r="K7" i="11"/>
  <c r="M7" i="11"/>
  <c r="L7" i="11"/>
  <c r="E7" i="11"/>
  <c r="J28" i="8"/>
  <c r="J14" i="11" s="1"/>
  <c r="J7" i="11"/>
  <c r="I31" i="8"/>
  <c r="I7" i="11"/>
  <c r="I28" i="8"/>
  <c r="I14" i="11" s="1"/>
  <c r="I33" i="8"/>
  <c r="I23" i="11" s="1"/>
  <c r="J31" i="8"/>
  <c r="H7" i="11"/>
  <c r="H28" i="8"/>
  <c r="H14" i="11" s="1"/>
  <c r="H31" i="8"/>
  <c r="H33" i="8"/>
  <c r="H23" i="11" s="1"/>
  <c r="F7" i="11"/>
  <c r="J33" i="8"/>
  <c r="J23" i="11" s="1"/>
  <c r="F28" i="8"/>
  <c r="F14" i="11" s="1"/>
  <c r="F31" i="8"/>
  <c r="F33" i="8"/>
  <c r="F23" i="11" s="1"/>
  <c r="K28" i="8"/>
  <c r="K14" i="11" s="1"/>
  <c r="K31" i="8"/>
  <c r="K33" i="8"/>
  <c r="G38" i="8"/>
  <c r="G34" i="8"/>
  <c r="G15" i="11" s="1"/>
  <c r="L28" i="8"/>
  <c r="L14" i="11" s="1"/>
  <c r="L33" i="8"/>
  <c r="L23" i="11" s="1"/>
  <c r="L31" i="8"/>
  <c r="N33" i="8"/>
  <c r="N28" i="8"/>
  <c r="N31" i="8"/>
  <c r="E28" i="8"/>
  <c r="E14" i="11" s="1"/>
  <c r="E31" i="8"/>
  <c r="E33" i="8"/>
  <c r="E23" i="11" s="1"/>
  <c r="M28" i="8"/>
  <c r="M14" i="11" s="1"/>
  <c r="M33" i="8"/>
  <c r="M23" i="11" s="1"/>
  <c r="M31" i="8"/>
  <c r="D33" i="8"/>
  <c r="D23" i="11" s="1"/>
  <c r="D28" i="8"/>
  <c r="D14" i="11" s="1"/>
  <c r="D31" i="8"/>
  <c r="N5" i="1"/>
  <c r="N15" i="1"/>
  <c r="M5" i="1"/>
  <c r="J6" i="12" l="1"/>
  <c r="P14" i="11"/>
  <c r="O14" i="11"/>
  <c r="J10" i="12"/>
  <c r="J11" i="12"/>
  <c r="K8" i="11"/>
  <c r="K23" i="11"/>
  <c r="P23" i="11" s="1"/>
  <c r="P39" i="11"/>
  <c r="O39" i="11"/>
  <c r="O36" i="11"/>
  <c r="P36" i="11"/>
  <c r="O19" i="11"/>
  <c r="P19" i="11"/>
  <c r="J9" i="12"/>
  <c r="I18" i="12"/>
  <c r="I16" i="12"/>
  <c r="I17" i="12"/>
  <c r="J17" i="12" s="1"/>
  <c r="I14" i="12"/>
  <c r="J14" i="12" s="1"/>
  <c r="I15" i="12"/>
  <c r="J15" i="12" s="1"/>
  <c r="P7" i="11"/>
  <c r="O7" i="11"/>
  <c r="J12" i="12"/>
  <c r="B18" i="12"/>
  <c r="D18" i="12" s="1"/>
  <c r="D17" i="12"/>
  <c r="E17" i="12" s="1"/>
  <c r="M8" i="11"/>
  <c r="E8" i="11"/>
  <c r="F8" i="11"/>
  <c r="G8" i="11"/>
  <c r="L8" i="11"/>
  <c r="H8" i="11"/>
  <c r="H38" i="8"/>
  <c r="H34" i="8"/>
  <c r="H15" i="11" s="1"/>
  <c r="I8" i="11"/>
  <c r="I34" i="8"/>
  <c r="I15" i="11" s="1"/>
  <c r="I38" i="8"/>
  <c r="N34" i="8"/>
  <c r="J8" i="11"/>
  <c r="J38" i="8"/>
  <c r="J34" i="8"/>
  <c r="J15" i="11" s="1"/>
  <c r="G42" i="8"/>
  <c r="G44" i="8"/>
  <c r="G22" i="11" s="1"/>
  <c r="G24" i="11" s="1"/>
  <c r="D34" i="8"/>
  <c r="D15" i="11" s="1"/>
  <c r="D38" i="8"/>
  <c r="L34" i="8"/>
  <c r="L15" i="11" s="1"/>
  <c r="L38" i="8"/>
  <c r="M34" i="8"/>
  <c r="M15" i="11" s="1"/>
  <c r="M38" i="8"/>
  <c r="E34" i="8"/>
  <c r="E15" i="11" s="1"/>
  <c r="E38" i="8"/>
  <c r="K34" i="8"/>
  <c r="K15" i="11" s="1"/>
  <c r="K38" i="8"/>
  <c r="F38" i="8"/>
  <c r="F34" i="8"/>
  <c r="F15" i="11" s="1"/>
  <c r="N4" i="12" l="1" a="1"/>
  <c r="J18" i="12"/>
  <c r="P8" i="11"/>
  <c r="O8" i="11"/>
  <c r="O15" i="11"/>
  <c r="P15" i="11"/>
  <c r="J16" i="12"/>
  <c r="O23" i="11"/>
  <c r="E18" i="12"/>
  <c r="J39" i="8"/>
  <c r="J44" i="8"/>
  <c r="J22" i="11" s="1"/>
  <c r="J24" i="11" s="1"/>
  <c r="J42" i="8"/>
  <c r="I44" i="8"/>
  <c r="I22" i="11" s="1"/>
  <c r="I24" i="11" s="1"/>
  <c r="I42" i="8"/>
  <c r="I39" i="8"/>
  <c r="H39" i="8"/>
  <c r="H42" i="8"/>
  <c r="H44" i="8"/>
  <c r="H22" i="11" s="1"/>
  <c r="H24" i="11" s="1"/>
  <c r="F39" i="8"/>
  <c r="F44" i="8"/>
  <c r="F22" i="11" s="1"/>
  <c r="F24" i="11" s="1"/>
  <c r="F42" i="8"/>
  <c r="K39" i="8"/>
  <c r="K42" i="8"/>
  <c r="K44" i="8"/>
  <c r="K22" i="11" s="1"/>
  <c r="K24" i="11" s="1"/>
  <c r="E39" i="8"/>
  <c r="E44" i="8"/>
  <c r="E22" i="11" s="1"/>
  <c r="E24" i="11" s="1"/>
  <c r="E42" i="8"/>
  <c r="M39" i="8"/>
  <c r="M42" i="8"/>
  <c r="M44" i="8"/>
  <c r="M22" i="11" s="1"/>
  <c r="M24" i="11" s="1"/>
  <c r="L42" i="8"/>
  <c r="L44" i="8"/>
  <c r="L22" i="11" s="1"/>
  <c r="L24" i="11" s="1"/>
  <c r="D42" i="8"/>
  <c r="D44" i="8"/>
  <c r="D22" i="11" s="1"/>
  <c r="L39" i="8"/>
  <c r="G39" i="8"/>
  <c r="D24" i="11" l="1"/>
  <c r="O22" i="11"/>
  <c r="P22" i="11"/>
  <c r="N8" i="12"/>
  <c r="O8" i="12" s="1"/>
  <c r="N7" i="12"/>
  <c r="N10" i="12"/>
  <c r="N13" i="12"/>
  <c r="O13" i="12" s="1"/>
  <c r="N9" i="12"/>
  <c r="N6" i="12"/>
  <c r="N11" i="12"/>
  <c r="O11" i="12" s="1"/>
  <c r="N5" i="12"/>
  <c r="N4" i="12"/>
  <c r="N12" i="12"/>
  <c r="O6" i="12" l="1"/>
  <c r="O9" i="12"/>
  <c r="O10" i="12"/>
  <c r="O7" i="12"/>
  <c r="O5" i="12"/>
  <c r="N14" i="12"/>
  <c r="O14" i="12" s="1"/>
  <c r="N16" i="12"/>
  <c r="N15" i="12"/>
  <c r="O15" i="12" s="1"/>
  <c r="N17" i="12"/>
  <c r="O17" i="12" s="1"/>
  <c r="N18" i="12"/>
  <c r="O18" i="12" s="1"/>
  <c r="O12" i="12"/>
  <c r="P24" i="11"/>
  <c r="O24" i="11"/>
  <c r="O16" i="12" l="1"/>
</calcChain>
</file>

<file path=xl/sharedStrings.xml><?xml version="1.0" encoding="utf-8"?>
<sst xmlns="http://schemas.openxmlformats.org/spreadsheetml/2006/main" count="293" uniqueCount="180">
  <si>
    <t>COMPANY NAME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</si>
  <si>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</si>
  <si>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</si>
  <si>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</si>
  <si>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</si>
  <si>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</si>
  <si>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</si>
  <si>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</si>
  <si>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</si>
  <si>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</si>
  <si>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</si>
  <si>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</si>
  <si>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</si>
  <si>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</si>
  <si>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</si>
  <si>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</si>
  <si>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</si>
  <si>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</si>
  <si>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</si>
  <si>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</si>
  <si>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</si>
  <si>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</si>
  <si>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</si>
  <si>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</si>
  <si>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</si>
  <si>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</si>
  <si>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</si>
  <si>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</si>
  <si>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</si>
  <si>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</si>
  <si>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</si>
  <si>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</si>
  <si>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</si>
  <si>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</si>
  <si>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</si>
  <si>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</si>
  <si>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</si>
  <si>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</si>
  <si>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</si>
  <si>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</si>
  <si>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</si>
  <si>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</si>
  <si>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</si>
  <si>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</si>
  <si>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</si>
  <si>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</si>
  <si>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EPS</t>
  </si>
  <si>
    <t>Price</t>
  </si>
  <si>
    <t>Return on Equity</t>
  </si>
  <si>
    <t>Return on Capital Emp</t>
  </si>
  <si>
    <t>LATEST VERSION</t>
  </si>
  <si>
    <t>CURRENT VERSION</t>
  </si>
  <si>
    <t>AUROBINDO PHARMA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</si>
  <si>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</si>
  <si>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</si>
  <si>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</si>
  <si>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</si>
  <si>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</si>
  <si>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</si>
  <si>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</si>
  <si>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</si>
  <si>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</si>
  <si>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</si>
  <si>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</si>
  <si>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</si>
  <si>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</si>
  <si>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</si>
  <si>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</si>
  <si>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</si>
  <si>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</si>
  <si>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</si>
  <si>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</si>
  <si>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</si>
  <si>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</si>
  <si>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</si>
  <si>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</si>
  <si>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</si>
  <si>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</si>
  <si>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</si>
  <si>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G</t>
  </si>
  <si>
    <t>Years</t>
  </si>
  <si>
    <t>LTM</t>
  </si>
  <si>
    <t>Income Statement</t>
  </si>
  <si>
    <t>#</t>
  </si>
  <si>
    <t>-</t>
  </si>
  <si>
    <t>COGS</t>
  </si>
  <si>
    <t>COGS % Sales</t>
  </si>
  <si>
    <t>Gross Profit</t>
  </si>
  <si>
    <t>Selling &amp; General Expenses</t>
  </si>
  <si>
    <t>S&amp;G Exp % Sales</t>
  </si>
  <si>
    <t>EBITDA</t>
  </si>
  <si>
    <t>EBITDA % Sales</t>
  </si>
  <si>
    <t xml:space="preserve"> Interest % Sales</t>
  </si>
  <si>
    <t>Depreciation % Sales</t>
  </si>
  <si>
    <t>Earning before Taxes</t>
  </si>
  <si>
    <t>EBT % Sales</t>
  </si>
  <si>
    <t xml:space="preserve"> </t>
  </si>
  <si>
    <t>Effective Tax Rate</t>
  </si>
  <si>
    <t>Net Profit</t>
  </si>
  <si>
    <t>Net Margins</t>
  </si>
  <si>
    <t>EPS(Earning per share)</t>
  </si>
  <si>
    <t>Dividend per share</t>
  </si>
  <si>
    <t>EPS Growth%)</t>
  </si>
  <si>
    <t>Dividend payout ratio</t>
  </si>
  <si>
    <t>Retained Earnings</t>
  </si>
  <si>
    <t>Balance Sheet</t>
  </si>
  <si>
    <t>Total Liabilities</t>
  </si>
  <si>
    <t>Total Assets</t>
  </si>
  <si>
    <t>Fixed Assets Net Block</t>
  </si>
  <si>
    <t>Total Non Current Assets</t>
  </si>
  <si>
    <t>Total Current Assets</t>
  </si>
  <si>
    <t>Check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</si>
  <si>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</si>
  <si>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</si>
  <si>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</si>
  <si>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</si>
  <si>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</si>
  <si>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</si>
  <si>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</si>
  <si>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</si>
  <si>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</si>
  <si>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</si>
  <si>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</si>
  <si>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</si>
  <si>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</si>
  <si>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</si>
  <si>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</si>
  <si>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Inter corporate deposits</t>
  </si>
  <si>
    <t>Other investing items</t>
  </si>
  <si>
    <t>Proceeds from shares</t>
  </si>
  <si>
    <t>Redemption of debentures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</si>
  <si>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</si>
  <si>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</si>
  <si>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</si>
  <si>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</si>
  <si>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</si>
  <si>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</si>
  <si>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 xml:space="preserve">Net Cash Flow </t>
  </si>
  <si>
    <t>Cash from Operating Activities</t>
  </si>
  <si>
    <t>Cash Flow Statements</t>
  </si>
  <si>
    <t>Operating Activites</t>
  </si>
  <si>
    <t>Investing Activites</t>
  </si>
  <si>
    <t>Cash from Investing Activities</t>
  </si>
  <si>
    <t>Financial Activities</t>
  </si>
  <si>
    <t>Cash from Financing Activites</t>
  </si>
  <si>
    <t>Gross Margin</t>
  </si>
  <si>
    <t>EBITDA Growth</t>
  </si>
  <si>
    <t>Net Profit Growth</t>
  </si>
  <si>
    <t>Dividend Growth</t>
  </si>
  <si>
    <t>EBITDA Margin</t>
  </si>
  <si>
    <t>EBIT Margin</t>
  </si>
  <si>
    <t>EBT Margin</t>
  </si>
  <si>
    <t>Net Profit Margin</t>
  </si>
  <si>
    <t>SalesExpenses%Sales</t>
  </si>
  <si>
    <t>Depreciation%Sales</t>
  </si>
  <si>
    <t>OperatingIncome%Sales</t>
  </si>
  <si>
    <t>Return on Capital Employed</t>
  </si>
  <si>
    <t>Retained Earnings%</t>
  </si>
  <si>
    <t>Return on Equity%</t>
  </si>
  <si>
    <t>Self Sustained Growth Rate</t>
  </si>
  <si>
    <t>Debtor Turnover Ratio</t>
  </si>
  <si>
    <t>Creditor Turnover Ratio</t>
  </si>
  <si>
    <t xml:space="preserve">Inventory Turnover </t>
  </si>
  <si>
    <t>Fixed Asset Turnover</t>
  </si>
  <si>
    <t>Capital Turnover Ratio</t>
  </si>
  <si>
    <t>Payable Days</t>
  </si>
  <si>
    <t>Inventory Days</t>
  </si>
  <si>
    <t>Cash Conversion Cycle</t>
  </si>
  <si>
    <t>CFO/Sales</t>
  </si>
  <si>
    <t>CFO/Total Assets</t>
  </si>
  <si>
    <t>CFO/Total Debt</t>
  </si>
  <si>
    <t>EBT Growth</t>
  </si>
  <si>
    <t>Interest Coverage Ratio</t>
  </si>
  <si>
    <t>Mean</t>
  </si>
  <si>
    <t>Median</t>
  </si>
  <si>
    <t>Trend</t>
  </si>
  <si>
    <t>Year Weight</t>
  </si>
  <si>
    <t>Year</t>
  </si>
  <si>
    <t>Operating Profit Margin</t>
  </si>
  <si>
    <t>Operating Profit Margin(OPM)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</si>
</sst>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0;\(&quot;₹&quot;\ #,##0.00\)"/>
    <numFmt numFmtId="167" formatCode="0.0%"/>
    <numFmt numFmtId="168" formatCode="&quot;₹&quot;\ #,##0.00"/>
    <numFmt numFmtId="169" formatCode="0.00\x"/>
    <numFmt numFmtId="170" formatCode="#,##0.00&quot;x&quot;"/>
    <numFmt numFmtId="171" formatCode="0.00&quot;x&quot;"/>
    <numFmt numFmtId="172" formatCode="0&quot;A&quot;"/>
    <numFmt numFmtId="173" formatCode="0&quot;E&quot;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rgb="FF0070C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dashDot">
        <color rgb="FF002060"/>
      </top>
      <bottom style="dashDot">
        <color rgb="FF002060"/>
      </bottom>
      <diagonal/>
    </border>
    <border>
      <left/>
      <right/>
      <top style="dashDot">
        <color rgb="FF002060"/>
      </top>
      <bottom/>
      <diagonal/>
    </border>
    <border>
      <left/>
      <right/>
      <top/>
      <bottom style="dashDot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79">
    <xf numFmtId="0" fontId="0" fillId="0" borderId="0" xfId="0"/>
    <xf numFmtId="43" fontId="1" fillId="0" borderId="0" xfId="1" applyFont="1" applyBorder="1"/>
    <xf numFmtId="0" fontId="1" fillId="0" borderId="0" xfId="0" applyFont="1"/>
    <xf numFmtId="0" fontId="6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7" fillId="0" borderId="0" xfId="1" applyNumberFormat="1" applyFont="1" applyFill="1" applyBorder="1"/>
    <xf numFmtId="0" fontId="7" fillId="0" borderId="0" xfId="0" applyFont="1"/>
    <xf numFmtId="164" fontId="0" fillId="0" borderId="0" xfId="1" applyNumberFormat="1" applyFont="1" applyBorder="1"/>
    <xf numFmtId="0" fontId="8" fillId="6" borderId="0" xfId="0" applyFont="1" applyFill="1"/>
    <xf numFmtId="17" fontId="8" fillId="6" borderId="0" xfId="0" applyNumberFormat="1" applyFont="1" applyFill="1"/>
    <xf numFmtId="0" fontId="8" fillId="6" borderId="0" xfId="0" applyFont="1" applyFill="1" applyAlignment="1">
      <alignment horizontal="right"/>
    </xf>
    <xf numFmtId="166" fontId="0" fillId="0" borderId="0" xfId="0" applyNumberFormat="1"/>
    <xf numFmtId="0" fontId="9" fillId="0" borderId="0" xfId="0" applyFont="1"/>
    <xf numFmtId="167" fontId="9" fillId="0" borderId="0" xfId="6" applyNumberFormat="1" applyFont="1"/>
    <xf numFmtId="168" fontId="0" fillId="0" borderId="0" xfId="0" applyNumberFormat="1"/>
    <xf numFmtId="10" fontId="9" fillId="0" borderId="0" xfId="6" applyNumberFormat="1" applyFont="1"/>
    <xf numFmtId="167" fontId="0" fillId="0" borderId="0" xfId="6" applyNumberFormat="1" applyFont="1"/>
    <xf numFmtId="167" fontId="3" fillId="0" borderId="0" xfId="6" applyNumberFormat="1" applyFont="1"/>
    <xf numFmtId="43" fontId="0" fillId="0" borderId="0" xfId="1" applyFont="1" applyFill="1" applyBorder="1"/>
    <xf numFmtId="10" fontId="0" fillId="0" borderId="0" xfId="6" applyNumberFormat="1" applyFont="1"/>
    <xf numFmtId="10" fontId="0" fillId="0" borderId="0" xfId="6" applyNumberFormat="1" applyFont="1" applyBorder="1"/>
    <xf numFmtId="4" fontId="0" fillId="0" borderId="0" xfId="6" applyNumberFormat="1" applyFont="1"/>
    <xf numFmtId="170" fontId="0" fillId="0" borderId="0" xfId="6" applyNumberFormat="1" applyFont="1"/>
    <xf numFmtId="171" fontId="0" fillId="0" borderId="0" xfId="0" applyNumberFormat="1"/>
    <xf numFmtId="2" fontId="0" fillId="0" borderId="0" xfId="0" applyNumberFormat="1"/>
    <xf numFmtId="17" fontId="8" fillId="6" borderId="0" xfId="0" applyNumberFormat="1" applyFont="1" applyFill="1" applyAlignment="1">
      <alignment horizontal="right"/>
    </xf>
    <xf numFmtId="172" fontId="0" fillId="0" borderId="0" xfId="0" applyNumberFormat="1"/>
    <xf numFmtId="4" fontId="0" fillId="0" borderId="0" xfId="0" applyNumberFormat="1"/>
    <xf numFmtId="43" fontId="4" fillId="0" borderId="0" xfId="2" applyNumberFormat="1" applyBorder="1" applyAlignment="1" applyProtection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7" borderId="0" xfId="0" applyFont="1" applyFill="1"/>
    <xf numFmtId="0" fontId="5" fillId="7" borderId="0" xfId="0" applyFont="1" applyFill="1" applyAlignment="1">
      <alignment horizontal="right"/>
    </xf>
    <xf numFmtId="0" fontId="0" fillId="8" borderId="0" xfId="0" applyFill="1"/>
    <xf numFmtId="173" fontId="0" fillId="8" borderId="0" xfId="0" applyNumberFormat="1" applyFill="1"/>
    <xf numFmtId="167" fontId="0" fillId="8" borderId="0" xfId="6" applyNumberFormat="1" applyFont="1" applyFill="1"/>
    <xf numFmtId="172" fontId="0" fillId="8" borderId="0" xfId="0" applyNumberFormat="1" applyFill="1"/>
    <xf numFmtId="4" fontId="0" fillId="8" borderId="0" xfId="0" applyNumberFormat="1" applyFill="1"/>
    <xf numFmtId="0" fontId="10" fillId="6" borderId="0" xfId="0" applyFont="1" applyFill="1" applyAlignment="1">
      <alignment horizontal="center" vertical="center"/>
    </xf>
    <xf numFmtId="0" fontId="0" fillId="0" borderId="2" xfId="0" applyBorder="1"/>
    <xf numFmtId="10" fontId="0" fillId="0" borderId="2" xfId="6" applyNumberFormat="1" applyFont="1" applyBorder="1"/>
    <xf numFmtId="0" fontId="0" fillId="0" borderId="0" xfId="0" applyBorder="1"/>
    <xf numFmtId="0" fontId="0" fillId="0" borderId="3" xfId="0" applyBorder="1"/>
    <xf numFmtId="10" fontId="0" fillId="0" borderId="3" xfId="6" applyNumberFormat="1" applyFont="1" applyBorder="1"/>
    <xf numFmtId="169" fontId="0" fillId="0" borderId="3" xfId="0" applyNumberFormat="1" applyBorder="1"/>
    <xf numFmtId="169" fontId="0" fillId="0" borderId="2" xfId="0" applyNumberFormat="1" applyBorder="1"/>
    <xf numFmtId="169" fontId="0" fillId="0" borderId="0" xfId="0" applyNumberFormat="1" applyBorder="1"/>
    <xf numFmtId="1" fontId="0" fillId="0" borderId="2" xfId="0" applyNumberFormat="1" applyBorder="1"/>
    <xf numFmtId="1" fontId="0" fillId="0" borderId="0" xfId="0" applyNumberFormat="1" applyBorder="1"/>
    <xf numFmtId="1" fontId="0" fillId="0" borderId="3" xfId="0" applyNumberFormat="1" applyBorder="1"/>
    <xf numFmtId="17" fontId="5" fillId="7" borderId="0" xfId="0" applyNumberFormat="1" applyFont="1" applyFill="1"/>
    <xf numFmtId="3" fontId="11" fillId="0" borderId="0" xfId="0" applyNumberFormat="1" applyFont="1"/>
    <xf numFmtId="0" fontId="11" fillId="0" borderId="0" xfId="0" applyFont="1"/>
    <xf numFmtId="0" fontId="10" fillId="6" borderId="0" xfId="0" applyFont="1" applyFill="1" applyAlignment="1">
      <alignment horizontal="center"/>
    </xf>
    <xf numFmtId="0" fontId="1" fillId="9" borderId="0" xfId="0" applyFont="1" applyFill="1"/>
    <xf numFmtId="0" fontId="0" fillId="9" borderId="0" xfId="0" applyFill="1"/>
    <xf numFmtId="0" fontId="1" fillId="0" borderId="1" xfId="0" applyFont="1" applyBorder="1"/>
    <xf numFmtId="168" fontId="1" fillId="0" borderId="1" xfId="0" applyNumberFormat="1" applyFont="1" applyBorder="1"/>
    <xf numFmtId="166" fontId="1" fillId="0" borderId="1" xfId="0" applyNumberFormat="1" applyFont="1" applyBorder="1"/>
    <xf numFmtId="43" fontId="1" fillId="0" borderId="1" xfId="1" applyFont="1" applyBorder="1"/>
    <xf numFmtId="0" fontId="0" fillId="0" borderId="1" xfId="0" applyBorder="1"/>
    <xf numFmtId="43" fontId="1" fillId="0" borderId="4" xfId="1" applyFont="1" applyBorder="1"/>
    <xf numFmtId="0" fontId="0" fillId="0" borderId="4" xfId="0" applyBorder="1"/>
    <xf numFmtId="166" fontId="1" fillId="0" borderId="4" xfId="0" applyNumberFormat="1" applyFont="1" applyBorder="1"/>
    <xf numFmtId="0" fontId="1" fillId="0" borderId="4" xfId="0" applyFont="1" applyBorder="1"/>
    <xf numFmtId="43" fontId="2" fillId="10" borderId="0" xfId="5" applyNumberFormat="1" applyFont="1" applyFill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B5" activePane="bottomRight" state="frozen"/>
      <selection activeCell="I2" sqref="I2"/>
      <selection pane="topRight" activeCell="I2" sqref="I2"/>
      <selection pane="bottomLeft" activeCell="I2" sqref="I2"/>
      <selection pane="bottomRight" activeCell="A20" sqref="A20"/>
    </sheetView>
  </sheetViews>
  <sheetFormatPr defaultColWidth="8.77734375" defaultRowHeight="14.4" x14ac:dyDescent="0.3"/>
  <cols>
    <col min="1" max="1" width="26.6640625" bestFit="1" customWidth="1"/>
    <col min="2" max="6" width="13.44140625" customWidth="1"/>
    <col min="7" max="7" width="14.77734375" bestFit="1" customWidth="1"/>
    <col min="8" max="11" width="13.44140625" customWidth="1"/>
    <col min="12" max="12" width="13.33203125" customWidth="1"/>
    <col min="13" max="14" width="12.109375" customWidth="1"/>
  </cols>
  <sheetData>
    <row r="1" spans="1:14" s="2" customFormat="1" x14ac:dyDescent="0.3">
      <c r="A1" s="2" t="str">
        <f>'Data Sheet'!B1</f>
        <v>AUROBINDO PHARMA LTD</v>
      </c>
      <c r="H1" t="str">
        <f>UPDATE</f>
        <v/>
      </c>
      <c r="J1" s="3"/>
      <c r="K1" s="3"/>
    </row>
    <row r="3" spans="1:14" s="2" customFormat="1" x14ac:dyDescent="0.3">
      <c r="A3" s="11" t="s">
        <v>1</v>
      </c>
      <c r="B3" s="12">
        <f>'Data Sheet'!B16</f>
        <v>42460</v>
      </c>
      <c r="C3" s="12">
        <f>'Data Sheet'!C16</f>
        <v>42825</v>
      </c>
      <c r="D3" s="12">
        <f>'Data Sheet'!D16</f>
        <v>43190</v>
      </c>
      <c r="E3" s="12">
        <f>'Data Sheet'!E16</f>
        <v>43555</v>
      </c>
      <c r="F3" s="12">
        <f>'Data Sheet'!F16</f>
        <v>43921</v>
      </c>
      <c r="G3" s="12">
        <f>'Data Sheet'!G16</f>
        <v>44286</v>
      </c>
      <c r="H3" s="12">
        <f>'Data Sheet'!H16</f>
        <v>44651</v>
      </c>
      <c r="I3" s="12">
        <f>'Data Sheet'!I16</f>
        <v>45016</v>
      </c>
      <c r="J3" s="12">
        <f>'Data Sheet'!J16</f>
        <v>45382</v>
      </c>
      <c r="K3" s="12">
        <f>'Data Sheet'!K16</f>
        <v>45747</v>
      </c>
      <c r="L3" s="13" t="s">
        <v>2</v>
      </c>
      <c r="M3" s="13" t="s">
        <v>3</v>
      </c>
      <c r="N3" s="13" t="s">
        <v>4</v>
      </c>
    </row>
    <row r="4" spans="1:14" s="2" customFormat="1" x14ac:dyDescent="0.3">
      <c r="A4" s="2" t="s">
        <v>5</v>
      </c>
      <c r="B4" s="1">
        <f>'Data Sheet'!B17</f>
        <v>13771.66</v>
      </c>
      <c r="C4" s="1">
        <f>'Data Sheet'!C17</f>
        <v>14909.54</v>
      </c>
      <c r="D4" s="1">
        <f>'Data Sheet'!D17</f>
        <v>16463.03</v>
      </c>
      <c r="E4" s="1">
        <f>'Data Sheet'!E17</f>
        <v>19563.55</v>
      </c>
      <c r="F4" s="1">
        <f>'Data Sheet'!F17</f>
        <v>23098.51</v>
      </c>
      <c r="G4" s="1">
        <f>'Data Sheet'!G17</f>
        <v>24774.62</v>
      </c>
      <c r="H4" s="1">
        <f>'Data Sheet'!H17</f>
        <v>23455.49</v>
      </c>
      <c r="I4" s="1">
        <f>'Data Sheet'!I17</f>
        <v>24855.38</v>
      </c>
      <c r="J4" s="1">
        <f>'Data Sheet'!J17</f>
        <v>29001.87</v>
      </c>
      <c r="K4" s="1">
        <f>'Data Sheet'!K17</f>
        <v>31723.73</v>
      </c>
      <c r="L4" s="1">
        <f>SUM(Quarters!H4:K4)</f>
        <v>31723.730000000003</v>
      </c>
      <c r="M4" s="1">
        <f>$K4+M23*K4</f>
        <v>35083.061915680802</v>
      </c>
      <c r="N4" s="1">
        <f>$K4+N23*L4</f>
        <v>33802.148138986602</v>
      </c>
    </row>
    <row r="5" spans="1:14" x14ac:dyDescent="0.3">
      <c r="A5" t="s">
        <v>6</v>
      </c>
      <c r="B5" s="6">
        <f>SUM('Data Sheet'!B18,'Data Sheet'!B20:B24, -1*'Data Sheet'!B19)</f>
        <v>10578.539999999999</v>
      </c>
      <c r="C5" s="6">
        <f>SUM('Data Sheet'!C18,'Data Sheet'!C20:C24, -1*'Data Sheet'!C19)</f>
        <v>11468.99</v>
      </c>
      <c r="D5" s="6">
        <f>SUM('Data Sheet'!D18,'Data Sheet'!D20:D24, -1*'Data Sheet'!D19)</f>
        <v>12691.28</v>
      </c>
      <c r="E5" s="6">
        <f>SUM('Data Sheet'!E18,'Data Sheet'!E20:E24, -1*'Data Sheet'!E19)</f>
        <v>15611.61</v>
      </c>
      <c r="F5" s="6">
        <f>SUM('Data Sheet'!F18,'Data Sheet'!F20:F24, -1*'Data Sheet'!F19)</f>
        <v>18249.370000000003</v>
      </c>
      <c r="G5" s="6">
        <f>SUM('Data Sheet'!G18,'Data Sheet'!G20:G24, -1*'Data Sheet'!G19)</f>
        <v>19496.580000000002</v>
      </c>
      <c r="H5" s="6">
        <f>SUM('Data Sheet'!H18,'Data Sheet'!H20:H24, -1*'Data Sheet'!H19)</f>
        <v>19059.95</v>
      </c>
      <c r="I5" s="6">
        <f>SUM('Data Sheet'!I18,'Data Sheet'!I20:I24, -1*'Data Sheet'!I19)</f>
        <v>21148.410000000003</v>
      </c>
      <c r="J5" s="6">
        <f>SUM('Data Sheet'!J18,'Data Sheet'!J20:J24, -1*'Data Sheet'!J19)</f>
        <v>23176.030000000002</v>
      </c>
      <c r="K5" s="6">
        <f>SUM('Data Sheet'!K18,'Data Sheet'!K20:K24, -1*'Data Sheet'!K19)</f>
        <v>25172.63</v>
      </c>
      <c r="L5" s="6">
        <f>SUM(Quarters!H5:K5)</f>
        <v>25201.7</v>
      </c>
      <c r="M5" s="6">
        <f t="shared" ref="M5:N5" si="0">M4-M6</f>
        <v>27870.392336601431</v>
      </c>
      <c r="N5" s="6">
        <f t="shared" si="0"/>
        <v>27449.443268416908</v>
      </c>
    </row>
    <row r="6" spans="1:14" s="2" customFormat="1" x14ac:dyDescent="0.3">
      <c r="A6" s="2" t="s">
        <v>7</v>
      </c>
      <c r="B6" s="1">
        <f>B4-B5</f>
        <v>3193.1200000000008</v>
      </c>
      <c r="C6" s="1">
        <f t="shared" ref="C6:K6" si="1">C4-C5</f>
        <v>3440.5500000000011</v>
      </c>
      <c r="D6" s="1">
        <f t="shared" si="1"/>
        <v>3771.7499999999982</v>
      </c>
      <c r="E6" s="1">
        <f t="shared" si="1"/>
        <v>3951.9399999999987</v>
      </c>
      <c r="F6" s="1">
        <f t="shared" si="1"/>
        <v>4849.1399999999958</v>
      </c>
      <c r="G6" s="1">
        <f t="shared" si="1"/>
        <v>5278.0399999999972</v>
      </c>
      <c r="H6" s="1">
        <f t="shared" si="1"/>
        <v>4395.5400000000009</v>
      </c>
      <c r="I6" s="1">
        <f t="shared" si="1"/>
        <v>3706.9699999999975</v>
      </c>
      <c r="J6" s="1">
        <f t="shared" si="1"/>
        <v>5825.8399999999965</v>
      </c>
      <c r="K6" s="1">
        <f t="shared" si="1"/>
        <v>6551.0999999999985</v>
      </c>
      <c r="L6" s="1">
        <f>SUM(Quarters!H6:K6)</f>
        <v>6522.0300000000007</v>
      </c>
      <c r="M6" s="1">
        <f>M4*M24</f>
        <v>7212.6695790793719</v>
      </c>
      <c r="N6" s="1">
        <f>N4*N24</f>
        <v>6352.7048705696961</v>
      </c>
    </row>
    <row r="7" spans="1:14" x14ac:dyDescent="0.3">
      <c r="A7" t="s">
        <v>8</v>
      </c>
      <c r="B7" s="6">
        <f>'Data Sheet'!B25</f>
        <v>200.25</v>
      </c>
      <c r="C7" s="6">
        <f>'Data Sheet'!C25</f>
        <v>114.64</v>
      </c>
      <c r="D7" s="6">
        <f>'Data Sheet'!D25</f>
        <v>105.12</v>
      </c>
      <c r="E7" s="6">
        <f>'Data Sheet'!E25</f>
        <v>69.959999999999994</v>
      </c>
      <c r="F7" s="6">
        <f>'Data Sheet'!F25</f>
        <v>165.74</v>
      </c>
      <c r="G7" s="6">
        <f>'Data Sheet'!G25</f>
        <v>3195.43</v>
      </c>
      <c r="H7" s="6">
        <f>'Data Sheet'!H25</f>
        <v>152.36000000000001</v>
      </c>
      <c r="I7" s="6">
        <f>'Data Sheet'!I25</f>
        <v>290.58999999999997</v>
      </c>
      <c r="J7" s="6">
        <f>'Data Sheet'!J25</f>
        <v>365.52</v>
      </c>
      <c r="K7" s="6">
        <f>'Data Sheet'!K25</f>
        <v>621.85</v>
      </c>
      <c r="L7" s="6">
        <f>SUM(Quarters!H7:K7)</f>
        <v>650.92000000000007</v>
      </c>
      <c r="M7" s="6">
        <v>0</v>
      </c>
      <c r="N7" s="6">
        <v>0</v>
      </c>
    </row>
    <row r="8" spans="1:14" x14ac:dyDescent="0.3">
      <c r="A8" t="s">
        <v>9</v>
      </c>
      <c r="B8" s="6">
        <f>'Data Sheet'!B26</f>
        <v>392.37</v>
      </c>
      <c r="C8" s="6">
        <f>'Data Sheet'!C26</f>
        <v>427.63</v>
      </c>
      <c r="D8" s="6">
        <f>'Data Sheet'!D26</f>
        <v>557.97</v>
      </c>
      <c r="E8" s="6">
        <f>'Data Sheet'!E26</f>
        <v>667.95</v>
      </c>
      <c r="F8" s="6">
        <f>'Data Sheet'!F26</f>
        <v>966.71</v>
      </c>
      <c r="G8" s="6">
        <f>'Data Sheet'!G26</f>
        <v>1055.3900000000001</v>
      </c>
      <c r="H8" s="6">
        <f>'Data Sheet'!H26</f>
        <v>1126.52</v>
      </c>
      <c r="I8" s="6">
        <f>'Data Sheet'!I26</f>
        <v>1244.58</v>
      </c>
      <c r="J8" s="6">
        <f>'Data Sheet'!J26</f>
        <v>1521.66</v>
      </c>
      <c r="K8" s="6">
        <f>'Data Sheet'!K26</f>
        <v>1649.42</v>
      </c>
      <c r="L8" s="6">
        <f>SUM(Quarters!H8:K8)</f>
        <v>1649.42</v>
      </c>
      <c r="M8" s="6">
        <f>+$L8</f>
        <v>1649.42</v>
      </c>
      <c r="N8" s="6">
        <f>+$L8</f>
        <v>1649.42</v>
      </c>
    </row>
    <row r="9" spans="1:14" x14ac:dyDescent="0.3">
      <c r="A9" t="s">
        <v>10</v>
      </c>
      <c r="B9" s="6">
        <f>'Data Sheet'!B27</f>
        <v>256.7</v>
      </c>
      <c r="C9" s="6">
        <f>'Data Sheet'!C27</f>
        <v>66.72</v>
      </c>
      <c r="D9" s="6">
        <f>'Data Sheet'!D27</f>
        <v>77.72</v>
      </c>
      <c r="E9" s="6">
        <f>'Data Sheet'!E27</f>
        <v>262.60000000000002</v>
      </c>
      <c r="F9" s="6">
        <f>'Data Sheet'!F27</f>
        <v>305.13</v>
      </c>
      <c r="G9" s="6">
        <f>'Data Sheet'!G27</f>
        <v>74.489999999999995</v>
      </c>
      <c r="H9" s="6">
        <f>'Data Sheet'!H27</f>
        <v>48.64</v>
      </c>
      <c r="I9" s="6">
        <f>'Data Sheet'!I27</f>
        <v>140.47999999999999</v>
      </c>
      <c r="J9" s="6">
        <f>'Data Sheet'!J27</f>
        <v>289.70999999999998</v>
      </c>
      <c r="K9" s="6">
        <f>'Data Sheet'!K27</f>
        <v>457.24</v>
      </c>
      <c r="L9" s="6">
        <f>SUM(Quarters!H9:K9)</f>
        <v>457.24</v>
      </c>
      <c r="M9" s="6">
        <f>+$L9</f>
        <v>457.24</v>
      </c>
      <c r="N9" s="6">
        <f>+$L9</f>
        <v>457.24</v>
      </c>
    </row>
    <row r="10" spans="1:14" x14ac:dyDescent="0.3">
      <c r="A10" t="s">
        <v>11</v>
      </c>
      <c r="B10" s="6">
        <f>'Data Sheet'!B28</f>
        <v>2744.3</v>
      </c>
      <c r="C10" s="6">
        <f>'Data Sheet'!C28</f>
        <v>3060.84</v>
      </c>
      <c r="D10" s="6">
        <f>'Data Sheet'!D28</f>
        <v>3241.18</v>
      </c>
      <c r="E10" s="6">
        <f>'Data Sheet'!E28</f>
        <v>3091.35</v>
      </c>
      <c r="F10" s="6">
        <f>'Data Sheet'!F28</f>
        <v>3743.04</v>
      </c>
      <c r="G10" s="6">
        <f>'Data Sheet'!G28</f>
        <v>7343.59</v>
      </c>
      <c r="H10" s="6">
        <f>'Data Sheet'!H28</f>
        <v>3372.74</v>
      </c>
      <c r="I10" s="6">
        <f>'Data Sheet'!I28</f>
        <v>2612.5</v>
      </c>
      <c r="J10" s="6">
        <f>'Data Sheet'!J28</f>
        <v>4379.99</v>
      </c>
      <c r="K10" s="6">
        <f>'Data Sheet'!K28</f>
        <v>5066.29</v>
      </c>
      <c r="L10" s="6">
        <f>SUM(Quarters!H10:K10)</f>
        <v>5066.29</v>
      </c>
      <c r="M10" s="6">
        <f>M6+M7-SUM(M8:M9)</f>
        <v>5106.0095790793721</v>
      </c>
      <c r="N10" s="6">
        <f>N6+N7-SUM(N8:N9)</f>
        <v>4246.0448705696963</v>
      </c>
    </row>
    <row r="11" spans="1:14" x14ac:dyDescent="0.3">
      <c r="A11" t="s">
        <v>12</v>
      </c>
      <c r="B11" s="6">
        <f>'Data Sheet'!B29</f>
        <v>720.71</v>
      </c>
      <c r="C11" s="6">
        <f>'Data Sheet'!C29</f>
        <v>759.65</v>
      </c>
      <c r="D11" s="6">
        <f>'Data Sheet'!D29</f>
        <v>818.27</v>
      </c>
      <c r="E11" s="6">
        <f>'Data Sheet'!E29</f>
        <v>726.85</v>
      </c>
      <c r="F11" s="6">
        <f>'Data Sheet'!F29</f>
        <v>899.35</v>
      </c>
      <c r="G11" s="6">
        <f>'Data Sheet'!G29</f>
        <v>2009.77</v>
      </c>
      <c r="H11" s="6">
        <f>'Data Sheet'!H29</f>
        <v>725.63</v>
      </c>
      <c r="I11" s="6">
        <f>'Data Sheet'!I29</f>
        <v>684.85</v>
      </c>
      <c r="J11" s="6">
        <f>'Data Sheet'!J29</f>
        <v>1211.02</v>
      </c>
      <c r="K11" s="6">
        <f>'Data Sheet'!K29</f>
        <v>1582.72</v>
      </c>
      <c r="L11" s="6">
        <f>SUM(Quarters!H11:K11)</f>
        <v>1582.72</v>
      </c>
      <c r="M11" s="7">
        <f>IF($L10&gt;0,$L11/$L10,0)</f>
        <v>0.31240217200357662</v>
      </c>
      <c r="N11" s="7">
        <f>IF($L10&gt;0,$L11/$L10,0)</f>
        <v>0.31240217200357662</v>
      </c>
    </row>
    <row r="12" spans="1:14" s="2" customFormat="1" x14ac:dyDescent="0.3">
      <c r="A12" s="2" t="s">
        <v>13</v>
      </c>
      <c r="B12" s="1">
        <f>'Data Sheet'!B30</f>
        <v>2025.09</v>
      </c>
      <c r="C12" s="1">
        <f>'Data Sheet'!C30</f>
        <v>2301.66</v>
      </c>
      <c r="D12" s="1">
        <f>'Data Sheet'!D30</f>
        <v>2423.17</v>
      </c>
      <c r="E12" s="1">
        <f>'Data Sheet'!E30</f>
        <v>2364.73</v>
      </c>
      <c r="F12" s="1">
        <f>'Data Sheet'!F30</f>
        <v>2845.14</v>
      </c>
      <c r="G12" s="1">
        <f>'Data Sheet'!G30</f>
        <v>5334.84</v>
      </c>
      <c r="H12" s="1">
        <f>'Data Sheet'!H30</f>
        <v>2648.15</v>
      </c>
      <c r="I12" s="1">
        <f>'Data Sheet'!I30</f>
        <v>1927.5</v>
      </c>
      <c r="J12" s="1">
        <f>'Data Sheet'!J30</f>
        <v>3172.97</v>
      </c>
      <c r="K12" s="1">
        <f>'Data Sheet'!K30</f>
        <v>3485.88</v>
      </c>
      <c r="L12" s="1">
        <f>SUM(Quarters!H12:K12)</f>
        <v>3485.88</v>
      </c>
      <c r="M12" s="1">
        <f>M10-M11*M10</f>
        <v>3510.8810963039082</v>
      </c>
      <c r="N12" s="1">
        <f>N10-N11*N10</f>
        <v>2919.5712305790776</v>
      </c>
    </row>
    <row r="13" spans="1:14" x14ac:dyDescent="0.3">
      <c r="A13" t="s">
        <v>46</v>
      </c>
      <c r="B13" s="6">
        <f>IF('Data Sheet'!B93&gt;0,B12/'Data Sheet'!B93,0)</f>
        <v>34.605092276144902</v>
      </c>
      <c r="C13" s="6">
        <f>IF('Data Sheet'!C93&gt;0,C12/'Data Sheet'!C93,0)</f>
        <v>39.284178187403988</v>
      </c>
      <c r="D13" s="6">
        <f>IF('Data Sheet'!D93&gt;0,D12/'Data Sheet'!D93,0)</f>
        <v>41.358081583888037</v>
      </c>
      <c r="E13" s="6">
        <f>IF('Data Sheet'!E93&gt;0,E12/'Data Sheet'!E93,0)</f>
        <v>40.360641747738519</v>
      </c>
      <c r="F13" s="6">
        <f>IF('Data Sheet'!F93&gt;0,F12/'Data Sheet'!F93,0)</f>
        <v>48.560163850486425</v>
      </c>
      <c r="G13" s="6">
        <f>IF('Data Sheet'!G93&gt;0,G12/'Data Sheet'!G93,0)</f>
        <v>91.053763440860209</v>
      </c>
      <c r="H13" s="6">
        <f>IF('Data Sheet'!H93&gt;0,H12/'Data Sheet'!H93,0)</f>
        <v>45.197986004437617</v>
      </c>
      <c r="I13" s="6">
        <f>IF('Data Sheet'!I93&gt;0,I12/'Data Sheet'!I93,0)</f>
        <v>32.898105478750637</v>
      </c>
      <c r="J13" s="6">
        <f>IF('Data Sheet'!J93&gt;0,J12/'Data Sheet'!J93,0)</f>
        <v>54.155487284519538</v>
      </c>
      <c r="K13" s="6">
        <f>IF('Data Sheet'!K93&gt;0,K12/'Data Sheet'!K93,0)</f>
        <v>59.496159754224266</v>
      </c>
      <c r="L13" s="6">
        <f>IF('Data Sheet'!$B6&gt;0,'Profit &amp; Loss'!L12/'Data Sheet'!$B6,0)</f>
        <v>59.492237057802789</v>
      </c>
      <c r="M13" s="6">
        <f>IF('Data Sheet'!$B6&gt;0,'Profit &amp; Loss'!M12/'Data Sheet'!$B6,0)</f>
        <v>59.91892161034535</v>
      </c>
      <c r="N13" s="6">
        <f>IF('Data Sheet'!$B6&gt;0,'Profit &amp; Loss'!N12/'Data Sheet'!$B6,0)</f>
        <v>49.827252732954513</v>
      </c>
    </row>
    <row r="14" spans="1:14" x14ac:dyDescent="0.3">
      <c r="A14" t="s">
        <v>15</v>
      </c>
      <c r="B14" s="6">
        <f>IF(B15&gt;0,B15/B13,"")</f>
        <v>21.525733671096102</v>
      </c>
      <c r="C14" s="6">
        <f t="shared" ref="C14:K14" si="2">IF(C15&gt;0,C15/C13,"")</f>
        <v>17.187581137092362</v>
      </c>
      <c r="D14" s="6">
        <f t="shared" si="2"/>
        <v>13.488294878196742</v>
      </c>
      <c r="E14" s="6">
        <f t="shared" si="2"/>
        <v>19.431058725520462</v>
      </c>
      <c r="F14" s="6">
        <f t="shared" si="2"/>
        <v>8.5080025938969612</v>
      </c>
      <c r="G14" s="6">
        <f t="shared" si="2"/>
        <v>9.6788970240906949</v>
      </c>
      <c r="H14" s="6">
        <f t="shared" si="2"/>
        <v>14.791588278609595</v>
      </c>
      <c r="I14" s="6">
        <f t="shared" si="2"/>
        <v>15.748627237354087</v>
      </c>
      <c r="J14" s="6">
        <f t="shared" si="2"/>
        <v>20.104149267090456</v>
      </c>
      <c r="K14" s="6">
        <f t="shared" si="2"/>
        <v>19.505460601053393</v>
      </c>
      <c r="L14" s="6">
        <f t="shared" ref="L14" si="3">IF(L13&gt;0,L15/L13,0)</f>
        <v>18.652853798753828</v>
      </c>
      <c r="M14" s="6">
        <f>M25</f>
        <v>18.652853798753828</v>
      </c>
      <c r="N14" s="6">
        <f>N25</f>
        <v>15.802579690796183</v>
      </c>
    </row>
    <row r="15" spans="1:14" s="2" customFormat="1" x14ac:dyDescent="0.3">
      <c r="A15" s="2" t="s">
        <v>47</v>
      </c>
      <c r="B15" s="1">
        <f>'Data Sheet'!B90</f>
        <v>744.9</v>
      </c>
      <c r="C15" s="1">
        <f>'Data Sheet'!C90</f>
        <v>675.2</v>
      </c>
      <c r="D15" s="1">
        <f>'Data Sheet'!D90</f>
        <v>557.85</v>
      </c>
      <c r="E15" s="1">
        <f>'Data Sheet'!E90</f>
        <v>784.25</v>
      </c>
      <c r="F15" s="1">
        <f>'Data Sheet'!F90</f>
        <v>413.15</v>
      </c>
      <c r="G15" s="1">
        <f>'Data Sheet'!G90</f>
        <v>881.3</v>
      </c>
      <c r="H15" s="1">
        <f>'Data Sheet'!H90</f>
        <v>668.55</v>
      </c>
      <c r="I15" s="1">
        <f>'Data Sheet'!I90</f>
        <v>518.1</v>
      </c>
      <c r="J15" s="1">
        <f>'Data Sheet'!J90</f>
        <v>1088.75</v>
      </c>
      <c r="K15" s="1">
        <f>'Data Sheet'!K90</f>
        <v>1160.5</v>
      </c>
      <c r="L15" s="1">
        <f>'Data Sheet'!B8</f>
        <v>1109.7</v>
      </c>
      <c r="M15" s="8">
        <f>M13*M14</f>
        <v>1117.6588845767631</v>
      </c>
      <c r="N15" s="9">
        <f>N13*N14</f>
        <v>787.39913208595556</v>
      </c>
    </row>
    <row r="17" spans="1:14" s="2" customFormat="1" x14ac:dyDescent="0.3">
      <c r="A17" s="2" t="s">
        <v>14</v>
      </c>
    </row>
    <row r="18" spans="1:14" x14ac:dyDescent="0.3">
      <c r="A18" t="s">
        <v>16</v>
      </c>
      <c r="B18" s="5">
        <f>IF('Data Sheet'!B30&gt;0, 'Data Sheet'!B31/'Data Sheet'!B30, 0)</f>
        <v>7.2243702749013636E-2</v>
      </c>
      <c r="C18" s="5">
        <f>IF('Data Sheet'!C30&gt;0, 'Data Sheet'!C31/'Data Sheet'!C30, 0)</f>
        <v>6.3641024304197838E-2</v>
      </c>
      <c r="D18" s="5">
        <f>IF('Data Sheet'!D30&gt;0, 'Data Sheet'!D31/'Data Sheet'!D30, 0)</f>
        <v>6.0449741454375872E-2</v>
      </c>
      <c r="E18" s="5">
        <f>IF('Data Sheet'!E30&gt;0, 'Data Sheet'!E31/'Data Sheet'!E30, 0)</f>
        <v>6.1943646843402839E-2</v>
      </c>
      <c r="F18" s="5">
        <f>IF('Data Sheet'!F30&gt;0, 'Data Sheet'!F31/'Data Sheet'!F30, 0)</f>
        <v>6.1779033720660501E-2</v>
      </c>
      <c r="G18" s="5">
        <f>IF('Data Sheet'!G30&gt;0, 'Data Sheet'!G31/'Data Sheet'!G30, 0)</f>
        <v>4.3930089749645726E-2</v>
      </c>
      <c r="H18" s="5">
        <f>IF('Data Sheet'!H30&gt;0, 'Data Sheet'!H31/'Data Sheet'!H30, 0)</f>
        <v>0.19912391669656174</v>
      </c>
      <c r="I18" s="5">
        <f>IF('Data Sheet'!I30&gt;0, 'Data Sheet'!I31/'Data Sheet'!I30, 0)</f>
        <v>0.22797405966277562</v>
      </c>
      <c r="J18" s="5">
        <f>IF('Data Sheet'!J30&gt;0, 'Data Sheet'!J31/'Data Sheet'!J30, 0)</f>
        <v>8.3095648556399851E-2</v>
      </c>
      <c r="K18" s="5">
        <f>IF('Data Sheet'!K30&gt;0, 'Data Sheet'!K31/'Data Sheet'!K30, 0)</f>
        <v>0</v>
      </c>
    </row>
    <row r="19" spans="1:14" x14ac:dyDescent="0.3">
      <c r="A19" t="s">
        <v>179</v>
      </c>
      <c r="B19" s="5">
        <f t="shared" ref="B19:L19" si="4">IF(B6&gt;0,B6/B4,0)</f>
        <v>0.2318616637355265</v>
      </c>
      <c r="C19" s="5">
        <f t="shared" ref="C19:K19" si="5">IF(C6&gt;0,C6/C4,0)</f>
        <v>0.23076164656991435</v>
      </c>
      <c r="D19" s="5">
        <f t="shared" si="5"/>
        <v>0.22910424144279629</v>
      </c>
      <c r="E19" s="5">
        <f t="shared" si="5"/>
        <v>0.20200525978158354</v>
      </c>
      <c r="F19" s="5">
        <f t="shared" si="5"/>
        <v>0.2099330216537775</v>
      </c>
      <c r="G19" s="5">
        <f t="shared" si="5"/>
        <v>0.21304221820556674</v>
      </c>
      <c r="H19" s="5">
        <f t="shared" si="5"/>
        <v>0.18739919737340813</v>
      </c>
      <c r="I19" s="5">
        <f t="shared" si="5"/>
        <v>0.14914155406193738</v>
      </c>
      <c r="J19" s="5">
        <f t="shared" si="5"/>
        <v>0.20087808130992921</v>
      </c>
      <c r="K19" s="5">
        <f t="shared" si="5"/>
        <v>0.20650472059874417</v>
      </c>
      <c r="L19" s="5">
        <f t="shared" si="4"/>
        <v>0.20558837185917292</v>
      </c>
    </row>
    <row r="20" spans="1:14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">
      <c r="A22" s="11"/>
      <c r="B22" s="12"/>
      <c r="C22" s="12"/>
      <c r="D22" s="12"/>
      <c r="E22" s="12"/>
      <c r="F22" s="12"/>
      <c r="G22" s="12" t="s">
        <v>18</v>
      </c>
      <c r="H22" s="12" t="s">
        <v>54</v>
      </c>
      <c r="I22" s="12" t="s">
        <v>55</v>
      </c>
      <c r="J22" s="12" t="s">
        <v>56</v>
      </c>
      <c r="K22" s="12" t="s">
        <v>57</v>
      </c>
      <c r="L22" s="13" t="s">
        <v>58</v>
      </c>
      <c r="M22" s="13" t="s">
        <v>19</v>
      </c>
      <c r="N22" s="13" t="s">
        <v>20</v>
      </c>
    </row>
    <row r="23" spans="1:14" s="2" customFormat="1" x14ac:dyDescent="0.3">
      <c r="A23"/>
      <c r="B23"/>
      <c r="C23"/>
      <c r="D23"/>
      <c r="E23"/>
      <c r="F23"/>
      <c r="G23" t="s">
        <v>21</v>
      </c>
      <c r="H23" s="5">
        <f>IF(B4=0,"",POWER($K4/B4,1/9)-1)</f>
        <v>9.7151090736039558E-2</v>
      </c>
      <c r="I23" s="5">
        <f>IF(D4=0,"",POWER($K4/D4,1/7)-1)</f>
        <v>9.8237714295789536E-2</v>
      </c>
      <c r="J23" s="5">
        <f>IF(F4=0,"",POWER($K4/F4,1/5)-1)</f>
        <v>6.5516196833934837E-2</v>
      </c>
      <c r="K23" s="5">
        <f>IF(H4=0,"",POWER($K4/H4, 1/3)-1)</f>
        <v>0.10589334594894106</v>
      </c>
      <c r="L23" s="5">
        <f>IF(ISERROR(MAX(IF(J4=0,"",(K4-J4)/J4),IF(K4=0,"",(L4-K4)/K4))),"",MAX(IF(J4=0,"",(K4-J4)/J4),IF(K4=0,"",(L4-K4)/K4)))</f>
        <v>9.3851189595705403E-2</v>
      </c>
      <c r="M23" s="16">
        <f>MAX(K23:L23)</f>
        <v>0.10589334594894106</v>
      </c>
      <c r="N23" s="16">
        <f>MIN(H23:L23)</f>
        <v>6.5516196833934837E-2</v>
      </c>
    </row>
    <row r="24" spans="1:14" x14ac:dyDescent="0.3">
      <c r="G24" t="s">
        <v>17</v>
      </c>
      <c r="H24" s="5">
        <f>IF(SUM(B4:$K$4)=0,"",SUMPRODUCT(B19:$K$19,B4:$K$4)/SUM(B4:$K$4))</f>
        <v>0.2028901794615566</v>
      </c>
      <c r="I24" s="5">
        <f>IF(SUM(E4:$K$4)=0,"",SUMPRODUCT(E19:$K$19,E4:$K$4)/SUM(E4:$K$4))</f>
        <v>0.19582905388156771</v>
      </c>
      <c r="J24" s="5">
        <f>IF(SUM(G4:$K$4)=0,"",SUMPRODUCT(G19:$K$19,G4:$K$4)/SUM(G4:$K$4))</f>
        <v>0.19249144446846664</v>
      </c>
      <c r="K24" s="5">
        <f>IF(SUM(I4:$K$4)=0, "", SUMPRODUCT(I19:$K$19,I4:$K$4)/SUM(I4:$K$4))</f>
        <v>0.18793790395950119</v>
      </c>
      <c r="L24" s="5">
        <f>L19</f>
        <v>0.20558837185917292</v>
      </c>
      <c r="M24" s="16">
        <f>MAX(K24:L24)</f>
        <v>0.20558837185917292</v>
      </c>
      <c r="N24" s="16">
        <f>MIN(H24:L24)</f>
        <v>0.18793790395950119</v>
      </c>
    </row>
    <row r="25" spans="1:14" x14ac:dyDescent="0.3">
      <c r="G25" t="s">
        <v>22</v>
      </c>
      <c r="H25" s="6">
        <f>IF(ISERROR(AVERAGEIF(B14:$L14,"&gt;0")),"",AVERAGEIF(B14:$L14,"&gt;0"))</f>
        <v>16.238386110250424</v>
      </c>
      <c r="I25" s="6">
        <f>IF(ISERROR(AVERAGEIF(E14:$L14,"&gt;0")),"",AVERAGEIF(E14:$L14,"&gt;0"))</f>
        <v>15.802579690796183</v>
      </c>
      <c r="J25" s="6">
        <f>IF(ISERROR(AVERAGEIF(G14:$L14,"&gt;0")),"",AVERAGEIF(G14:$L14,"&gt;0"))</f>
        <v>16.413596034492006</v>
      </c>
      <c r="K25" s="6">
        <f>IF(ISERROR(AVERAGEIF(I14:$L14,"&gt;0")),"",AVERAGEIF(I14:$L14,"&gt;0"))</f>
        <v>18.50277272606294</v>
      </c>
      <c r="L25" s="6">
        <f>L14</f>
        <v>18.652853798753828</v>
      </c>
      <c r="M25" s="1">
        <f>MAX(K25:L25)</f>
        <v>18.652853798753828</v>
      </c>
      <c r="N25" s="1">
        <f>MIN(H25:L25)</f>
        <v>15.802579690796183</v>
      </c>
    </row>
  </sheetData>
  <printOptions gridLines="1"/>
  <pageMargins left="0.7" right="0.7" top="0.75" bottom="0.75" header="0.3" footer="0.3"/>
  <pageSetup paperSize="9" orientation="landscape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B5" activePane="bottomRight" state="frozen"/>
      <selection pane="topRight" activeCell="B1" sqref="B1"/>
      <selection pane="bottomLeft" activeCell="A4" sqref="A4"/>
      <selection pane="bottomRight" activeCell="J1" sqref="J1"/>
    </sheetView>
  </sheetViews>
  <sheetFormatPr defaultColWidth="8.77734375" defaultRowHeight="14.4" x14ac:dyDescent="0.3"/>
  <cols>
    <col min="1" max="1" width="24.109375" bestFit="1" customWidth="1"/>
    <col min="2" max="11" width="13.44140625" bestFit="1" customWidth="1"/>
  </cols>
  <sheetData>
    <row r="1" spans="1:11" s="2" customFormat="1" x14ac:dyDescent="0.3">
      <c r="A1" s="2" t="str">
        <f>'Profit &amp; Loss'!A1</f>
        <v>AUROBINDO PHARMA LTD</v>
      </c>
      <c r="E1" t="str">
        <f>UPDATE</f>
        <v/>
      </c>
    </row>
    <row r="3" spans="1:11" s="2" customFormat="1" x14ac:dyDescent="0.3">
      <c r="A3" s="11" t="s">
        <v>1</v>
      </c>
      <c r="B3" s="12">
        <f>'Data Sheet'!B41</f>
        <v>44926</v>
      </c>
      <c r="C3" s="12">
        <f>'Data Sheet'!C41</f>
        <v>45016</v>
      </c>
      <c r="D3" s="12">
        <f>'Data Sheet'!D41</f>
        <v>45107</v>
      </c>
      <c r="E3" s="12">
        <f>'Data Sheet'!E41</f>
        <v>45199</v>
      </c>
      <c r="F3" s="12">
        <f>'Data Sheet'!F41</f>
        <v>45291</v>
      </c>
      <c r="G3" s="12">
        <f>'Data Sheet'!G41</f>
        <v>45382</v>
      </c>
      <c r="H3" s="12">
        <f>'Data Sheet'!H41</f>
        <v>45473</v>
      </c>
      <c r="I3" s="12">
        <f>'Data Sheet'!I41</f>
        <v>45565</v>
      </c>
      <c r="J3" s="12">
        <f>'Data Sheet'!J41</f>
        <v>45657</v>
      </c>
      <c r="K3" s="12">
        <f>'Data Sheet'!K41</f>
        <v>45747</v>
      </c>
    </row>
    <row r="4" spans="1:11" s="2" customFormat="1" x14ac:dyDescent="0.3">
      <c r="A4" s="2" t="s">
        <v>5</v>
      </c>
      <c r="B4" s="1">
        <f>'Data Sheet'!B42</f>
        <v>6407.13</v>
      </c>
      <c r="C4" s="1">
        <f>'Data Sheet'!C42</f>
        <v>6472.96</v>
      </c>
      <c r="D4" s="1">
        <f>'Data Sheet'!D42</f>
        <v>6850.52</v>
      </c>
      <c r="E4" s="1">
        <f>'Data Sheet'!E42</f>
        <v>7219.42</v>
      </c>
      <c r="F4" s="1">
        <f>'Data Sheet'!F42</f>
        <v>7351.78</v>
      </c>
      <c r="G4" s="1">
        <f>'Data Sheet'!G42</f>
        <v>7580.15</v>
      </c>
      <c r="H4" s="1">
        <f>'Data Sheet'!H42</f>
        <v>7567.02</v>
      </c>
      <c r="I4" s="1">
        <f>'Data Sheet'!I42</f>
        <v>7796.07</v>
      </c>
      <c r="J4" s="1">
        <f>'Data Sheet'!J42</f>
        <v>7978.52</v>
      </c>
      <c r="K4" s="1">
        <f>'Data Sheet'!K42</f>
        <v>8382.1200000000008</v>
      </c>
    </row>
    <row r="5" spans="1:11" x14ac:dyDescent="0.3">
      <c r="A5" t="s">
        <v>6</v>
      </c>
      <c r="B5" s="6">
        <f>'Data Sheet'!B43</f>
        <v>5453.31</v>
      </c>
      <c r="C5" s="6">
        <f>'Data Sheet'!C43</f>
        <v>5476.64</v>
      </c>
      <c r="D5" s="6">
        <f>'Data Sheet'!D43</f>
        <v>5701.96</v>
      </c>
      <c r="E5" s="6">
        <f>'Data Sheet'!E43</f>
        <v>5845.98</v>
      </c>
      <c r="F5" s="6">
        <f>'Data Sheet'!F43</f>
        <v>5753.06</v>
      </c>
      <c r="G5" s="6">
        <f>'Data Sheet'!G43</f>
        <v>5920</v>
      </c>
      <c r="H5" s="6">
        <f>'Data Sheet'!H43</f>
        <v>5948.84</v>
      </c>
      <c r="I5" s="6">
        <f>'Data Sheet'!I43</f>
        <v>6229.93</v>
      </c>
      <c r="J5" s="6">
        <f>'Data Sheet'!J43</f>
        <v>6400.54</v>
      </c>
      <c r="K5" s="6">
        <f>'Data Sheet'!K43</f>
        <v>6622.39</v>
      </c>
    </row>
    <row r="6" spans="1:11" s="2" customFormat="1" x14ac:dyDescent="0.3">
      <c r="A6" s="2" t="s">
        <v>7</v>
      </c>
      <c r="B6" s="1">
        <f>'Data Sheet'!B50</f>
        <v>953.82</v>
      </c>
      <c r="C6" s="1">
        <f>'Data Sheet'!C50</f>
        <v>996.32</v>
      </c>
      <c r="D6" s="1">
        <f>'Data Sheet'!D50</f>
        <v>1148.56</v>
      </c>
      <c r="E6" s="1">
        <f>'Data Sheet'!E50</f>
        <v>1373.44</v>
      </c>
      <c r="F6" s="1">
        <f>'Data Sheet'!F50</f>
        <v>1598.72</v>
      </c>
      <c r="G6" s="1">
        <f>'Data Sheet'!G50</f>
        <v>1660.15</v>
      </c>
      <c r="H6" s="1">
        <f>'Data Sheet'!H50</f>
        <v>1618.18</v>
      </c>
      <c r="I6" s="1">
        <f>'Data Sheet'!I50</f>
        <v>1566.14</v>
      </c>
      <c r="J6" s="1">
        <f>'Data Sheet'!J50</f>
        <v>1577.98</v>
      </c>
      <c r="K6" s="1">
        <f>'Data Sheet'!K50</f>
        <v>1759.73</v>
      </c>
    </row>
    <row r="7" spans="1:11" x14ac:dyDescent="0.3">
      <c r="A7" t="s">
        <v>8</v>
      </c>
      <c r="B7" s="6">
        <f>'Data Sheet'!B44</f>
        <v>92.65</v>
      </c>
      <c r="C7" s="6">
        <f>'Data Sheet'!C44</f>
        <v>134.91</v>
      </c>
      <c r="D7" s="6">
        <f>'Data Sheet'!D44</f>
        <v>46.58</v>
      </c>
      <c r="E7" s="6">
        <f>'Data Sheet'!E44</f>
        <v>187.88</v>
      </c>
      <c r="F7" s="6">
        <f>'Data Sheet'!F44</f>
        <v>162.52000000000001</v>
      </c>
      <c r="G7" s="6">
        <f>'Data Sheet'!G44</f>
        <v>13.51</v>
      </c>
      <c r="H7" s="6">
        <f>'Data Sheet'!H44</f>
        <v>220.93</v>
      </c>
      <c r="I7" s="6">
        <f>'Data Sheet'!I44</f>
        <v>136.30000000000001</v>
      </c>
      <c r="J7" s="6">
        <f>'Data Sheet'!J44</f>
        <v>158.88</v>
      </c>
      <c r="K7" s="6">
        <f>'Data Sheet'!K44</f>
        <v>134.81</v>
      </c>
    </row>
    <row r="8" spans="1:11" x14ac:dyDescent="0.3">
      <c r="A8" t="s">
        <v>9</v>
      </c>
      <c r="B8" s="6">
        <f>'Data Sheet'!B45</f>
        <v>321.39999999999998</v>
      </c>
      <c r="C8" s="6">
        <f>'Data Sheet'!C45</f>
        <v>345.57</v>
      </c>
      <c r="D8" s="6">
        <f>'Data Sheet'!D45</f>
        <v>326.56</v>
      </c>
      <c r="E8" s="6">
        <f>'Data Sheet'!E45</f>
        <v>417.5</v>
      </c>
      <c r="F8" s="6">
        <f>'Data Sheet'!F45</f>
        <v>423.27</v>
      </c>
      <c r="G8" s="6">
        <f>'Data Sheet'!G45</f>
        <v>354.33</v>
      </c>
      <c r="H8" s="6">
        <f>'Data Sheet'!H45</f>
        <v>404.18</v>
      </c>
      <c r="I8" s="6">
        <f>'Data Sheet'!I45</f>
        <v>382.28</v>
      </c>
      <c r="J8" s="6">
        <f>'Data Sheet'!J45</f>
        <v>418.53</v>
      </c>
      <c r="K8" s="6">
        <f>'Data Sheet'!K45</f>
        <v>444.43</v>
      </c>
    </row>
    <row r="9" spans="1:11" x14ac:dyDescent="0.3">
      <c r="A9" t="s">
        <v>10</v>
      </c>
      <c r="B9" s="6">
        <f>'Data Sheet'!B46</f>
        <v>44.96</v>
      </c>
      <c r="C9" s="6">
        <f>'Data Sheet'!C46</f>
        <v>55.6</v>
      </c>
      <c r="D9" s="6">
        <f>'Data Sheet'!D46</f>
        <v>56.55</v>
      </c>
      <c r="E9" s="6">
        <f>'Data Sheet'!E46</f>
        <v>68.180000000000007</v>
      </c>
      <c r="F9" s="6">
        <f>'Data Sheet'!F46</f>
        <v>75.55</v>
      </c>
      <c r="G9" s="6">
        <f>'Data Sheet'!G46</f>
        <v>89.43</v>
      </c>
      <c r="H9" s="6">
        <f>'Data Sheet'!H46</f>
        <v>111.04</v>
      </c>
      <c r="I9" s="6">
        <f>'Data Sheet'!I46</f>
        <v>112.7</v>
      </c>
      <c r="J9" s="6">
        <f>'Data Sheet'!J46</f>
        <v>118.48</v>
      </c>
      <c r="K9" s="6">
        <f>'Data Sheet'!K46</f>
        <v>115.02</v>
      </c>
    </row>
    <row r="10" spans="1:11" x14ac:dyDescent="0.3">
      <c r="A10" t="s">
        <v>11</v>
      </c>
      <c r="B10" s="6">
        <f>'Data Sheet'!B47</f>
        <v>680.11</v>
      </c>
      <c r="C10" s="6">
        <f>'Data Sheet'!C47</f>
        <v>730.06</v>
      </c>
      <c r="D10" s="6">
        <f>'Data Sheet'!D47</f>
        <v>812.03</v>
      </c>
      <c r="E10" s="6">
        <f>'Data Sheet'!E47</f>
        <v>1075.6400000000001</v>
      </c>
      <c r="F10" s="6">
        <f>'Data Sheet'!F47</f>
        <v>1262.42</v>
      </c>
      <c r="G10" s="6">
        <f>'Data Sheet'!G47</f>
        <v>1229.9000000000001</v>
      </c>
      <c r="H10" s="6">
        <f>'Data Sheet'!H47</f>
        <v>1323.89</v>
      </c>
      <c r="I10" s="6">
        <f>'Data Sheet'!I47</f>
        <v>1207.46</v>
      </c>
      <c r="J10" s="6">
        <f>'Data Sheet'!J47</f>
        <v>1199.8499999999999</v>
      </c>
      <c r="K10" s="6">
        <f>'Data Sheet'!K47</f>
        <v>1335.09</v>
      </c>
    </row>
    <row r="11" spans="1:11" x14ac:dyDescent="0.3">
      <c r="A11" t="s">
        <v>12</v>
      </c>
      <c r="B11" s="6">
        <f>'Data Sheet'!B48</f>
        <v>189.1</v>
      </c>
      <c r="C11" s="6">
        <f>'Data Sheet'!C48</f>
        <v>224.15</v>
      </c>
      <c r="D11" s="6">
        <f>'Data Sheet'!D48</f>
        <v>242.32</v>
      </c>
      <c r="E11" s="6">
        <f>'Data Sheet'!E48</f>
        <v>323.7</v>
      </c>
      <c r="F11" s="6">
        <f>'Data Sheet'!F48</f>
        <v>322.45</v>
      </c>
      <c r="G11" s="6">
        <f>'Data Sheet'!G48</f>
        <v>322.55</v>
      </c>
      <c r="H11" s="6">
        <f>'Data Sheet'!H48</f>
        <v>405.67</v>
      </c>
      <c r="I11" s="6">
        <f>'Data Sheet'!I48</f>
        <v>390.51</v>
      </c>
      <c r="J11" s="6">
        <f>'Data Sheet'!J48</f>
        <v>354.28</v>
      </c>
      <c r="K11" s="6">
        <f>'Data Sheet'!K48</f>
        <v>432.26</v>
      </c>
    </row>
    <row r="12" spans="1:11" s="2" customFormat="1" x14ac:dyDescent="0.3">
      <c r="A12" s="2" t="s">
        <v>13</v>
      </c>
      <c r="B12" s="1">
        <f>'Data Sheet'!B49</f>
        <v>491.26</v>
      </c>
      <c r="C12" s="1">
        <f>'Data Sheet'!C49</f>
        <v>506.27</v>
      </c>
      <c r="D12" s="1">
        <f>'Data Sheet'!D49</f>
        <v>570.75</v>
      </c>
      <c r="E12" s="1">
        <f>'Data Sheet'!E49</f>
        <v>757.18</v>
      </c>
      <c r="F12" s="1">
        <f>'Data Sheet'!F49</f>
        <v>936.29</v>
      </c>
      <c r="G12" s="1">
        <f>'Data Sheet'!G49</f>
        <v>908.75</v>
      </c>
      <c r="H12" s="1">
        <f>'Data Sheet'!H49</f>
        <v>919.22</v>
      </c>
      <c r="I12" s="1">
        <f>'Data Sheet'!I49</f>
        <v>817.38</v>
      </c>
      <c r="J12" s="1">
        <f>'Data Sheet'!J49</f>
        <v>845.81</v>
      </c>
      <c r="K12" s="1">
        <f>'Data Sheet'!K49</f>
        <v>903.47</v>
      </c>
    </row>
    <row r="14" spans="1:11" s="2" customFormat="1" x14ac:dyDescent="0.3">
      <c r="A14" s="2" t="s">
        <v>178</v>
      </c>
      <c r="B14" s="10">
        <f>IF(B4&gt;0,B6/B4,"")</f>
        <v>0.14886852615757759</v>
      </c>
      <c r="C14" s="10">
        <f t="shared" ref="C14:K14" si="0">IF(C4&gt;0,C6/C4,"")</f>
        <v>0.1539203084832905</v>
      </c>
      <c r="D14" s="10">
        <f t="shared" si="0"/>
        <v>0.16766026520614491</v>
      </c>
      <c r="E14" s="10">
        <f t="shared" si="0"/>
        <v>0.19024242944724093</v>
      </c>
      <c r="F14" s="10">
        <f t="shared" si="0"/>
        <v>0.21746026132446838</v>
      </c>
      <c r="G14" s="10">
        <f t="shared" si="0"/>
        <v>0.21901281636906925</v>
      </c>
      <c r="H14" s="10">
        <f t="shared" si="0"/>
        <v>0.21384640188607931</v>
      </c>
      <c r="I14" s="10">
        <f t="shared" si="0"/>
        <v>0.20088839633302422</v>
      </c>
      <c r="J14" s="10">
        <f t="shared" si="0"/>
        <v>0.19777853536746162</v>
      </c>
      <c r="K14" s="10">
        <f t="shared" si="0"/>
        <v>0.20993853583580285</v>
      </c>
    </row>
    <row r="22" s="19" customFormat="1" x14ac:dyDescent="0.3"/>
  </sheetData>
  <printOptions gridLines="1"/>
  <pageMargins left="0.7" right="0.7" top="0.75" bottom="0.75" header="0.3" footer="0.3"/>
  <pageSetup paperSize="9" scale="83" orientation="landscape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J1" sqref="J1"/>
    </sheetView>
  </sheetViews>
  <sheetFormatPr defaultColWidth="8.77734375" defaultRowHeight="14.4" x14ac:dyDescent="0.3"/>
  <cols>
    <col min="1" max="1" width="23.88671875" bestFit="1" customWidth="1"/>
    <col min="2" max="2" width="13.44140625" customWidth="1"/>
    <col min="3" max="11" width="15.44140625" customWidth="1"/>
  </cols>
  <sheetData>
    <row r="1" spans="1:11" s="2" customFormat="1" x14ac:dyDescent="0.3">
      <c r="A1" s="2" t="str">
        <f>'Profit &amp; Loss'!A1</f>
        <v>AUROBINDO PHARMA LTD</v>
      </c>
      <c r="E1" t="str">
        <f>UPDATE</f>
        <v/>
      </c>
      <c r="G1"/>
    </row>
    <row r="2" spans="1:11" x14ac:dyDescent="0.3">
      <c r="G2" s="2"/>
      <c r="H2" s="2"/>
    </row>
    <row r="3" spans="1:11" x14ac:dyDescent="0.3">
      <c r="A3" s="11" t="s">
        <v>1</v>
      </c>
      <c r="B3" s="12">
        <f>'Data Sheet'!B56</f>
        <v>42460</v>
      </c>
      <c r="C3" s="12">
        <f>'Data Sheet'!C56</f>
        <v>42825</v>
      </c>
      <c r="D3" s="12">
        <f>'Data Sheet'!D56</f>
        <v>43190</v>
      </c>
      <c r="E3" s="12">
        <f>'Data Sheet'!E56</f>
        <v>43555</v>
      </c>
      <c r="F3" s="12">
        <f>'Data Sheet'!F56</f>
        <v>43921</v>
      </c>
      <c r="G3" s="12">
        <f>'Data Sheet'!G56</f>
        <v>44286</v>
      </c>
      <c r="H3" s="12">
        <f>'Data Sheet'!H56</f>
        <v>44651</v>
      </c>
      <c r="I3" s="12">
        <f>'Data Sheet'!I56</f>
        <v>45016</v>
      </c>
      <c r="J3" s="12">
        <f>'Data Sheet'!J56</f>
        <v>45382</v>
      </c>
      <c r="K3" s="12">
        <f>'Data Sheet'!K56</f>
        <v>45747</v>
      </c>
    </row>
    <row r="4" spans="1:11" x14ac:dyDescent="0.3">
      <c r="A4" t="s">
        <v>23</v>
      </c>
      <c r="B4" s="14">
        <f>'Data Sheet'!B57</f>
        <v>58.52</v>
      </c>
      <c r="C4" s="14">
        <f>'Data Sheet'!C57</f>
        <v>58.59</v>
      </c>
      <c r="D4" s="14">
        <f>'Data Sheet'!D57</f>
        <v>58.59</v>
      </c>
      <c r="E4" s="14">
        <f>'Data Sheet'!E57</f>
        <v>58.59</v>
      </c>
      <c r="F4" s="14">
        <f>'Data Sheet'!F57</f>
        <v>58.59</v>
      </c>
      <c r="G4" s="14">
        <f>'Data Sheet'!G57</f>
        <v>58.59</v>
      </c>
      <c r="H4" s="14">
        <f>'Data Sheet'!H57</f>
        <v>58.59</v>
      </c>
      <c r="I4" s="14">
        <f>'Data Sheet'!I57</f>
        <v>58.59</v>
      </c>
      <c r="J4" s="14">
        <f>'Data Sheet'!J57</f>
        <v>58.59</v>
      </c>
      <c r="K4" s="14">
        <f>'Data Sheet'!K57</f>
        <v>58.08</v>
      </c>
    </row>
    <row r="5" spans="1:11" x14ac:dyDescent="0.3">
      <c r="A5" t="s">
        <v>24</v>
      </c>
      <c r="B5" s="14">
        <f>'Data Sheet'!B58</f>
        <v>7228.78</v>
      </c>
      <c r="C5" s="14">
        <f>'Data Sheet'!C58</f>
        <v>9313.32</v>
      </c>
      <c r="D5" s="14">
        <f>'Data Sheet'!D58</f>
        <v>11621.83</v>
      </c>
      <c r="E5" s="14">
        <f>'Data Sheet'!E58</f>
        <v>13832.19</v>
      </c>
      <c r="F5" s="14">
        <f>'Data Sheet'!F58</f>
        <v>16766.080000000002</v>
      </c>
      <c r="G5" s="14">
        <f>'Data Sheet'!G58</f>
        <v>21871.279999999999</v>
      </c>
      <c r="H5" s="14">
        <f>'Data Sheet'!H58</f>
        <v>24517.39</v>
      </c>
      <c r="I5" s="14">
        <f>'Data Sheet'!I58</f>
        <v>26781.26</v>
      </c>
      <c r="J5" s="14">
        <f>'Data Sheet'!J58</f>
        <v>29784.21</v>
      </c>
      <c r="K5" s="14">
        <f>'Data Sheet'!K58</f>
        <v>32595.24</v>
      </c>
    </row>
    <row r="6" spans="1:11" x14ac:dyDescent="0.3">
      <c r="A6" t="s">
        <v>60</v>
      </c>
      <c r="B6" s="14">
        <f>'Data Sheet'!B59</f>
        <v>5041.07</v>
      </c>
      <c r="C6" s="14">
        <f>'Data Sheet'!C59</f>
        <v>3364.14</v>
      </c>
      <c r="D6" s="14">
        <f>'Data Sheet'!D59</f>
        <v>4769.93</v>
      </c>
      <c r="E6" s="14">
        <f>'Data Sheet'!E59</f>
        <v>6966.76</v>
      </c>
      <c r="F6" s="14">
        <f>'Data Sheet'!F59</f>
        <v>5826.38</v>
      </c>
      <c r="G6" s="14">
        <f>'Data Sheet'!G59</f>
        <v>5339.08</v>
      </c>
      <c r="H6" s="14">
        <f>'Data Sheet'!H59</f>
        <v>2851.27</v>
      </c>
      <c r="I6" s="14">
        <f>'Data Sheet'!I59</f>
        <v>5286.21</v>
      </c>
      <c r="J6" s="14">
        <f>'Data Sheet'!J59</f>
        <v>6647.63</v>
      </c>
      <c r="K6" s="14">
        <f>'Data Sheet'!K59</f>
        <v>8262.8700000000008</v>
      </c>
    </row>
    <row r="7" spans="1:11" x14ac:dyDescent="0.3">
      <c r="A7" t="s">
        <v>61</v>
      </c>
      <c r="B7" s="14">
        <f>'Data Sheet'!B60</f>
        <v>3567.87</v>
      </c>
      <c r="C7" s="14">
        <f>'Data Sheet'!C60</f>
        <v>3464.07</v>
      </c>
      <c r="D7" s="14">
        <f>'Data Sheet'!D60</f>
        <v>4491.8900000000003</v>
      </c>
      <c r="E7" s="14">
        <f>'Data Sheet'!E60</f>
        <v>5413.53</v>
      </c>
      <c r="F7" s="14">
        <f>'Data Sheet'!F60</f>
        <v>6113.49</v>
      </c>
      <c r="G7" s="14">
        <f>'Data Sheet'!G60</f>
        <v>6146.97</v>
      </c>
      <c r="H7" s="14">
        <f>'Data Sheet'!H60</f>
        <v>6211.11</v>
      </c>
      <c r="I7" s="14">
        <f>'Data Sheet'!I60</f>
        <v>7379.2</v>
      </c>
      <c r="J7" s="14">
        <f>'Data Sheet'!J60</f>
        <v>8226.76</v>
      </c>
      <c r="K7" s="14">
        <f>'Data Sheet'!K60</f>
        <v>8868.7800000000007</v>
      </c>
    </row>
    <row r="8" spans="1:11" s="2" customFormat="1" x14ac:dyDescent="0.3">
      <c r="A8" s="2" t="s">
        <v>25</v>
      </c>
      <c r="B8" s="15">
        <f>'Data Sheet'!B61</f>
        <v>15896.24</v>
      </c>
      <c r="C8" s="15">
        <f>'Data Sheet'!C61</f>
        <v>16200.12</v>
      </c>
      <c r="D8" s="15">
        <f>'Data Sheet'!D61</f>
        <v>20942.240000000002</v>
      </c>
      <c r="E8" s="15">
        <f>'Data Sheet'!E61</f>
        <v>26271.07</v>
      </c>
      <c r="F8" s="15">
        <f>'Data Sheet'!F61</f>
        <v>28764.54</v>
      </c>
      <c r="G8" s="15">
        <f>'Data Sheet'!G61</f>
        <v>33415.919999999998</v>
      </c>
      <c r="H8" s="15">
        <f>'Data Sheet'!H61</f>
        <v>33638.36</v>
      </c>
      <c r="I8" s="15">
        <f>'Data Sheet'!I61</f>
        <v>39505.26</v>
      </c>
      <c r="J8" s="15">
        <f>'Data Sheet'!J61</f>
        <v>44717.19</v>
      </c>
      <c r="K8" s="15">
        <f>'Data Sheet'!K61</f>
        <v>49784.97</v>
      </c>
    </row>
    <row r="9" spans="1:11" s="2" customFormat="1" x14ac:dyDescent="0.3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">
      <c r="A10" t="s">
        <v>26</v>
      </c>
      <c r="B10" s="14">
        <f>'Data Sheet'!B62</f>
        <v>4179.6899999999996</v>
      </c>
      <c r="C10" s="14">
        <f>'Data Sheet'!C62</f>
        <v>4833.78</v>
      </c>
      <c r="D10" s="14">
        <f>'Data Sheet'!D62</f>
        <v>6520.68</v>
      </c>
      <c r="E10" s="14">
        <f>'Data Sheet'!E62</f>
        <v>8474.85</v>
      </c>
      <c r="F10" s="14">
        <f>'Data Sheet'!F62</f>
        <v>9396.4699999999993</v>
      </c>
      <c r="G10" s="14">
        <f>'Data Sheet'!G62</f>
        <v>9373.58</v>
      </c>
      <c r="H10" s="14">
        <f>'Data Sheet'!H62</f>
        <v>10532.09</v>
      </c>
      <c r="I10" s="14">
        <f>'Data Sheet'!I62</f>
        <v>11023.69</v>
      </c>
      <c r="J10" s="14">
        <f>'Data Sheet'!J62</f>
        <v>14492.79</v>
      </c>
      <c r="K10" s="14">
        <f>'Data Sheet'!K62</f>
        <v>16428.150000000001</v>
      </c>
    </row>
    <row r="11" spans="1:11" x14ac:dyDescent="0.3">
      <c r="A11" t="s">
        <v>27</v>
      </c>
      <c r="B11" s="14">
        <f>'Data Sheet'!B63</f>
        <v>848.14</v>
      </c>
      <c r="C11" s="14">
        <f>'Data Sheet'!C63</f>
        <v>1458.08</v>
      </c>
      <c r="D11" s="14">
        <f>'Data Sheet'!D63</f>
        <v>1583.04</v>
      </c>
      <c r="E11" s="14">
        <f>'Data Sheet'!E63</f>
        <v>1668.46</v>
      </c>
      <c r="F11" s="14">
        <f>'Data Sheet'!F63</f>
        <v>1985.92</v>
      </c>
      <c r="G11" s="14">
        <f>'Data Sheet'!G63</f>
        <v>3061.53</v>
      </c>
      <c r="H11" s="14">
        <f>'Data Sheet'!H63</f>
        <v>3747.2</v>
      </c>
      <c r="I11" s="14">
        <f>'Data Sheet'!I63</f>
        <v>5390.01</v>
      </c>
      <c r="J11" s="14">
        <f>'Data Sheet'!J63</f>
        <v>3868.72</v>
      </c>
      <c r="K11" s="14">
        <f>'Data Sheet'!K63</f>
        <v>3266</v>
      </c>
    </row>
    <row r="12" spans="1:11" x14ac:dyDescent="0.3">
      <c r="A12" t="s">
        <v>28</v>
      </c>
      <c r="B12" s="14">
        <f>'Data Sheet'!B64</f>
        <v>122.96</v>
      </c>
      <c r="C12" s="14">
        <f>'Data Sheet'!C64</f>
        <v>245.87</v>
      </c>
      <c r="D12" s="14">
        <f>'Data Sheet'!D64</f>
        <v>311.54000000000002</v>
      </c>
      <c r="E12" s="14">
        <f>'Data Sheet'!E64</f>
        <v>360.22</v>
      </c>
      <c r="F12" s="14">
        <f>'Data Sheet'!F64</f>
        <v>554.71</v>
      </c>
      <c r="G12" s="14">
        <f>'Data Sheet'!G64</f>
        <v>591.01</v>
      </c>
      <c r="H12" s="14">
        <f>'Data Sheet'!H64</f>
        <v>997.15</v>
      </c>
      <c r="I12" s="14">
        <f>'Data Sheet'!I64</f>
        <v>542.74</v>
      </c>
      <c r="J12" s="14">
        <f>'Data Sheet'!J64</f>
        <v>372.23</v>
      </c>
      <c r="K12" s="14">
        <f>'Data Sheet'!K64</f>
        <v>251.71</v>
      </c>
    </row>
    <row r="13" spans="1:11" x14ac:dyDescent="0.3">
      <c r="A13" t="s">
        <v>62</v>
      </c>
      <c r="B13" s="14">
        <f>'Data Sheet'!B65</f>
        <v>10745.45</v>
      </c>
      <c r="C13" s="14">
        <f>'Data Sheet'!C65</f>
        <v>9662.39</v>
      </c>
      <c r="D13" s="14">
        <f>'Data Sheet'!D65</f>
        <v>12526.98</v>
      </c>
      <c r="E13" s="14">
        <f>'Data Sheet'!E65</f>
        <v>15767.54</v>
      </c>
      <c r="F13" s="14">
        <f>'Data Sheet'!F65</f>
        <v>16827.439999999999</v>
      </c>
      <c r="G13" s="14">
        <f>'Data Sheet'!G65</f>
        <v>20389.8</v>
      </c>
      <c r="H13" s="14">
        <f>'Data Sheet'!H65</f>
        <v>18361.919999999998</v>
      </c>
      <c r="I13" s="14">
        <f>'Data Sheet'!I65</f>
        <v>22548.82</v>
      </c>
      <c r="J13" s="14">
        <f>'Data Sheet'!J65</f>
        <v>25983.45</v>
      </c>
      <c r="K13" s="14">
        <f>'Data Sheet'!K65</f>
        <v>29839.11</v>
      </c>
    </row>
    <row r="14" spans="1:11" s="2" customFormat="1" x14ac:dyDescent="0.3">
      <c r="A14" s="2" t="s">
        <v>25</v>
      </c>
      <c r="B14" s="14">
        <f>'Data Sheet'!B66</f>
        <v>15896.24</v>
      </c>
      <c r="C14" s="14">
        <f>'Data Sheet'!C66</f>
        <v>16200.12</v>
      </c>
      <c r="D14" s="14">
        <f>'Data Sheet'!D66</f>
        <v>20942.240000000002</v>
      </c>
      <c r="E14" s="14">
        <f>'Data Sheet'!E66</f>
        <v>26271.07</v>
      </c>
      <c r="F14" s="14">
        <f>'Data Sheet'!F66</f>
        <v>28764.54</v>
      </c>
      <c r="G14" s="14">
        <f>'Data Sheet'!G66</f>
        <v>33415.919999999998</v>
      </c>
      <c r="H14" s="14">
        <f>'Data Sheet'!H66</f>
        <v>33638.36</v>
      </c>
      <c r="I14" s="14">
        <f>'Data Sheet'!I66</f>
        <v>39505.26</v>
      </c>
      <c r="J14" s="14">
        <f>'Data Sheet'!J66</f>
        <v>44717.19</v>
      </c>
      <c r="K14" s="14">
        <f>'Data Sheet'!K66</f>
        <v>49784.97</v>
      </c>
    </row>
    <row r="15" spans="1:11" x14ac:dyDescent="0.3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">
      <c r="A16" t="s">
        <v>29</v>
      </c>
      <c r="B16" s="4">
        <f>B13-B7</f>
        <v>7177.5800000000008</v>
      </c>
      <c r="C16" s="4">
        <f t="shared" ref="C16:K16" si="0">C13-C7</f>
        <v>6198.32</v>
      </c>
      <c r="D16" s="4">
        <f t="shared" si="0"/>
        <v>8035.0899999999992</v>
      </c>
      <c r="E16" s="4">
        <f t="shared" si="0"/>
        <v>10354.010000000002</v>
      </c>
      <c r="F16" s="4">
        <f t="shared" si="0"/>
        <v>10713.949999999999</v>
      </c>
      <c r="G16" s="4">
        <f t="shared" si="0"/>
        <v>14242.829999999998</v>
      </c>
      <c r="H16" s="4">
        <f t="shared" si="0"/>
        <v>12150.809999999998</v>
      </c>
      <c r="I16" s="4">
        <f t="shared" si="0"/>
        <v>15169.619999999999</v>
      </c>
      <c r="J16" s="4">
        <f t="shared" si="0"/>
        <v>17756.690000000002</v>
      </c>
      <c r="K16" s="4">
        <f t="shared" si="0"/>
        <v>20970.330000000002</v>
      </c>
    </row>
    <row r="17" spans="1:11" x14ac:dyDescent="0.3">
      <c r="A17" t="s">
        <v>42</v>
      </c>
      <c r="B17" s="4">
        <f>'Data Sheet'!B67</f>
        <v>4606.68</v>
      </c>
      <c r="C17" s="4">
        <f>'Data Sheet'!C67</f>
        <v>2765.33</v>
      </c>
      <c r="D17" s="4">
        <f>'Data Sheet'!D67</f>
        <v>3080.2</v>
      </c>
      <c r="E17" s="4">
        <f>'Data Sheet'!E67</f>
        <v>3413.78</v>
      </c>
      <c r="F17" s="4">
        <f>'Data Sheet'!F67</f>
        <v>4315.16</v>
      </c>
      <c r="G17" s="4">
        <f>'Data Sheet'!G67</f>
        <v>3503.28</v>
      </c>
      <c r="H17" s="4">
        <f>'Data Sheet'!H67</f>
        <v>4012.26</v>
      </c>
      <c r="I17" s="4">
        <f>'Data Sheet'!I67</f>
        <v>4466.38</v>
      </c>
      <c r="J17" s="4">
        <f>'Data Sheet'!J67</f>
        <v>4816.74</v>
      </c>
      <c r="K17" s="4">
        <f>'Data Sheet'!K67</f>
        <v>5745.93</v>
      </c>
    </row>
    <row r="18" spans="1:11" x14ac:dyDescent="0.3">
      <c r="A18" t="s">
        <v>43</v>
      </c>
      <c r="B18" s="4">
        <f>'Data Sheet'!B68</f>
        <v>4056.14</v>
      </c>
      <c r="C18" s="4">
        <f>'Data Sheet'!C68</f>
        <v>4330.54</v>
      </c>
      <c r="D18" s="4">
        <f>'Data Sheet'!D68</f>
        <v>5858.41</v>
      </c>
      <c r="E18" s="4">
        <f>'Data Sheet'!E68</f>
        <v>7245.6</v>
      </c>
      <c r="F18" s="4">
        <f>'Data Sheet'!F68</f>
        <v>7699.87</v>
      </c>
      <c r="G18" s="4">
        <f>'Data Sheet'!G68</f>
        <v>9041.18</v>
      </c>
      <c r="H18" s="4">
        <f>'Data Sheet'!H68</f>
        <v>7559.08</v>
      </c>
      <c r="I18" s="4">
        <f>'Data Sheet'!I68</f>
        <v>8516.11</v>
      </c>
      <c r="J18" s="4">
        <f>'Data Sheet'!J68</f>
        <v>9810.4699999999993</v>
      </c>
      <c r="K18" s="4">
        <f>'Data Sheet'!K68</f>
        <v>10543.72</v>
      </c>
    </row>
    <row r="20" spans="1:11" x14ac:dyDescent="0.3">
      <c r="A20" t="s">
        <v>44</v>
      </c>
      <c r="B20" s="4">
        <f>IF('Profit &amp; Loss'!B4&gt;0,'Balance Sheet'!B17/('Profit &amp; Loss'!B4/365),0)</f>
        <v>122.09408306623892</v>
      </c>
      <c r="C20" s="4">
        <f>IF('Profit &amp; Loss'!C4&gt;0,'Balance Sheet'!C17/('Profit &amp; Loss'!C4/365),0)</f>
        <v>67.697960500458095</v>
      </c>
      <c r="D20" s="4">
        <f>IF('Profit &amp; Loss'!D4&gt;0,'Balance Sheet'!D17/('Profit &amp; Loss'!D4/365),0)</f>
        <v>68.290770289551801</v>
      </c>
      <c r="E20" s="4">
        <f>IF('Profit &amp; Loss'!E4&gt;0,'Balance Sheet'!E17/('Profit &amp; Loss'!E4/365),0)</f>
        <v>63.691390366267882</v>
      </c>
      <c r="F20" s="4">
        <f>IF('Profit &amp; Loss'!F4&gt;0,'Balance Sheet'!F17/('Profit &amp; Loss'!F4/365),0)</f>
        <v>68.187662321076118</v>
      </c>
      <c r="G20" s="4">
        <f>IF('Profit &amp; Loss'!G4&gt;0,'Balance Sheet'!G17/('Profit &amp; Loss'!G4/365),0)</f>
        <v>51.613191241682017</v>
      </c>
      <c r="H20" s="4">
        <f>IF('Profit &amp; Loss'!H4&gt;0,'Balance Sheet'!H17/('Profit &amp; Loss'!H4/365),0)</f>
        <v>62.436337931972425</v>
      </c>
      <c r="I20" s="4">
        <f>IF('Profit &amp; Loss'!I4&gt;0,'Balance Sheet'!I17/('Profit &amp; Loss'!I4/365),0)</f>
        <v>65.588564729245746</v>
      </c>
      <c r="J20" s="4">
        <f>IF('Profit &amp; Loss'!J4&gt;0,'Balance Sheet'!J17/('Profit &amp; Loss'!J4/365),0)</f>
        <v>60.620577224847921</v>
      </c>
      <c r="K20" s="4">
        <f>IF('Profit &amp; Loss'!K4&gt;0,'Balance Sheet'!K17/('Profit &amp; Loss'!K4/365),0)</f>
        <v>66.110272972314419</v>
      </c>
    </row>
    <row r="21" spans="1:11" x14ac:dyDescent="0.3">
      <c r="A21" t="s">
        <v>45</v>
      </c>
      <c r="B21" s="4">
        <f>IF('Balance Sheet'!B18&gt;0,'Profit &amp; Loss'!B4/'Balance Sheet'!B18,0)</f>
        <v>3.395262490939662</v>
      </c>
      <c r="C21" s="4">
        <f>IF('Balance Sheet'!C18&gt;0,'Profit &amp; Loss'!C4/'Balance Sheet'!C18,0)</f>
        <v>3.4428824118932053</v>
      </c>
      <c r="D21" s="4">
        <f>IF('Balance Sheet'!D18&gt;0,'Profit &amp; Loss'!D4/'Balance Sheet'!D18,0)</f>
        <v>2.8101532668420268</v>
      </c>
      <c r="E21" s="4">
        <f>IF('Balance Sheet'!E18&gt;0,'Profit &amp; Loss'!E4/'Balance Sheet'!E18,0)</f>
        <v>2.7000593463619298</v>
      </c>
      <c r="F21" s="4">
        <f>IF('Balance Sheet'!F18&gt;0,'Profit &amp; Loss'!F4/'Balance Sheet'!F18,0)</f>
        <v>2.9998571404452283</v>
      </c>
      <c r="G21" s="4">
        <f>IF('Balance Sheet'!G18&gt;0,'Profit &amp; Loss'!G4/'Balance Sheet'!G18,0)</f>
        <v>2.7401976290705417</v>
      </c>
      <c r="H21" s="4">
        <f>IF('Balance Sheet'!H18&gt;0,'Profit &amp; Loss'!H4/'Balance Sheet'!H18,0)</f>
        <v>3.1029556506876501</v>
      </c>
      <c r="I21" s="4">
        <f>IF('Balance Sheet'!I18&gt;0,'Profit &amp; Loss'!I4/'Balance Sheet'!I18,0)</f>
        <v>2.9186306893640404</v>
      </c>
      <c r="J21" s="4">
        <f>IF('Balance Sheet'!J18&gt;0,'Profit &amp; Loss'!J4/'Balance Sheet'!J18,0)</f>
        <v>2.9562161649747667</v>
      </c>
      <c r="K21" s="4">
        <f>IF('Balance Sheet'!K18&gt;0,'Profit &amp; Loss'!K4/'Balance Sheet'!K18,0)</f>
        <v>3.008779633753552</v>
      </c>
    </row>
    <row r="23" spans="1:11" s="2" customFormat="1" x14ac:dyDescent="0.3">
      <c r="A23" s="2" t="s">
        <v>48</v>
      </c>
      <c r="B23" s="10">
        <f>IF(SUM('Balance Sheet'!B4:B5)&gt;0,'Profit &amp; Loss'!B12/SUM('Balance Sheet'!B4:B5),"")</f>
        <v>0.27789304680745952</v>
      </c>
      <c r="C23" s="10">
        <f>IF(SUM('Balance Sheet'!C4:C5)&gt;0,'Profit &amp; Loss'!C12/SUM('Balance Sheet'!C4:C5),"")</f>
        <v>0.24559134690794085</v>
      </c>
      <c r="D23" s="10">
        <f>IF(SUM('Balance Sheet'!D4:D5)&gt;0,'Profit &amp; Loss'!D12/SUM('Balance Sheet'!D4:D5),"")</f>
        <v>0.20745572505098275</v>
      </c>
      <c r="E23" s="10">
        <f>IF(SUM('Balance Sheet'!E4:E5)&gt;0,'Profit &amp; Loss'!E12/SUM('Balance Sheet'!E4:E5),"")</f>
        <v>0.17023738047827408</v>
      </c>
      <c r="F23" s="10">
        <f>IF(SUM('Balance Sheet'!F4:F5)&gt;0,'Profit &amp; Loss'!F12/SUM('Balance Sheet'!F4:F5),"")</f>
        <v>0.1691052484238918</v>
      </c>
      <c r="G23" s="10">
        <f>IF(SUM('Balance Sheet'!G4:G5)&gt;0,'Profit &amp; Loss'!G12/SUM('Balance Sheet'!G4:G5),"")</f>
        <v>0.24326819994828972</v>
      </c>
      <c r="H23" s="10">
        <f>IF(SUM('Balance Sheet'!H4:H5)&gt;0,'Profit &amp; Loss'!H12/SUM('Balance Sheet'!H4:H5),"")</f>
        <v>0.10775358703905195</v>
      </c>
      <c r="I23" s="10">
        <f>IF(SUM('Balance Sheet'!I4:I5)&gt;0,'Profit &amp; Loss'!I12/SUM('Balance Sheet'!I4:I5),"")</f>
        <v>7.1814857385566616E-2</v>
      </c>
      <c r="J23" s="10">
        <f>IF(SUM('Balance Sheet'!J4:J5)&gt;0,'Profit &amp; Loss'!J12/SUM('Balance Sheet'!J4:J5),"")</f>
        <v>0.1063227981288619</v>
      </c>
      <c r="K23" s="10">
        <f>IF(SUM('Balance Sheet'!K4:K5)&gt;0,'Profit &amp; Loss'!K12/SUM('Balance Sheet'!K4:K5),"")</f>
        <v>0.10675422897273538</v>
      </c>
    </row>
    <row r="24" spans="1:11" s="2" customFormat="1" x14ac:dyDescent="0.3">
      <c r="A24" s="2" t="s">
        <v>49</v>
      </c>
      <c r="B24" s="10"/>
      <c r="C24" s="10">
        <f>IF((B4+B5+B6+C4+C5+C6)&gt;0,('Profit &amp; Loss'!C10+'Profit &amp; Loss'!C9)*2/(B4+B5+B6+C4+C5+C6),"")</f>
        <v>0.24956172933584742</v>
      </c>
      <c r="D24" s="10">
        <f>IF((C4+C5+C6+D4+D5+D6)&gt;0,('Profit &amp; Loss'!D10+'Profit &amp; Loss'!D9)*2/(C4+C5+C6+D4+D5+D6),"")</f>
        <v>0.22742784310500777</v>
      </c>
      <c r="E24" s="10">
        <f>IF((D4+D5+D6+E4+E5+E6)&gt;0,('Profit &amp; Loss'!E10+'Profit &amp; Loss'!E9)*2/(D4+D5+D6+E4+E5+E6),"")</f>
        <v>0.17979842869698606</v>
      </c>
      <c r="F24" s="10">
        <f>IF((E4+E5+E6+F4+F5+F6)&gt;0,('Profit &amp; Loss'!F10+'Profit &amp; Loss'!F9)*2/(E4+E5+E6+F4+F5+F6),"")</f>
        <v>0.18608601198062266</v>
      </c>
      <c r="G24" s="10">
        <f>IF((F4+F5+F6+G4+G5+G6)&gt;0,('Profit &amp; Loss'!G10+'Profit &amp; Loss'!G9)*2/(F4+F5+F6+G4+G5+G6),"")</f>
        <v>0.29719871794871794</v>
      </c>
      <c r="H24" s="10">
        <f>IF((G4+G5+G6+H4+H5+H6)&gt;0,('Profit &amp; Loss'!H10+'Profit &amp; Loss'!H9)*2/(G4+G5+G6+H4+H5+H6),"")</f>
        <v>0.1251048518909906</v>
      </c>
      <c r="I24" s="10">
        <f>IF((H4+H5+H6+I4+I5+I6)&gt;0,('Profit &amp; Loss'!I10+'Profit &amp; Loss'!I9)*2/(H4+H5+H6+I4+I5+I6),"")</f>
        <v>9.245430690586301E-2</v>
      </c>
      <c r="J24" s="10">
        <f>IF((I4+I5+I6+J4+J5+J6)&gt;0,('Profit &amp; Loss'!J10+'Profit &amp; Loss'!J9)*2/(I4+I5+I6+J4+J5+J6),"")</f>
        <v>0.13611013912253453</v>
      </c>
      <c r="K24" s="10">
        <f>IF((J4+J5+J6+K4+K5+K6)&gt;0,('Profit &amp; Loss'!K10+'Profit &amp; Loss'!K9)*2/(J4+J5+J6+K4+K5+K6),"")</f>
        <v>0.14271466704010588</v>
      </c>
    </row>
  </sheetData>
  <printOptions gridLines="1"/>
  <pageMargins left="0.7" right="0.7" top="0.75" bottom="0.75" header="0.3" footer="0.3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I4" activePane="bottomRight" state="frozen"/>
      <selection pane="topRight" activeCell="B1" sqref="B1"/>
      <selection pane="bottomLeft" activeCell="A4" sqref="A4"/>
      <selection pane="bottomRight" activeCell="J1" sqref="J1"/>
    </sheetView>
  </sheetViews>
  <sheetFormatPr defaultColWidth="8.77734375" defaultRowHeight="14.4" x14ac:dyDescent="0.3"/>
  <cols>
    <col min="1" max="1" width="26.77734375" bestFit="1" customWidth="1"/>
    <col min="2" max="6" width="13.44140625" customWidth="1"/>
    <col min="7" max="11" width="13.44140625" bestFit="1" customWidth="1"/>
  </cols>
  <sheetData>
    <row r="1" spans="1:11" s="2" customFormat="1" x14ac:dyDescent="0.3">
      <c r="A1" s="2" t="str">
        <f>'Balance Sheet'!A1</f>
        <v>AUROBINDO PHARMA LTD</v>
      </c>
      <c r="E1" t="str">
        <f>UPDATE</f>
        <v/>
      </c>
      <c r="F1"/>
    </row>
    <row r="3" spans="1:11" s="2" customFormat="1" x14ac:dyDescent="0.3">
      <c r="A3" s="11" t="s">
        <v>1</v>
      </c>
      <c r="B3" s="12">
        <f>'Data Sheet'!B81</f>
        <v>42460</v>
      </c>
      <c r="C3" s="12">
        <f>'Data Sheet'!C81</f>
        <v>42825</v>
      </c>
      <c r="D3" s="12">
        <f>'Data Sheet'!D81</f>
        <v>43190</v>
      </c>
      <c r="E3" s="12">
        <f>'Data Sheet'!E81</f>
        <v>43555</v>
      </c>
      <c r="F3" s="12">
        <f>'Data Sheet'!F81</f>
        <v>43921</v>
      </c>
      <c r="G3" s="12">
        <f>'Data Sheet'!G81</f>
        <v>44286</v>
      </c>
      <c r="H3" s="12">
        <f>'Data Sheet'!H81</f>
        <v>44651</v>
      </c>
      <c r="I3" s="12">
        <f>'Data Sheet'!I81</f>
        <v>45016</v>
      </c>
      <c r="J3" s="12">
        <f>'Data Sheet'!J81</f>
        <v>45382</v>
      </c>
      <c r="K3" s="12">
        <f>'Data Sheet'!K81</f>
        <v>45747</v>
      </c>
    </row>
    <row r="4" spans="1:11" s="2" customFormat="1" x14ac:dyDescent="0.3">
      <c r="A4" s="2" t="s">
        <v>31</v>
      </c>
      <c r="B4" s="1">
        <f>'Data Sheet'!B82</f>
        <v>1419.76</v>
      </c>
      <c r="C4" s="1">
        <f>'Data Sheet'!C82</f>
        <v>3278.58</v>
      </c>
      <c r="D4" s="1">
        <f>'Data Sheet'!D82</f>
        <v>1954.52</v>
      </c>
      <c r="E4" s="1">
        <f>'Data Sheet'!E82</f>
        <v>1650.97</v>
      </c>
      <c r="F4" s="1">
        <f>'Data Sheet'!F82</f>
        <v>4381.28</v>
      </c>
      <c r="G4" s="1">
        <f>'Data Sheet'!G82</f>
        <v>3329.05</v>
      </c>
      <c r="H4" s="1">
        <f>'Data Sheet'!H82</f>
        <v>5016.4799999999996</v>
      </c>
      <c r="I4" s="1">
        <f>'Data Sheet'!I82</f>
        <v>2386.75</v>
      </c>
      <c r="J4" s="1">
        <f>'Data Sheet'!J82</f>
        <v>2434.52</v>
      </c>
      <c r="K4" s="1">
        <f>'Data Sheet'!K82</f>
        <v>3924.62</v>
      </c>
    </row>
    <row r="5" spans="1:11" x14ac:dyDescent="0.3">
      <c r="A5" t="s">
        <v>32</v>
      </c>
      <c r="B5" s="6">
        <f>'Data Sheet'!B83</f>
        <v>-1445.51</v>
      </c>
      <c r="C5" s="6">
        <f>'Data Sheet'!C83</f>
        <v>-1787.18</v>
      </c>
      <c r="D5" s="6">
        <f>'Data Sheet'!D83</f>
        <v>-1926.76</v>
      </c>
      <c r="E5" s="6">
        <f>'Data Sheet'!E83</f>
        <v>-2904.39</v>
      </c>
      <c r="F5" s="6">
        <f>'Data Sheet'!F83</f>
        <v>-1562.86</v>
      </c>
      <c r="G5" s="6">
        <f>'Data Sheet'!G83</f>
        <v>596.57000000000005</v>
      </c>
      <c r="H5" s="6">
        <f>'Data Sheet'!H83</f>
        <v>-3211.36</v>
      </c>
      <c r="I5" s="6">
        <f>'Data Sheet'!I83</f>
        <v>-3971.4</v>
      </c>
      <c r="J5" s="6">
        <f>'Data Sheet'!J83</f>
        <v>-4241.78</v>
      </c>
      <c r="K5" s="6">
        <f>'Data Sheet'!K83</f>
        <v>-1875.8</v>
      </c>
    </row>
    <row r="6" spans="1:11" x14ac:dyDescent="0.3">
      <c r="A6" t="s">
        <v>33</v>
      </c>
      <c r="B6" s="6">
        <f>'Data Sheet'!B84</f>
        <v>365.44</v>
      </c>
      <c r="C6" s="6">
        <f>'Data Sheet'!C84</f>
        <v>-1915.26</v>
      </c>
      <c r="D6" s="6">
        <f>'Data Sheet'!D84</f>
        <v>864.15</v>
      </c>
      <c r="E6" s="6">
        <f>'Data Sheet'!E84</f>
        <v>1919.06</v>
      </c>
      <c r="F6" s="6">
        <f>'Data Sheet'!F84</f>
        <v>-1947.18</v>
      </c>
      <c r="G6" s="6">
        <f>'Data Sheet'!G84</f>
        <v>-1364.94</v>
      </c>
      <c r="H6" s="6">
        <f>'Data Sheet'!H84</f>
        <v>-2969.27</v>
      </c>
      <c r="I6" s="6">
        <f>'Data Sheet'!I84</f>
        <v>1814.41</v>
      </c>
      <c r="J6" s="6">
        <f>'Data Sheet'!J84</f>
        <v>800.42</v>
      </c>
      <c r="K6" s="6">
        <f>'Data Sheet'!K84</f>
        <v>119.78</v>
      </c>
    </row>
    <row r="7" spans="1:11" s="2" customFormat="1" x14ac:dyDescent="0.3">
      <c r="A7" s="2" t="s">
        <v>34</v>
      </c>
      <c r="B7" s="1">
        <f>'Data Sheet'!B85</f>
        <v>339.69</v>
      </c>
      <c r="C7" s="1">
        <f>'Data Sheet'!C85</f>
        <v>-423.86</v>
      </c>
      <c r="D7" s="1">
        <f>'Data Sheet'!D85</f>
        <v>891.91</v>
      </c>
      <c r="E7" s="1">
        <f>'Data Sheet'!E85</f>
        <v>665.64</v>
      </c>
      <c r="F7" s="1">
        <f>'Data Sheet'!F85</f>
        <v>871.24</v>
      </c>
      <c r="G7" s="1">
        <f>'Data Sheet'!G85</f>
        <v>2560.6799999999998</v>
      </c>
      <c r="H7" s="1">
        <f>'Data Sheet'!H85</f>
        <v>-1164.1500000000001</v>
      </c>
      <c r="I7" s="1">
        <f>'Data Sheet'!I85</f>
        <v>229.76</v>
      </c>
      <c r="J7" s="1">
        <f>'Data Sheet'!J85</f>
        <v>-1006.84</v>
      </c>
      <c r="K7" s="1">
        <f>'Data Sheet'!K85</f>
        <v>2168.6</v>
      </c>
    </row>
    <row r="8" spans="1:11" x14ac:dyDescent="0.3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3"/>
  </sheetData>
  <printOptions gridLines="1"/>
  <pageMargins left="0.7" right="0.7" top="0.75" bottom="0.75" header="0.3" footer="0.3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4EC9A-065C-4DBF-A3E5-1CB27830FF6B}">
  <sheetPr>
    <tabColor rgb="FF002060"/>
  </sheetPr>
  <dimension ref="A1"/>
  <sheetViews>
    <sheetView workbookViewId="0">
      <selection activeCell="B18" sqref="B18"/>
    </sheetView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-0.249977111117893"/>
  </sheetPr>
  <dimension ref="A1:K93"/>
  <sheetViews>
    <sheetView zoomScale="120" zoomScaleNormal="120" zoomScalePageLayoutView="120"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E2" sqref="E2:K2"/>
    </sheetView>
  </sheetViews>
  <sheetFormatPr defaultColWidth="8.77734375" defaultRowHeight="14.4" x14ac:dyDescent="0.3"/>
  <cols>
    <col min="1" max="1" width="27.6640625" style="4" bestFit="1" customWidth="1"/>
    <col min="2" max="11" width="13.44140625" style="4" bestFit="1" customWidth="1"/>
    <col min="12" max="16384" width="8.77734375" style="4"/>
  </cols>
  <sheetData>
    <row r="1" spans="1:11" s="1" customFormat="1" x14ac:dyDescent="0.3">
      <c r="A1" s="1" t="s">
        <v>0</v>
      </c>
      <c r="B1" s="1" t="s">
        <v>52</v>
      </c>
      <c r="E1" s="41" t="str">
        <f>IF(B2&lt;&gt;B3, "A NEW VERSION OF THE WORKSHEET IS AVAILABLE", "")</f>
        <v/>
      </c>
      <c r="F1" s="41"/>
      <c r="G1" s="41"/>
      <c r="H1" s="41"/>
      <c r="I1" s="41"/>
      <c r="J1" s="41"/>
      <c r="K1" s="41"/>
    </row>
    <row r="2" spans="1:11" x14ac:dyDescent="0.3">
      <c r="A2" s="1" t="s">
        <v>50</v>
      </c>
      <c r="B2" s="4">
        <v>2.1</v>
      </c>
      <c r="E2" s="78"/>
      <c r="F2" s="78"/>
      <c r="G2" s="78"/>
      <c r="H2" s="78"/>
      <c r="I2" s="78"/>
      <c r="J2" s="78"/>
      <c r="K2" s="78"/>
    </row>
    <row r="3" spans="1:11" x14ac:dyDescent="0.3">
      <c r="A3" s="1" t="s">
        <v>51</v>
      </c>
      <c r="B3" s="4">
        <v>2.1</v>
      </c>
    </row>
    <row r="4" spans="1:11" x14ac:dyDescent="0.3">
      <c r="A4" s="1"/>
    </row>
    <row r="5" spans="1:11" x14ac:dyDescent="0.3">
      <c r="A5" s="1" t="s">
        <v>53</v>
      </c>
    </row>
    <row r="6" spans="1:11" x14ac:dyDescent="0.3">
      <c r="A6" s="4" t="s">
        <v>40</v>
      </c>
      <c r="B6" s="4">
        <f>IF(B9&gt;0, B9/B8, 0)</f>
        <v>58.593863206271962</v>
      </c>
    </row>
    <row r="7" spans="1:11" x14ac:dyDescent="0.3">
      <c r="A7" s="4" t="s">
        <v>30</v>
      </c>
      <c r="B7">
        <v>1</v>
      </c>
    </row>
    <row r="8" spans="1:11" x14ac:dyDescent="0.3">
      <c r="A8" s="4" t="s">
        <v>41</v>
      </c>
      <c r="B8">
        <v>1109.7</v>
      </c>
    </row>
    <row r="9" spans="1:11" x14ac:dyDescent="0.3">
      <c r="A9" s="4" t="s">
        <v>68</v>
      </c>
      <c r="B9">
        <v>65021.61</v>
      </c>
    </row>
    <row r="15" spans="1:11" x14ac:dyDescent="0.3">
      <c r="A15" s="1" t="s">
        <v>35</v>
      </c>
    </row>
    <row r="16" spans="1:11" s="18" customFormat="1" x14ac:dyDescent="0.3">
      <c r="A16" s="17" t="s">
        <v>36</v>
      </c>
      <c r="B16" s="12">
        <v>42460</v>
      </c>
      <c r="C16" s="12">
        <v>42825</v>
      </c>
      <c r="D16" s="12">
        <v>43190</v>
      </c>
      <c r="E16" s="12">
        <v>43555</v>
      </c>
      <c r="F16" s="12">
        <v>43921</v>
      </c>
      <c r="G16" s="12">
        <v>44286</v>
      </c>
      <c r="H16" s="12">
        <v>44651</v>
      </c>
      <c r="I16" s="12">
        <v>45016</v>
      </c>
      <c r="J16" s="12">
        <v>45382</v>
      </c>
      <c r="K16" s="12">
        <v>45747</v>
      </c>
    </row>
    <row r="17" spans="1:11" s="6" customFormat="1" x14ac:dyDescent="0.3">
      <c r="A17" s="6" t="s">
        <v>5</v>
      </c>
      <c r="B17">
        <v>13771.66</v>
      </c>
      <c r="C17">
        <v>14909.54</v>
      </c>
      <c r="D17">
        <v>16463.03</v>
      </c>
      <c r="E17">
        <v>19563.55</v>
      </c>
      <c r="F17">
        <v>23098.51</v>
      </c>
      <c r="G17">
        <v>24774.62</v>
      </c>
      <c r="H17">
        <v>23455.49</v>
      </c>
      <c r="I17">
        <v>24855.38</v>
      </c>
      <c r="J17">
        <v>29001.87</v>
      </c>
      <c r="K17">
        <v>31723.73</v>
      </c>
    </row>
    <row r="18" spans="1:11" s="6" customFormat="1" x14ac:dyDescent="0.3">
      <c r="A18" s="4" t="s">
        <v>69</v>
      </c>
      <c r="B18">
        <v>6254.98</v>
      </c>
      <c r="C18">
        <v>6743.46</v>
      </c>
      <c r="D18">
        <v>7235.26</v>
      </c>
      <c r="E18">
        <v>9388.19</v>
      </c>
      <c r="F18">
        <v>9837.09</v>
      </c>
      <c r="G18">
        <v>10632.68</v>
      </c>
      <c r="H18">
        <v>9323.6</v>
      </c>
      <c r="I18">
        <v>11702.94</v>
      </c>
      <c r="J18">
        <v>13549.07</v>
      </c>
      <c r="K18">
        <v>13623.87</v>
      </c>
    </row>
    <row r="19" spans="1:11" s="6" customFormat="1" x14ac:dyDescent="0.3">
      <c r="A19" s="4" t="s">
        <v>70</v>
      </c>
      <c r="B19">
        <v>92.88</v>
      </c>
      <c r="C19">
        <v>309.2</v>
      </c>
      <c r="D19">
        <v>482.52</v>
      </c>
      <c r="E19">
        <v>675.55</v>
      </c>
      <c r="F19">
        <v>101.86</v>
      </c>
      <c r="G19">
        <v>730.21</v>
      </c>
      <c r="H19">
        <v>-816.68</v>
      </c>
      <c r="I19">
        <v>409.68</v>
      </c>
      <c r="J19">
        <v>946.17</v>
      </c>
      <c r="K19">
        <v>597.63</v>
      </c>
    </row>
    <row r="20" spans="1:11" s="6" customFormat="1" x14ac:dyDescent="0.3">
      <c r="A20" s="4" t="s">
        <v>71</v>
      </c>
      <c r="B20">
        <v>419.26</v>
      </c>
      <c r="C20">
        <v>437.14</v>
      </c>
      <c r="D20">
        <v>470.95</v>
      </c>
      <c r="E20">
        <v>556.79</v>
      </c>
      <c r="F20">
        <v>587.67999999999995</v>
      </c>
      <c r="G20">
        <v>589.28</v>
      </c>
      <c r="H20">
        <v>626.86</v>
      </c>
      <c r="I20">
        <v>842.63</v>
      </c>
      <c r="J20">
        <v>826.03</v>
      </c>
      <c r="K20"/>
    </row>
    <row r="21" spans="1:11" s="6" customFormat="1" x14ac:dyDescent="0.3">
      <c r="A21" s="4" t="s">
        <v>72</v>
      </c>
      <c r="B21">
        <v>590.05999999999995</v>
      </c>
      <c r="C21">
        <v>644.5</v>
      </c>
      <c r="D21">
        <v>745.63</v>
      </c>
      <c r="E21">
        <v>953.52</v>
      </c>
      <c r="F21">
        <v>964.51</v>
      </c>
      <c r="G21">
        <v>1109.5899999999999</v>
      </c>
      <c r="H21">
        <v>1058.4000000000001</v>
      </c>
      <c r="I21">
        <v>1026.82</v>
      </c>
      <c r="J21">
        <v>1142.43</v>
      </c>
      <c r="K21"/>
    </row>
    <row r="22" spans="1:11" s="6" customFormat="1" x14ac:dyDescent="0.3">
      <c r="A22" s="4" t="s">
        <v>73</v>
      </c>
      <c r="B22">
        <v>1542.89</v>
      </c>
      <c r="C22">
        <v>1767.95</v>
      </c>
      <c r="D22">
        <v>2131.19</v>
      </c>
      <c r="E22">
        <v>2585.31</v>
      </c>
      <c r="F22">
        <v>3219.55</v>
      </c>
      <c r="G22">
        <v>3536.16</v>
      </c>
      <c r="H22">
        <v>3452.1</v>
      </c>
      <c r="I22">
        <v>3523.26</v>
      </c>
      <c r="J22">
        <v>3924.85</v>
      </c>
      <c r="K22">
        <v>4475.62</v>
      </c>
    </row>
    <row r="23" spans="1:11" s="6" customFormat="1" x14ac:dyDescent="0.3">
      <c r="A23" s="4" t="s">
        <v>74</v>
      </c>
      <c r="B23">
        <v>1684.62</v>
      </c>
      <c r="C23">
        <v>1969.15</v>
      </c>
      <c r="D23">
        <v>2270.1</v>
      </c>
      <c r="E23">
        <v>2363.4899999999998</v>
      </c>
      <c r="F23">
        <v>3161.83</v>
      </c>
      <c r="G23">
        <v>3637.28</v>
      </c>
      <c r="H23">
        <v>3331.1</v>
      </c>
      <c r="I23">
        <v>3704.31</v>
      </c>
      <c r="J23">
        <v>3971.62</v>
      </c>
      <c r="K23"/>
    </row>
    <row r="24" spans="1:11" s="6" customFormat="1" x14ac:dyDescent="0.3">
      <c r="A24" s="4" t="s">
        <v>75</v>
      </c>
      <c r="B24">
        <v>179.61</v>
      </c>
      <c r="C24">
        <v>215.99</v>
      </c>
      <c r="D24">
        <v>320.67</v>
      </c>
      <c r="E24">
        <v>439.86</v>
      </c>
      <c r="F24">
        <v>580.57000000000005</v>
      </c>
      <c r="G24">
        <v>721.8</v>
      </c>
      <c r="H24">
        <v>451.21</v>
      </c>
      <c r="I24">
        <v>758.13</v>
      </c>
      <c r="J24">
        <v>708.2</v>
      </c>
      <c r="K24">
        <v>7670.77</v>
      </c>
    </row>
    <row r="25" spans="1:11" s="6" customFormat="1" x14ac:dyDescent="0.3">
      <c r="A25" s="6" t="s">
        <v>8</v>
      </c>
      <c r="B25">
        <v>200.25</v>
      </c>
      <c r="C25">
        <v>114.64</v>
      </c>
      <c r="D25">
        <v>105.12</v>
      </c>
      <c r="E25">
        <v>69.959999999999994</v>
      </c>
      <c r="F25">
        <v>165.74</v>
      </c>
      <c r="G25">
        <v>3195.43</v>
      </c>
      <c r="H25">
        <v>152.36000000000001</v>
      </c>
      <c r="I25">
        <v>290.58999999999997</v>
      </c>
      <c r="J25">
        <v>365.52</v>
      </c>
      <c r="K25">
        <v>621.85</v>
      </c>
    </row>
    <row r="26" spans="1:11" s="6" customFormat="1" x14ac:dyDescent="0.3">
      <c r="A26" s="6" t="s">
        <v>9</v>
      </c>
      <c r="B26">
        <v>392.37</v>
      </c>
      <c r="C26">
        <v>427.63</v>
      </c>
      <c r="D26">
        <v>557.97</v>
      </c>
      <c r="E26">
        <v>667.95</v>
      </c>
      <c r="F26">
        <v>966.71</v>
      </c>
      <c r="G26">
        <v>1055.3900000000001</v>
      </c>
      <c r="H26">
        <v>1126.52</v>
      </c>
      <c r="I26">
        <v>1244.58</v>
      </c>
      <c r="J26">
        <v>1521.66</v>
      </c>
      <c r="K26">
        <v>1649.42</v>
      </c>
    </row>
    <row r="27" spans="1:11" s="6" customFormat="1" x14ac:dyDescent="0.3">
      <c r="A27" s="6" t="s">
        <v>10</v>
      </c>
      <c r="B27">
        <v>256.7</v>
      </c>
      <c r="C27">
        <v>66.72</v>
      </c>
      <c r="D27">
        <v>77.72</v>
      </c>
      <c r="E27">
        <v>262.60000000000002</v>
      </c>
      <c r="F27">
        <v>305.13</v>
      </c>
      <c r="G27">
        <v>74.489999999999995</v>
      </c>
      <c r="H27">
        <v>48.64</v>
      </c>
      <c r="I27">
        <v>140.47999999999999</v>
      </c>
      <c r="J27">
        <v>289.70999999999998</v>
      </c>
      <c r="K27">
        <v>457.24</v>
      </c>
    </row>
    <row r="28" spans="1:11" s="6" customFormat="1" x14ac:dyDescent="0.3">
      <c r="A28" s="6" t="s">
        <v>11</v>
      </c>
      <c r="B28">
        <v>2744.3</v>
      </c>
      <c r="C28">
        <v>3060.84</v>
      </c>
      <c r="D28">
        <v>3241.18</v>
      </c>
      <c r="E28">
        <v>3091.35</v>
      </c>
      <c r="F28">
        <v>3743.04</v>
      </c>
      <c r="G28">
        <v>7343.59</v>
      </c>
      <c r="H28">
        <v>3372.74</v>
      </c>
      <c r="I28">
        <v>2612.5</v>
      </c>
      <c r="J28">
        <v>4379.99</v>
      </c>
      <c r="K28">
        <v>5066.29</v>
      </c>
    </row>
    <row r="29" spans="1:11" s="6" customFormat="1" x14ac:dyDescent="0.3">
      <c r="A29" s="6" t="s">
        <v>12</v>
      </c>
      <c r="B29">
        <v>720.71</v>
      </c>
      <c r="C29">
        <v>759.65</v>
      </c>
      <c r="D29">
        <v>818.27</v>
      </c>
      <c r="E29">
        <v>726.85</v>
      </c>
      <c r="F29">
        <v>899.35</v>
      </c>
      <c r="G29">
        <v>2009.77</v>
      </c>
      <c r="H29">
        <v>725.63</v>
      </c>
      <c r="I29">
        <v>684.85</v>
      </c>
      <c r="J29">
        <v>1211.02</v>
      </c>
      <c r="K29">
        <v>1582.72</v>
      </c>
    </row>
    <row r="30" spans="1:11" s="6" customFormat="1" x14ac:dyDescent="0.3">
      <c r="A30" s="6" t="s">
        <v>13</v>
      </c>
      <c r="B30">
        <v>2025.09</v>
      </c>
      <c r="C30">
        <v>2301.66</v>
      </c>
      <c r="D30">
        <v>2423.17</v>
      </c>
      <c r="E30">
        <v>2364.73</v>
      </c>
      <c r="F30">
        <v>2845.14</v>
      </c>
      <c r="G30">
        <v>5334.84</v>
      </c>
      <c r="H30">
        <v>2648.15</v>
      </c>
      <c r="I30">
        <v>1927.5</v>
      </c>
      <c r="J30">
        <v>3172.97</v>
      </c>
      <c r="K30">
        <v>3485.88</v>
      </c>
    </row>
    <row r="31" spans="1:11" s="6" customFormat="1" x14ac:dyDescent="0.3">
      <c r="A31" s="6" t="s">
        <v>59</v>
      </c>
      <c r="B31">
        <v>146.30000000000001</v>
      </c>
      <c r="C31">
        <v>146.47999999999999</v>
      </c>
      <c r="D31">
        <v>146.47999999999999</v>
      </c>
      <c r="E31">
        <v>146.47999999999999</v>
      </c>
      <c r="F31">
        <v>175.77</v>
      </c>
      <c r="G31">
        <v>234.36</v>
      </c>
      <c r="H31">
        <v>527.30999999999995</v>
      </c>
      <c r="I31">
        <v>439.42</v>
      </c>
      <c r="J31">
        <v>263.66000000000003</v>
      </c>
      <c r="K31"/>
    </row>
    <row r="32" spans="1:11" s="6" customFormat="1" x14ac:dyDescent="0.3"/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37</v>
      </c>
    </row>
    <row r="41" spans="1:11" s="18" customFormat="1" x14ac:dyDescent="0.3">
      <c r="A41" s="17" t="s">
        <v>36</v>
      </c>
      <c r="B41" s="12">
        <v>44926</v>
      </c>
      <c r="C41" s="12">
        <v>45016</v>
      </c>
      <c r="D41" s="12">
        <v>45107</v>
      </c>
      <c r="E41" s="12">
        <v>45199</v>
      </c>
      <c r="F41" s="12">
        <v>45291</v>
      </c>
      <c r="G41" s="12">
        <v>45382</v>
      </c>
      <c r="H41" s="12">
        <v>45473</v>
      </c>
      <c r="I41" s="12">
        <v>45565</v>
      </c>
      <c r="J41" s="12">
        <v>45657</v>
      </c>
      <c r="K41" s="12">
        <v>45747</v>
      </c>
    </row>
    <row r="42" spans="1:11" s="6" customFormat="1" x14ac:dyDescent="0.3">
      <c r="A42" s="6" t="s">
        <v>5</v>
      </c>
      <c r="B42">
        <v>6407.13</v>
      </c>
      <c r="C42">
        <v>6472.96</v>
      </c>
      <c r="D42">
        <v>6850.52</v>
      </c>
      <c r="E42">
        <v>7219.42</v>
      </c>
      <c r="F42">
        <v>7351.78</v>
      </c>
      <c r="G42">
        <v>7580.15</v>
      </c>
      <c r="H42">
        <v>7567.02</v>
      </c>
      <c r="I42">
        <v>7796.07</v>
      </c>
      <c r="J42">
        <v>7978.52</v>
      </c>
      <c r="K42">
        <v>8382.1200000000008</v>
      </c>
    </row>
    <row r="43" spans="1:11" s="6" customFormat="1" x14ac:dyDescent="0.3">
      <c r="A43" s="6" t="s">
        <v>6</v>
      </c>
      <c r="B43">
        <v>5453.31</v>
      </c>
      <c r="C43">
        <v>5476.64</v>
      </c>
      <c r="D43">
        <v>5701.96</v>
      </c>
      <c r="E43">
        <v>5845.98</v>
      </c>
      <c r="F43">
        <v>5753.06</v>
      </c>
      <c r="G43">
        <v>5920</v>
      </c>
      <c r="H43">
        <v>5948.84</v>
      </c>
      <c r="I43">
        <v>6229.93</v>
      </c>
      <c r="J43">
        <v>6400.54</v>
      </c>
      <c r="K43">
        <v>6622.39</v>
      </c>
    </row>
    <row r="44" spans="1:11" s="6" customFormat="1" x14ac:dyDescent="0.3">
      <c r="A44" s="6" t="s">
        <v>8</v>
      </c>
      <c r="B44">
        <v>92.65</v>
      </c>
      <c r="C44">
        <v>134.91</v>
      </c>
      <c r="D44">
        <v>46.58</v>
      </c>
      <c r="E44">
        <v>187.88</v>
      </c>
      <c r="F44">
        <v>162.52000000000001</v>
      </c>
      <c r="G44">
        <v>13.51</v>
      </c>
      <c r="H44">
        <v>220.93</v>
      </c>
      <c r="I44">
        <v>136.30000000000001</v>
      </c>
      <c r="J44">
        <v>158.88</v>
      </c>
      <c r="K44">
        <v>134.81</v>
      </c>
    </row>
    <row r="45" spans="1:11" s="6" customFormat="1" x14ac:dyDescent="0.3">
      <c r="A45" s="6" t="s">
        <v>9</v>
      </c>
      <c r="B45">
        <v>321.39999999999998</v>
      </c>
      <c r="C45">
        <v>345.57</v>
      </c>
      <c r="D45">
        <v>326.56</v>
      </c>
      <c r="E45">
        <v>417.5</v>
      </c>
      <c r="F45">
        <v>423.27</v>
      </c>
      <c r="G45">
        <v>354.33</v>
      </c>
      <c r="H45">
        <v>404.18</v>
      </c>
      <c r="I45">
        <v>382.28</v>
      </c>
      <c r="J45">
        <v>418.53</v>
      </c>
      <c r="K45">
        <v>444.43</v>
      </c>
    </row>
    <row r="46" spans="1:11" s="6" customFormat="1" x14ac:dyDescent="0.3">
      <c r="A46" s="6" t="s">
        <v>10</v>
      </c>
      <c r="B46">
        <v>44.96</v>
      </c>
      <c r="C46">
        <v>55.6</v>
      </c>
      <c r="D46">
        <v>56.55</v>
      </c>
      <c r="E46">
        <v>68.180000000000007</v>
      </c>
      <c r="F46">
        <v>75.55</v>
      </c>
      <c r="G46">
        <v>89.43</v>
      </c>
      <c r="H46">
        <v>111.04</v>
      </c>
      <c r="I46">
        <v>112.7</v>
      </c>
      <c r="J46">
        <v>118.48</v>
      </c>
      <c r="K46">
        <v>115.02</v>
      </c>
    </row>
    <row r="47" spans="1:11" s="6" customFormat="1" x14ac:dyDescent="0.3">
      <c r="A47" s="6" t="s">
        <v>11</v>
      </c>
      <c r="B47">
        <v>680.11</v>
      </c>
      <c r="C47">
        <v>730.06</v>
      </c>
      <c r="D47">
        <v>812.03</v>
      </c>
      <c r="E47">
        <v>1075.6400000000001</v>
      </c>
      <c r="F47">
        <v>1262.42</v>
      </c>
      <c r="G47">
        <v>1229.9000000000001</v>
      </c>
      <c r="H47">
        <v>1323.89</v>
      </c>
      <c r="I47">
        <v>1207.46</v>
      </c>
      <c r="J47">
        <v>1199.8499999999999</v>
      </c>
      <c r="K47">
        <v>1335.09</v>
      </c>
    </row>
    <row r="48" spans="1:11" s="6" customFormat="1" x14ac:dyDescent="0.3">
      <c r="A48" s="6" t="s">
        <v>12</v>
      </c>
      <c r="B48">
        <v>189.1</v>
      </c>
      <c r="C48">
        <v>224.15</v>
      </c>
      <c r="D48">
        <v>242.32</v>
      </c>
      <c r="E48">
        <v>323.7</v>
      </c>
      <c r="F48">
        <v>322.45</v>
      </c>
      <c r="G48">
        <v>322.55</v>
      </c>
      <c r="H48">
        <v>405.67</v>
      </c>
      <c r="I48">
        <v>390.51</v>
      </c>
      <c r="J48">
        <v>354.28</v>
      </c>
      <c r="K48">
        <v>432.26</v>
      </c>
    </row>
    <row r="49" spans="1:11" s="6" customFormat="1" x14ac:dyDescent="0.3">
      <c r="A49" s="6" t="s">
        <v>13</v>
      </c>
      <c r="B49">
        <v>491.26</v>
      </c>
      <c r="C49">
        <v>506.27</v>
      </c>
      <c r="D49">
        <v>570.75</v>
      </c>
      <c r="E49">
        <v>757.18</v>
      </c>
      <c r="F49">
        <v>936.29</v>
      </c>
      <c r="G49">
        <v>908.75</v>
      </c>
      <c r="H49">
        <v>919.22</v>
      </c>
      <c r="I49">
        <v>817.38</v>
      </c>
      <c r="J49">
        <v>845.81</v>
      </c>
      <c r="K49">
        <v>903.47</v>
      </c>
    </row>
    <row r="50" spans="1:11" x14ac:dyDescent="0.3">
      <c r="A50" s="6" t="s">
        <v>7</v>
      </c>
      <c r="B50">
        <v>953.82</v>
      </c>
      <c r="C50">
        <v>996.32</v>
      </c>
      <c r="D50">
        <v>1148.56</v>
      </c>
      <c r="E50">
        <v>1373.44</v>
      </c>
      <c r="F50">
        <v>1598.72</v>
      </c>
      <c r="G50">
        <v>1660.15</v>
      </c>
      <c r="H50">
        <v>1618.18</v>
      </c>
      <c r="I50">
        <v>1566.14</v>
      </c>
      <c r="J50">
        <v>1577.98</v>
      </c>
      <c r="K50">
        <v>1759.73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38</v>
      </c>
    </row>
    <row r="56" spans="1:11" s="18" customFormat="1" x14ac:dyDescent="0.3">
      <c r="A56" s="17" t="s">
        <v>36</v>
      </c>
      <c r="B56" s="12">
        <v>42460</v>
      </c>
      <c r="C56" s="12">
        <v>42825</v>
      </c>
      <c r="D56" s="12">
        <v>43190</v>
      </c>
      <c r="E56" s="12">
        <v>43555</v>
      </c>
      <c r="F56" s="12">
        <v>43921</v>
      </c>
      <c r="G56" s="12">
        <v>44286</v>
      </c>
      <c r="H56" s="12">
        <v>44651</v>
      </c>
      <c r="I56" s="12">
        <v>45016</v>
      </c>
      <c r="J56" s="12">
        <v>45382</v>
      </c>
      <c r="K56" s="12">
        <v>45747</v>
      </c>
    </row>
    <row r="57" spans="1:11" x14ac:dyDescent="0.3">
      <c r="A57" s="6" t="s">
        <v>23</v>
      </c>
      <c r="B57">
        <v>58.52</v>
      </c>
      <c r="C57">
        <v>58.59</v>
      </c>
      <c r="D57">
        <v>58.59</v>
      </c>
      <c r="E57">
        <v>58.59</v>
      </c>
      <c r="F57">
        <v>58.59</v>
      </c>
      <c r="G57">
        <v>58.59</v>
      </c>
      <c r="H57">
        <v>58.59</v>
      </c>
      <c r="I57">
        <v>58.59</v>
      </c>
      <c r="J57">
        <v>58.59</v>
      </c>
      <c r="K57">
        <v>58.08</v>
      </c>
    </row>
    <row r="58" spans="1:11" x14ac:dyDescent="0.3">
      <c r="A58" s="6" t="s">
        <v>24</v>
      </c>
      <c r="B58">
        <v>7228.78</v>
      </c>
      <c r="C58">
        <v>9313.32</v>
      </c>
      <c r="D58">
        <v>11621.83</v>
      </c>
      <c r="E58">
        <v>13832.19</v>
      </c>
      <c r="F58">
        <v>16766.080000000002</v>
      </c>
      <c r="G58">
        <v>21871.279999999999</v>
      </c>
      <c r="H58">
        <v>24517.39</v>
      </c>
      <c r="I58">
        <v>26781.26</v>
      </c>
      <c r="J58">
        <v>29784.21</v>
      </c>
      <c r="K58">
        <v>32595.24</v>
      </c>
    </row>
    <row r="59" spans="1:11" x14ac:dyDescent="0.3">
      <c r="A59" s="6" t="s">
        <v>60</v>
      </c>
      <c r="B59">
        <v>5041.07</v>
      </c>
      <c r="C59">
        <v>3364.14</v>
      </c>
      <c r="D59">
        <v>4769.93</v>
      </c>
      <c r="E59">
        <v>6966.76</v>
      </c>
      <c r="F59">
        <v>5826.38</v>
      </c>
      <c r="G59">
        <v>5339.08</v>
      </c>
      <c r="H59">
        <v>2851.27</v>
      </c>
      <c r="I59">
        <v>5286.21</v>
      </c>
      <c r="J59">
        <v>6647.63</v>
      </c>
      <c r="K59">
        <v>8262.8700000000008</v>
      </c>
    </row>
    <row r="60" spans="1:11" x14ac:dyDescent="0.3">
      <c r="A60" s="6" t="s">
        <v>61</v>
      </c>
      <c r="B60">
        <v>3567.87</v>
      </c>
      <c r="C60">
        <v>3464.07</v>
      </c>
      <c r="D60">
        <v>4491.8900000000003</v>
      </c>
      <c r="E60">
        <v>5413.53</v>
      </c>
      <c r="F60">
        <v>6113.49</v>
      </c>
      <c r="G60">
        <v>6146.97</v>
      </c>
      <c r="H60">
        <v>6211.11</v>
      </c>
      <c r="I60">
        <v>7379.2</v>
      </c>
      <c r="J60">
        <v>8226.76</v>
      </c>
      <c r="K60">
        <v>8868.7800000000007</v>
      </c>
    </row>
    <row r="61" spans="1:11" s="1" customFormat="1" x14ac:dyDescent="0.3">
      <c r="A61" s="1" t="s">
        <v>25</v>
      </c>
      <c r="B61">
        <v>15896.24</v>
      </c>
      <c r="C61">
        <v>16200.12</v>
      </c>
      <c r="D61">
        <v>20942.240000000002</v>
      </c>
      <c r="E61">
        <v>26271.07</v>
      </c>
      <c r="F61">
        <v>28764.54</v>
      </c>
      <c r="G61">
        <v>33415.919999999998</v>
      </c>
      <c r="H61">
        <v>33638.36</v>
      </c>
      <c r="I61">
        <v>39505.26</v>
      </c>
      <c r="J61">
        <v>44717.19</v>
      </c>
      <c r="K61">
        <v>49784.97</v>
      </c>
    </row>
    <row r="62" spans="1:11" x14ac:dyDescent="0.3">
      <c r="A62" s="6" t="s">
        <v>26</v>
      </c>
      <c r="B62">
        <v>4179.6899999999996</v>
      </c>
      <c r="C62">
        <v>4833.78</v>
      </c>
      <c r="D62">
        <v>6520.68</v>
      </c>
      <c r="E62">
        <v>8474.85</v>
      </c>
      <c r="F62">
        <v>9396.4699999999993</v>
      </c>
      <c r="G62">
        <v>9373.58</v>
      </c>
      <c r="H62">
        <v>10532.09</v>
      </c>
      <c r="I62">
        <v>11023.69</v>
      </c>
      <c r="J62">
        <v>14492.79</v>
      </c>
      <c r="K62">
        <v>16428.150000000001</v>
      </c>
    </row>
    <row r="63" spans="1:11" x14ac:dyDescent="0.3">
      <c r="A63" s="6" t="s">
        <v>27</v>
      </c>
      <c r="B63">
        <v>848.14</v>
      </c>
      <c r="C63">
        <v>1458.08</v>
      </c>
      <c r="D63">
        <v>1583.04</v>
      </c>
      <c r="E63">
        <v>1668.46</v>
      </c>
      <c r="F63">
        <v>1985.92</v>
      </c>
      <c r="G63">
        <v>3061.53</v>
      </c>
      <c r="H63">
        <v>3747.2</v>
      </c>
      <c r="I63">
        <v>5390.01</v>
      </c>
      <c r="J63">
        <v>3868.72</v>
      </c>
      <c r="K63">
        <v>3266</v>
      </c>
    </row>
    <row r="64" spans="1:11" x14ac:dyDescent="0.3">
      <c r="A64" s="6" t="s">
        <v>28</v>
      </c>
      <c r="B64">
        <v>122.96</v>
      </c>
      <c r="C64">
        <v>245.87</v>
      </c>
      <c r="D64">
        <v>311.54000000000002</v>
      </c>
      <c r="E64">
        <v>360.22</v>
      </c>
      <c r="F64">
        <v>554.71</v>
      </c>
      <c r="G64">
        <v>591.01</v>
      </c>
      <c r="H64">
        <v>997.15</v>
      </c>
      <c r="I64">
        <v>542.74</v>
      </c>
      <c r="J64">
        <v>372.23</v>
      </c>
      <c r="K64">
        <v>251.71</v>
      </c>
    </row>
    <row r="65" spans="1:11" x14ac:dyDescent="0.3">
      <c r="A65" s="6" t="s">
        <v>62</v>
      </c>
      <c r="B65">
        <v>10745.45</v>
      </c>
      <c r="C65">
        <v>9662.39</v>
      </c>
      <c r="D65">
        <v>12526.98</v>
      </c>
      <c r="E65">
        <v>15767.54</v>
      </c>
      <c r="F65">
        <v>16827.439999999999</v>
      </c>
      <c r="G65">
        <v>20389.8</v>
      </c>
      <c r="H65">
        <v>18361.919999999998</v>
      </c>
      <c r="I65">
        <v>22548.82</v>
      </c>
      <c r="J65">
        <v>25983.45</v>
      </c>
      <c r="K65">
        <v>29839.11</v>
      </c>
    </row>
    <row r="66" spans="1:11" s="1" customFormat="1" x14ac:dyDescent="0.3">
      <c r="A66" s="1" t="s">
        <v>25</v>
      </c>
      <c r="B66">
        <v>15896.24</v>
      </c>
      <c r="C66">
        <v>16200.12</v>
      </c>
      <c r="D66">
        <v>20942.240000000002</v>
      </c>
      <c r="E66">
        <v>26271.07</v>
      </c>
      <c r="F66">
        <v>28764.54</v>
      </c>
      <c r="G66">
        <v>33415.919999999998</v>
      </c>
      <c r="H66">
        <v>33638.36</v>
      </c>
      <c r="I66">
        <v>39505.26</v>
      </c>
      <c r="J66">
        <v>44717.19</v>
      </c>
      <c r="K66">
        <v>49784.97</v>
      </c>
    </row>
    <row r="67" spans="1:11" s="6" customFormat="1" x14ac:dyDescent="0.3">
      <c r="A67" s="6" t="s">
        <v>67</v>
      </c>
      <c r="B67">
        <v>4606.68</v>
      </c>
      <c r="C67">
        <v>2765.33</v>
      </c>
      <c r="D67">
        <v>3080.2</v>
      </c>
      <c r="E67">
        <v>3413.78</v>
      </c>
      <c r="F67">
        <v>4315.16</v>
      </c>
      <c r="G67">
        <v>3503.28</v>
      </c>
      <c r="H67">
        <v>4012.26</v>
      </c>
      <c r="I67">
        <v>4466.38</v>
      </c>
      <c r="J67">
        <v>4816.74</v>
      </c>
      <c r="K67">
        <v>5745.93</v>
      </c>
    </row>
    <row r="68" spans="1:11" x14ac:dyDescent="0.3">
      <c r="A68" s="6" t="s">
        <v>43</v>
      </c>
      <c r="B68">
        <v>4056.14</v>
      </c>
      <c r="C68">
        <v>4330.54</v>
      </c>
      <c r="D68">
        <v>5858.41</v>
      </c>
      <c r="E68">
        <v>7245.6</v>
      </c>
      <c r="F68">
        <v>7699.87</v>
      </c>
      <c r="G68">
        <v>9041.18</v>
      </c>
      <c r="H68">
        <v>7559.08</v>
      </c>
      <c r="I68">
        <v>8516.11</v>
      </c>
      <c r="J68">
        <v>9810.4699999999993</v>
      </c>
      <c r="K68">
        <v>10543.72</v>
      </c>
    </row>
    <row r="69" spans="1:11" x14ac:dyDescent="0.3">
      <c r="A69" s="4" t="s">
        <v>76</v>
      </c>
      <c r="B69">
        <v>800.26</v>
      </c>
      <c r="C69">
        <v>513.48</v>
      </c>
      <c r="D69">
        <v>1262.25</v>
      </c>
      <c r="E69">
        <v>1957.18</v>
      </c>
      <c r="F69">
        <v>2842.15</v>
      </c>
      <c r="G69">
        <v>5474.28</v>
      </c>
      <c r="H69">
        <v>4190.01</v>
      </c>
      <c r="I69">
        <v>6084.2</v>
      </c>
      <c r="J69">
        <v>6278.3</v>
      </c>
      <c r="K69">
        <v>8235.49</v>
      </c>
    </row>
    <row r="70" spans="1:11" x14ac:dyDescent="0.3">
      <c r="A70" s="4" t="s">
        <v>63</v>
      </c>
      <c r="B70">
        <v>585169586</v>
      </c>
      <c r="C70">
        <v>585882409</v>
      </c>
      <c r="D70">
        <v>585907609</v>
      </c>
      <c r="E70">
        <v>585915609</v>
      </c>
      <c r="F70">
        <v>585915609</v>
      </c>
      <c r="G70">
        <v>585915609</v>
      </c>
      <c r="H70">
        <v>585938609</v>
      </c>
      <c r="I70">
        <v>585938609</v>
      </c>
      <c r="J70">
        <v>585938609</v>
      </c>
      <c r="K70"/>
    </row>
    <row r="71" spans="1:11" x14ac:dyDescent="0.3">
      <c r="A71" s="4" t="s">
        <v>64</v>
      </c>
    </row>
    <row r="72" spans="1:11" x14ac:dyDescent="0.3">
      <c r="A72" s="4" t="s">
        <v>77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">
      <c r="A74" s="6"/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39</v>
      </c>
    </row>
    <row r="81" spans="1:11" s="18" customFormat="1" x14ac:dyDescent="0.3">
      <c r="A81" s="17" t="s">
        <v>36</v>
      </c>
      <c r="B81" s="12">
        <v>42460</v>
      </c>
      <c r="C81" s="12">
        <v>42825</v>
      </c>
      <c r="D81" s="12">
        <v>43190</v>
      </c>
      <c r="E81" s="12">
        <v>43555</v>
      </c>
      <c r="F81" s="12">
        <v>43921</v>
      </c>
      <c r="G81" s="12">
        <v>44286</v>
      </c>
      <c r="H81" s="12">
        <v>44651</v>
      </c>
      <c r="I81" s="12">
        <v>45016</v>
      </c>
      <c r="J81" s="12">
        <v>45382</v>
      </c>
      <c r="K81" s="12">
        <v>45747</v>
      </c>
    </row>
    <row r="82" spans="1:11" s="1" customFormat="1" x14ac:dyDescent="0.3">
      <c r="A82" s="6" t="s">
        <v>31</v>
      </c>
      <c r="B82">
        <v>1419.76</v>
      </c>
      <c r="C82">
        <v>3278.58</v>
      </c>
      <c r="D82">
        <v>1954.52</v>
      </c>
      <c r="E82">
        <v>1650.97</v>
      </c>
      <c r="F82">
        <v>4381.28</v>
      </c>
      <c r="G82">
        <v>3329.05</v>
      </c>
      <c r="H82">
        <v>5016.4799999999996</v>
      </c>
      <c r="I82">
        <v>2386.75</v>
      </c>
      <c r="J82">
        <v>2434.52</v>
      </c>
      <c r="K82">
        <v>3924.62</v>
      </c>
    </row>
    <row r="83" spans="1:11" s="6" customFormat="1" x14ac:dyDescent="0.3">
      <c r="A83" s="6" t="s">
        <v>32</v>
      </c>
      <c r="B83">
        <v>-1445.51</v>
      </c>
      <c r="C83">
        <v>-1787.18</v>
      </c>
      <c r="D83">
        <v>-1926.76</v>
      </c>
      <c r="E83">
        <v>-2904.39</v>
      </c>
      <c r="F83">
        <v>-1562.86</v>
      </c>
      <c r="G83">
        <v>596.57000000000005</v>
      </c>
      <c r="H83">
        <v>-3211.36</v>
      </c>
      <c r="I83">
        <v>-3971.4</v>
      </c>
      <c r="J83">
        <v>-4241.78</v>
      </c>
      <c r="K83">
        <v>-1875.8</v>
      </c>
    </row>
    <row r="84" spans="1:11" s="6" customFormat="1" x14ac:dyDescent="0.3">
      <c r="A84" s="6" t="s">
        <v>33</v>
      </c>
      <c r="B84">
        <v>365.44</v>
      </c>
      <c r="C84">
        <v>-1915.26</v>
      </c>
      <c r="D84">
        <v>864.15</v>
      </c>
      <c r="E84">
        <v>1919.06</v>
      </c>
      <c r="F84">
        <v>-1947.18</v>
      </c>
      <c r="G84">
        <v>-1364.94</v>
      </c>
      <c r="H84">
        <v>-2969.27</v>
      </c>
      <c r="I84">
        <v>1814.41</v>
      </c>
      <c r="J84">
        <v>800.42</v>
      </c>
      <c r="K84">
        <v>119.78</v>
      </c>
    </row>
    <row r="85" spans="1:11" s="1" customFormat="1" x14ac:dyDescent="0.3">
      <c r="A85" s="6" t="s">
        <v>34</v>
      </c>
      <c r="B85">
        <v>339.69</v>
      </c>
      <c r="C85">
        <v>-423.86</v>
      </c>
      <c r="D85">
        <v>891.91</v>
      </c>
      <c r="E85">
        <v>665.64</v>
      </c>
      <c r="F85">
        <v>871.24</v>
      </c>
      <c r="G85">
        <v>2560.6799999999998</v>
      </c>
      <c r="H85">
        <v>-1164.1500000000001</v>
      </c>
      <c r="I85">
        <v>229.76</v>
      </c>
      <c r="J85">
        <v>-1006.84</v>
      </c>
      <c r="K85">
        <v>2168.6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66</v>
      </c>
      <c r="B90">
        <v>744.9</v>
      </c>
      <c r="C90">
        <v>675.2</v>
      </c>
      <c r="D90">
        <v>557.85</v>
      </c>
      <c r="E90">
        <v>784.25</v>
      </c>
      <c r="F90">
        <v>413.15</v>
      </c>
      <c r="G90">
        <v>881.3</v>
      </c>
      <c r="H90">
        <v>668.55</v>
      </c>
      <c r="I90">
        <v>518.1</v>
      </c>
      <c r="J90">
        <v>1088.75</v>
      </c>
      <c r="K90">
        <v>1160.5</v>
      </c>
    </row>
    <row r="92" spans="1:11" s="1" customFormat="1" x14ac:dyDescent="0.3">
      <c r="A92" s="1" t="s">
        <v>65</v>
      </c>
    </row>
    <row r="93" spans="1:11" x14ac:dyDescent="0.3">
      <c r="A93" s="4" t="s">
        <v>78</v>
      </c>
      <c r="B93" s="20">
        <v>58.52</v>
      </c>
      <c r="C93" s="20">
        <v>58.59</v>
      </c>
      <c r="D93" s="20">
        <v>58.59</v>
      </c>
      <c r="E93" s="20">
        <v>58.59</v>
      </c>
      <c r="F93" s="20">
        <v>58.59</v>
      </c>
      <c r="G93" s="20">
        <v>58.59</v>
      </c>
      <c r="H93" s="20">
        <v>58.59</v>
      </c>
      <c r="I93" s="20">
        <v>58.59</v>
      </c>
      <c r="J93" s="20">
        <v>58.59</v>
      </c>
      <c r="K93" s="20">
        <v>58.59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7B951-3803-4298-A8AE-E83D42056137}">
  <sheetPr>
    <tabColor rgb="FF002060"/>
  </sheetPr>
  <dimension ref="A1"/>
  <sheetViews>
    <sheetView workbookViewId="0"/>
  </sheetViews>
  <sheetFormatPr defaultRowHeight="14.4" x14ac:dyDescent="0.3"/>
  <sheetData>
    <row r="1" spans="1:1" x14ac:dyDescent="0.3">
      <c r="A1" t="s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887F1-44DA-447A-89E4-B7C0F16C52EF}">
  <dimension ref="A2:N107"/>
  <sheetViews>
    <sheetView showGridLines="0" workbookViewId="0">
      <pane ySplit="3" topLeftCell="A70" activePane="bottomLeft" state="frozen"/>
      <selection pane="bottomLeft" activeCell="K117" sqref="K117"/>
    </sheetView>
  </sheetViews>
  <sheetFormatPr defaultRowHeight="14.4" x14ac:dyDescent="0.3"/>
  <cols>
    <col min="1" max="1" width="1.77734375" customWidth="1"/>
    <col min="2" max="2" width="19" customWidth="1"/>
    <col min="4" max="5" width="12.109375" bestFit="1" customWidth="1"/>
    <col min="6" max="13" width="11.88671875" bestFit="1" customWidth="1"/>
    <col min="14" max="14" width="11.6640625" customWidth="1"/>
  </cols>
  <sheetData>
    <row r="2" spans="1:14" x14ac:dyDescent="0.3">
      <c r="B2" s="66" t="str">
        <f>"Historical Financial Statement - "&amp;'Data Sheet'!B1</f>
        <v>Historical Financial Statement - AUROBINDO PHARMA LTD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</row>
    <row r="3" spans="1:14" x14ac:dyDescent="0.3">
      <c r="B3" s="21" t="s">
        <v>80</v>
      </c>
      <c r="C3" s="21"/>
      <c r="D3" s="22">
        <f>'Data Sheet'!B16</f>
        <v>42460</v>
      </c>
      <c r="E3" s="22">
        <f>'Data Sheet'!C16</f>
        <v>42825</v>
      </c>
      <c r="F3" s="22">
        <f>'Data Sheet'!D16</f>
        <v>43190</v>
      </c>
      <c r="G3" s="22">
        <f>'Data Sheet'!E16</f>
        <v>43555</v>
      </c>
      <c r="H3" s="22">
        <f>'Data Sheet'!F16</f>
        <v>43921</v>
      </c>
      <c r="I3" s="22">
        <f>'Data Sheet'!G16</f>
        <v>44286</v>
      </c>
      <c r="J3" s="22">
        <f>'Data Sheet'!H16</f>
        <v>44651</v>
      </c>
      <c r="K3" s="22">
        <f>'Data Sheet'!I16</f>
        <v>45016</v>
      </c>
      <c r="L3" s="22">
        <f>'Data Sheet'!J16</f>
        <v>45382</v>
      </c>
      <c r="M3" s="22">
        <f>'Data Sheet'!K16</f>
        <v>45747</v>
      </c>
      <c r="N3" s="23" t="s">
        <v>81</v>
      </c>
    </row>
    <row r="4" spans="1:14" x14ac:dyDescent="0.3">
      <c r="A4" t="s">
        <v>83</v>
      </c>
      <c r="B4" s="67" t="s">
        <v>82</v>
      </c>
      <c r="C4" s="67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</row>
    <row r="5" spans="1:14" ht="15" customHeight="1" x14ac:dyDescent="0.3">
      <c r="B5" t="s">
        <v>5</v>
      </c>
      <c r="D5" s="24">
        <f>IFERROR('Data Sheet'!B17,0)</f>
        <v>13771.66</v>
      </c>
      <c r="E5" s="24">
        <f>IFERROR('Data Sheet'!C17,0)</f>
        <v>14909.54</v>
      </c>
      <c r="F5" s="24">
        <f>IFERROR('Data Sheet'!D17,0)</f>
        <v>16463.03</v>
      </c>
      <c r="G5" s="24">
        <f>IFERROR('Data Sheet'!E17,0)</f>
        <v>19563.55</v>
      </c>
      <c r="H5" s="24">
        <f>IFERROR('Data Sheet'!F17,0)</f>
        <v>23098.51</v>
      </c>
      <c r="I5" s="24">
        <f>IFERROR('Data Sheet'!G17,0)</f>
        <v>24774.62</v>
      </c>
      <c r="J5" s="24">
        <f>IFERROR('Data Sheet'!H17,0)</f>
        <v>23455.49</v>
      </c>
      <c r="K5" s="24">
        <f>IFERROR('Data Sheet'!I17,0)</f>
        <v>24855.38</v>
      </c>
      <c r="L5" s="24">
        <f>IFERROR('Data Sheet'!J17,0)</f>
        <v>29001.87</v>
      </c>
      <c r="M5" s="24">
        <f>IFERROR('Data Sheet'!K17,0)</f>
        <v>31723.73</v>
      </c>
      <c r="N5" s="24">
        <f>IFERROR(SUM('Data Sheet'!H42:K42),0)</f>
        <v>31723.730000000003</v>
      </c>
    </row>
    <row r="6" spans="1:14" x14ac:dyDescent="0.3">
      <c r="B6" s="25" t="s">
        <v>21</v>
      </c>
      <c r="C6" s="25"/>
      <c r="D6" s="25" t="s">
        <v>84</v>
      </c>
      <c r="E6" s="26">
        <f>E5/D5 - 1</f>
        <v>8.2624752571585525E-2</v>
      </c>
      <c r="F6" s="26">
        <f t="shared" ref="F6:N6" si="0">F5/E5 - 1</f>
        <v>0.10419436146252647</v>
      </c>
      <c r="G6" s="26">
        <f t="shared" si="0"/>
        <v>0.18833228148159842</v>
      </c>
      <c r="H6" s="26">
        <f t="shared" si="0"/>
        <v>0.18069113223315814</v>
      </c>
      <c r="I6" s="26">
        <f t="shared" si="0"/>
        <v>7.2563554965233701E-2</v>
      </c>
      <c r="J6" s="26">
        <f t="shared" si="0"/>
        <v>-5.3245216273751006E-2</v>
      </c>
      <c r="K6" s="26">
        <f t="shared" si="0"/>
        <v>5.9682829051961761E-2</v>
      </c>
      <c r="L6" s="26">
        <f t="shared" si="0"/>
        <v>0.16682464721923385</v>
      </c>
      <c r="M6" s="26">
        <f t="shared" si="0"/>
        <v>9.3851189595705486E-2</v>
      </c>
      <c r="N6" s="26">
        <f t="shared" si="0"/>
        <v>0</v>
      </c>
    </row>
    <row r="8" spans="1:14" x14ac:dyDescent="0.3">
      <c r="B8" t="s">
        <v>85</v>
      </c>
      <c r="D8" s="24">
        <f>IFERROR(SUM('Data Sheet'!B18,'Data Sheet'!B20:B22)-1*'Data Sheet'!B19,0)</f>
        <v>8714.31</v>
      </c>
      <c r="E8" s="24">
        <f>IFERROR(SUM('Data Sheet'!C18,'Data Sheet'!C20:C22)-1*'Data Sheet'!C19,0)</f>
        <v>9283.85</v>
      </c>
      <c r="F8" s="24">
        <f>IFERROR(SUM('Data Sheet'!D18,'Data Sheet'!D20:D22)-1*'Data Sheet'!D19,0)</f>
        <v>10100.51</v>
      </c>
      <c r="G8" s="24">
        <f>IFERROR(SUM('Data Sheet'!E18,'Data Sheet'!E20:E22)-1*'Data Sheet'!E19,0)</f>
        <v>12808.26</v>
      </c>
      <c r="H8" s="24">
        <f>IFERROR(SUM('Data Sheet'!F18,'Data Sheet'!F20:F22)-1*'Data Sheet'!F19,0)</f>
        <v>14506.970000000001</v>
      </c>
      <c r="I8" s="24">
        <f>IFERROR(SUM('Data Sheet'!G18,'Data Sheet'!G20:G22)-1*'Data Sheet'!G19,0)</f>
        <v>15137.5</v>
      </c>
      <c r="J8" s="24">
        <f>IFERROR(SUM('Data Sheet'!H18,'Data Sheet'!H20:H22)-1*'Data Sheet'!H19,0)</f>
        <v>15277.640000000001</v>
      </c>
      <c r="K8" s="24">
        <f>IFERROR(SUM('Data Sheet'!I18,'Data Sheet'!I20:I22)-1*'Data Sheet'!I19,0)</f>
        <v>16685.97</v>
      </c>
      <c r="L8" s="24">
        <f>IFERROR(SUM('Data Sheet'!J18,'Data Sheet'!J20:J22)-1*'Data Sheet'!J19,0)</f>
        <v>18496.210000000003</v>
      </c>
      <c r="M8" s="24">
        <f>IFERROR(SUM('Data Sheet'!K18,'Data Sheet'!K20:K22)-1*'Data Sheet'!K19,0)</f>
        <v>17501.86</v>
      </c>
      <c r="N8" s="24">
        <f>IFERROR(SUM('Data Sheet'!H43:K43),0)</f>
        <v>25201.7</v>
      </c>
    </row>
    <row r="9" spans="1:14" x14ac:dyDescent="0.3">
      <c r="B9" s="25" t="s">
        <v>86</v>
      </c>
      <c r="C9" s="25"/>
      <c r="D9" s="26">
        <f>D8/D5</f>
        <v>0.63277121276592652</v>
      </c>
      <c r="E9" s="26">
        <f t="shared" ref="E9:N9" si="1">E8/E5</f>
        <v>0.62267849980616441</v>
      </c>
      <c r="F9" s="26">
        <f t="shared" si="1"/>
        <v>0.6135267930630024</v>
      </c>
      <c r="G9" s="26">
        <f t="shared" si="1"/>
        <v>0.65470019500550769</v>
      </c>
      <c r="H9" s="26">
        <f t="shared" si="1"/>
        <v>0.62804786975436955</v>
      </c>
      <c r="I9" s="26">
        <f t="shared" si="1"/>
        <v>0.61100836259042524</v>
      </c>
      <c r="J9" s="26">
        <f t="shared" si="1"/>
        <v>0.65134601749952781</v>
      </c>
      <c r="K9" s="26">
        <f t="shared" si="1"/>
        <v>0.67132226503879644</v>
      </c>
      <c r="L9" s="26">
        <f t="shared" si="1"/>
        <v>0.63775922035372212</v>
      </c>
      <c r="M9" s="26">
        <f t="shared" si="1"/>
        <v>0.55169615931039639</v>
      </c>
      <c r="N9" s="26">
        <f t="shared" si="1"/>
        <v>0.794411628140827</v>
      </c>
    </row>
    <row r="11" spans="1:14" x14ac:dyDescent="0.3">
      <c r="B11" s="69" t="s">
        <v>87</v>
      </c>
      <c r="C11" s="69"/>
      <c r="D11" s="70">
        <f t="shared" ref="D11:N11" si="2">D5-D8</f>
        <v>5057.3500000000004</v>
      </c>
      <c r="E11" s="70">
        <f t="shared" si="2"/>
        <v>5625.6900000000005</v>
      </c>
      <c r="F11" s="70">
        <f t="shared" si="2"/>
        <v>6362.5199999999986</v>
      </c>
      <c r="G11" s="70">
        <f t="shared" si="2"/>
        <v>6755.2899999999991</v>
      </c>
      <c r="H11" s="70">
        <f t="shared" si="2"/>
        <v>8591.5399999999972</v>
      </c>
      <c r="I11" s="70">
        <f t="shared" si="2"/>
        <v>9637.119999999999</v>
      </c>
      <c r="J11" s="70">
        <f t="shared" si="2"/>
        <v>8177.85</v>
      </c>
      <c r="K11" s="70">
        <f t="shared" si="2"/>
        <v>8169.41</v>
      </c>
      <c r="L11" s="70">
        <f t="shared" si="2"/>
        <v>10505.659999999996</v>
      </c>
      <c r="M11" s="70">
        <f t="shared" si="2"/>
        <v>14221.869999999999</v>
      </c>
      <c r="N11" s="70">
        <f t="shared" si="2"/>
        <v>6522.0300000000025</v>
      </c>
    </row>
    <row r="12" spans="1:14" x14ac:dyDescent="0.3">
      <c r="B12" s="28" t="s">
        <v>145</v>
      </c>
      <c r="C12" s="28"/>
      <c r="D12" s="28">
        <f>(D5-D8)/D5</f>
        <v>0.36722878723407348</v>
      </c>
      <c r="E12" s="28">
        <f t="shared" ref="E12:N12" si="3">(E5-E8)/E5</f>
        <v>0.37732150019383565</v>
      </c>
      <c r="F12" s="28">
        <f t="shared" si="3"/>
        <v>0.38647320693699755</v>
      </c>
      <c r="G12" s="28">
        <f t="shared" si="3"/>
        <v>0.34529980499449225</v>
      </c>
      <c r="H12" s="28">
        <f t="shared" si="3"/>
        <v>0.37195213024563045</v>
      </c>
      <c r="I12" s="28">
        <f t="shared" si="3"/>
        <v>0.38899163740957476</v>
      </c>
      <c r="J12" s="28">
        <f t="shared" si="3"/>
        <v>0.34865398250047214</v>
      </c>
      <c r="K12" s="28">
        <f t="shared" si="3"/>
        <v>0.32867773496120356</v>
      </c>
      <c r="L12" s="28">
        <f t="shared" si="3"/>
        <v>0.36224077964627788</v>
      </c>
      <c r="M12" s="28">
        <f t="shared" si="3"/>
        <v>0.44830384068960361</v>
      </c>
      <c r="N12" s="28">
        <f t="shared" si="3"/>
        <v>0.20558837185917297</v>
      </c>
    </row>
    <row r="14" spans="1:14" x14ac:dyDescent="0.3">
      <c r="B14" t="s">
        <v>88</v>
      </c>
      <c r="D14" s="27">
        <f>IFERROR(SUM('Data Sheet'!B23:B24),0)</f>
        <v>1864.23</v>
      </c>
      <c r="E14" s="27">
        <f>IFERROR(SUM('Data Sheet'!C23:C24),0)</f>
        <v>2185.1400000000003</v>
      </c>
      <c r="F14" s="27">
        <f>IFERROR(SUM('Data Sheet'!D23:D24),0)</f>
        <v>2590.77</v>
      </c>
      <c r="G14" s="27">
        <f>IFERROR(SUM('Data Sheet'!E23:E24),0)</f>
        <v>2803.35</v>
      </c>
      <c r="H14" s="27">
        <f>IFERROR(SUM('Data Sheet'!F23:F24),0)</f>
        <v>3742.4</v>
      </c>
      <c r="I14" s="27">
        <f>IFERROR(SUM('Data Sheet'!G23:G24),0)</f>
        <v>4359.08</v>
      </c>
      <c r="J14" s="27">
        <f>IFERROR(SUM('Data Sheet'!H23:H24),0)</f>
        <v>3782.31</v>
      </c>
      <c r="K14" s="27">
        <f>IFERROR(SUM('Data Sheet'!I23:I24),0)</f>
        <v>4462.4399999999996</v>
      </c>
      <c r="L14" s="27">
        <f>IFERROR(SUM('Data Sheet'!J23:J24),0)</f>
        <v>4679.82</v>
      </c>
      <c r="M14" s="27">
        <f>IFERROR(SUM('Data Sheet'!K23:K24),0)</f>
        <v>7670.77</v>
      </c>
      <c r="N14" s="27">
        <f>IFERROR(SUM('Data Sheet'!L23:L24),0)</f>
        <v>0</v>
      </c>
    </row>
    <row r="15" spans="1:14" x14ac:dyDescent="0.3">
      <c r="B15" s="25" t="s">
        <v>89</v>
      </c>
      <c r="C15" s="25"/>
      <c r="D15" s="26">
        <f t="shared" ref="D15:N15" si="4">D14/D5</f>
        <v>0.13536712349854702</v>
      </c>
      <c r="E15" s="26">
        <f t="shared" si="4"/>
        <v>0.14655985362392135</v>
      </c>
      <c r="F15" s="26">
        <f t="shared" si="4"/>
        <v>0.15736896549420126</v>
      </c>
      <c r="G15" s="26">
        <f t="shared" si="4"/>
        <v>0.14329454521290871</v>
      </c>
      <c r="H15" s="26">
        <f t="shared" si="4"/>
        <v>0.16201910859185292</v>
      </c>
      <c r="I15" s="26">
        <f t="shared" si="4"/>
        <v>0.17594941920400797</v>
      </c>
      <c r="J15" s="26">
        <f t="shared" si="4"/>
        <v>0.16125478512706407</v>
      </c>
      <c r="K15" s="26">
        <f t="shared" si="4"/>
        <v>0.17953618089926604</v>
      </c>
      <c r="L15" s="26">
        <f t="shared" si="4"/>
        <v>0.16136269833634864</v>
      </c>
      <c r="M15" s="26">
        <f t="shared" si="4"/>
        <v>0.24179912009085944</v>
      </c>
      <c r="N15" s="26">
        <f t="shared" si="4"/>
        <v>0</v>
      </c>
    </row>
    <row r="17" spans="2:14" x14ac:dyDescent="0.3">
      <c r="B17" s="69" t="s">
        <v>90</v>
      </c>
      <c r="C17" s="69"/>
      <c r="D17" s="70">
        <f>D11-D14</f>
        <v>3193.1200000000003</v>
      </c>
      <c r="E17" s="70">
        <f t="shared" ref="E17:N17" si="5">E11-E14</f>
        <v>3440.55</v>
      </c>
      <c r="F17" s="70">
        <f t="shared" si="5"/>
        <v>3771.7499999999986</v>
      </c>
      <c r="G17" s="70">
        <f t="shared" si="5"/>
        <v>3951.9399999999991</v>
      </c>
      <c r="H17" s="70">
        <f t="shared" si="5"/>
        <v>4849.1399999999976</v>
      </c>
      <c r="I17" s="70">
        <f t="shared" si="5"/>
        <v>5278.0399999999991</v>
      </c>
      <c r="J17" s="70">
        <f t="shared" si="5"/>
        <v>4395.5400000000009</v>
      </c>
      <c r="K17" s="70">
        <f t="shared" si="5"/>
        <v>3706.9700000000003</v>
      </c>
      <c r="L17" s="70">
        <f t="shared" si="5"/>
        <v>5825.8399999999965</v>
      </c>
      <c r="M17" s="70">
        <f t="shared" si="5"/>
        <v>6551.0999999999985</v>
      </c>
      <c r="N17" s="70">
        <f t="shared" si="5"/>
        <v>6522.0300000000025</v>
      </c>
    </row>
    <row r="18" spans="2:14" x14ac:dyDescent="0.3">
      <c r="B18" s="28" t="s">
        <v>149</v>
      </c>
      <c r="C18" s="28"/>
      <c r="D18" s="28">
        <f>D17/D5</f>
        <v>0.23186166373552647</v>
      </c>
      <c r="E18" s="28">
        <f t="shared" ref="E18:N18" si="6">E17/E5</f>
        <v>0.2307616465699143</v>
      </c>
      <c r="F18" s="28">
        <f t="shared" si="6"/>
        <v>0.22910424144279631</v>
      </c>
      <c r="G18" s="28">
        <f t="shared" si="6"/>
        <v>0.20200525978158357</v>
      </c>
      <c r="H18" s="28">
        <f t="shared" si="6"/>
        <v>0.20993302165377759</v>
      </c>
      <c r="I18" s="28">
        <f t="shared" si="6"/>
        <v>0.21304221820556679</v>
      </c>
      <c r="J18" s="28">
        <f t="shared" si="6"/>
        <v>0.18739919737340813</v>
      </c>
      <c r="K18" s="28">
        <f t="shared" si="6"/>
        <v>0.14914155406193749</v>
      </c>
      <c r="L18" s="28">
        <f t="shared" si="6"/>
        <v>0.20087808130992921</v>
      </c>
      <c r="M18" s="28">
        <f t="shared" si="6"/>
        <v>0.20650472059874417</v>
      </c>
      <c r="N18" s="28">
        <f t="shared" si="6"/>
        <v>0.20558837185917297</v>
      </c>
    </row>
    <row r="19" spans="2:14" x14ac:dyDescent="0.3">
      <c r="B19" s="25" t="s">
        <v>91</v>
      </c>
      <c r="C19" s="25"/>
      <c r="D19" s="26">
        <f t="shared" ref="D19:N19" si="7">D17/D5</f>
        <v>0.23186166373552647</v>
      </c>
      <c r="E19" s="26">
        <f t="shared" si="7"/>
        <v>0.2307616465699143</v>
      </c>
      <c r="F19" s="26">
        <f t="shared" si="7"/>
        <v>0.22910424144279631</v>
      </c>
      <c r="G19" s="26">
        <f t="shared" si="7"/>
        <v>0.20200525978158357</v>
      </c>
      <c r="H19" s="26">
        <f t="shared" si="7"/>
        <v>0.20993302165377759</v>
      </c>
      <c r="I19" s="26">
        <f t="shared" si="7"/>
        <v>0.21304221820556679</v>
      </c>
      <c r="J19" s="26">
        <f t="shared" si="7"/>
        <v>0.18739919737340813</v>
      </c>
      <c r="K19" s="26">
        <f t="shared" si="7"/>
        <v>0.14914155406193749</v>
      </c>
      <c r="L19" s="26">
        <f t="shared" si="7"/>
        <v>0.20087808130992921</v>
      </c>
      <c r="M19" s="26">
        <f t="shared" si="7"/>
        <v>0.20650472059874417</v>
      </c>
      <c r="N19" s="26">
        <f t="shared" si="7"/>
        <v>0.20558837185917297</v>
      </c>
    </row>
    <row r="21" spans="2:14" x14ac:dyDescent="0.3">
      <c r="B21" t="s">
        <v>10</v>
      </c>
      <c r="D21" s="27">
        <f>IFERROR('Data Sheet'!B27,0)</f>
        <v>256.7</v>
      </c>
      <c r="E21" s="27">
        <f>IFERROR('Data Sheet'!C27,0)</f>
        <v>66.72</v>
      </c>
      <c r="F21" s="27">
        <f>IFERROR('Data Sheet'!D27,0)</f>
        <v>77.72</v>
      </c>
      <c r="G21" s="27">
        <f>IFERROR('Data Sheet'!E27,0)</f>
        <v>262.60000000000002</v>
      </c>
      <c r="H21" s="27">
        <f>IFERROR('Data Sheet'!F27,0)</f>
        <v>305.13</v>
      </c>
      <c r="I21" s="27">
        <f>IFERROR('Data Sheet'!G27,0)</f>
        <v>74.489999999999995</v>
      </c>
      <c r="J21" s="27">
        <f>IFERROR('Data Sheet'!H27,0)</f>
        <v>48.64</v>
      </c>
      <c r="K21" s="27">
        <f>IFERROR('Data Sheet'!I27,0)</f>
        <v>140.47999999999999</v>
      </c>
      <c r="L21" s="27">
        <f>IFERROR('Data Sheet'!J27,0)</f>
        <v>289.70999999999998</v>
      </c>
      <c r="M21" s="27">
        <f>IFERROR('Data Sheet'!K27,0)</f>
        <v>457.24</v>
      </c>
      <c r="N21" s="27">
        <f>IFERROR('Data Sheet'!L27,0)</f>
        <v>0</v>
      </c>
    </row>
    <row r="22" spans="2:14" x14ac:dyDescent="0.3">
      <c r="B22" s="25" t="s">
        <v>92</v>
      </c>
      <c r="C22" s="25"/>
      <c r="D22" s="28">
        <f t="shared" ref="D22:N22" si="8">D21/D5</f>
        <v>1.8639728253529348E-2</v>
      </c>
      <c r="E22" s="28">
        <f t="shared" si="8"/>
        <v>4.4749871558746948E-3</v>
      </c>
      <c r="F22" s="28">
        <f t="shared" si="8"/>
        <v>4.7208806641304791E-3</v>
      </c>
      <c r="G22" s="28">
        <f t="shared" si="8"/>
        <v>1.3422921708994534E-2</v>
      </c>
      <c r="H22" s="28">
        <f t="shared" si="8"/>
        <v>1.3209942979006005E-2</v>
      </c>
      <c r="I22" s="28">
        <f t="shared" si="8"/>
        <v>3.0067060564400181E-3</v>
      </c>
      <c r="J22" s="28">
        <f t="shared" si="8"/>
        <v>2.073714938379032E-3</v>
      </c>
      <c r="K22" s="28">
        <f t="shared" si="8"/>
        <v>5.6518950826742534E-3</v>
      </c>
      <c r="L22" s="28">
        <f t="shared" si="8"/>
        <v>9.9893558587773826E-3</v>
      </c>
      <c r="M22" s="28">
        <f t="shared" si="8"/>
        <v>1.4413185334763599E-2</v>
      </c>
      <c r="N22" s="28">
        <f t="shared" si="8"/>
        <v>0</v>
      </c>
    </row>
    <row r="24" spans="2:14" x14ac:dyDescent="0.3">
      <c r="B24" t="s">
        <v>9</v>
      </c>
      <c r="D24" s="27">
        <f>IFERROR('Data Sheet'!B26,0)</f>
        <v>392.37</v>
      </c>
      <c r="E24" s="27">
        <f>IFERROR('Data Sheet'!C26,0)</f>
        <v>427.63</v>
      </c>
      <c r="F24" s="27">
        <f>IFERROR('Data Sheet'!D26,0)</f>
        <v>557.97</v>
      </c>
      <c r="G24" s="27">
        <f>IFERROR('Data Sheet'!E26,0)</f>
        <v>667.95</v>
      </c>
      <c r="H24" s="27">
        <f>IFERROR('Data Sheet'!F26,0)</f>
        <v>966.71</v>
      </c>
      <c r="I24" s="27">
        <f>IFERROR('Data Sheet'!G26,0)</f>
        <v>1055.3900000000001</v>
      </c>
      <c r="J24" s="27">
        <f>IFERROR('Data Sheet'!H26,0)</f>
        <v>1126.52</v>
      </c>
      <c r="K24" s="27">
        <f>IFERROR('Data Sheet'!I26,0)</f>
        <v>1244.58</v>
      </c>
      <c r="L24" s="27">
        <f>IFERROR('Data Sheet'!J26,0)</f>
        <v>1521.66</v>
      </c>
      <c r="M24" s="27">
        <f>IFERROR('Data Sheet'!K26,0)</f>
        <v>1649.42</v>
      </c>
      <c r="N24" s="27">
        <f>IFERROR(SUM('Data Sheet'!H45:K45),0)</f>
        <v>1649.42</v>
      </c>
    </row>
    <row r="25" spans="2:14" x14ac:dyDescent="0.3">
      <c r="B25" s="25" t="s">
        <v>93</v>
      </c>
      <c r="D25" s="28">
        <f t="shared" ref="D25:N25" si="9">D24/D5</f>
        <v>2.8491118717714495E-2</v>
      </c>
      <c r="E25" s="28">
        <f t="shared" si="9"/>
        <v>2.8681636053157909E-2</v>
      </c>
      <c r="F25" s="28">
        <f t="shared" si="9"/>
        <v>3.3892302935729333E-2</v>
      </c>
      <c r="G25" s="28">
        <f t="shared" si="9"/>
        <v>3.4142576372897561E-2</v>
      </c>
      <c r="H25" s="28">
        <f t="shared" si="9"/>
        <v>4.1851617268819509E-2</v>
      </c>
      <c r="I25" s="28">
        <f t="shared" si="9"/>
        <v>4.25996443134143E-2</v>
      </c>
      <c r="J25" s="28">
        <f t="shared" si="9"/>
        <v>4.8027988330237394E-2</v>
      </c>
      <c r="K25" s="28">
        <f t="shared" si="9"/>
        <v>5.0072861489142383E-2</v>
      </c>
      <c r="L25" s="28">
        <f t="shared" si="9"/>
        <v>5.2467651223869365E-2</v>
      </c>
      <c r="M25" s="28">
        <f t="shared" si="9"/>
        <v>5.1993255521970462E-2</v>
      </c>
      <c r="N25" s="28">
        <f t="shared" si="9"/>
        <v>5.1993255521970462E-2</v>
      </c>
    </row>
    <row r="27" spans="2:14" x14ac:dyDescent="0.3">
      <c r="B27" s="69" t="s">
        <v>94</v>
      </c>
      <c r="C27" s="69"/>
      <c r="D27" s="71">
        <f>IFERROR(D17-SUM(D21,D24),0)</f>
        <v>2544.0500000000002</v>
      </c>
      <c r="E27" s="71">
        <f t="shared" ref="E27:N27" si="10">IFERROR(E17-SUM(E21,E24),0)</f>
        <v>2946.2000000000003</v>
      </c>
      <c r="F27" s="71">
        <f t="shared" si="10"/>
        <v>3136.0599999999986</v>
      </c>
      <c r="G27" s="71">
        <f t="shared" si="10"/>
        <v>3021.389999999999</v>
      </c>
      <c r="H27" s="71">
        <f t="shared" si="10"/>
        <v>3577.2999999999975</v>
      </c>
      <c r="I27" s="71">
        <f t="shared" si="10"/>
        <v>4148.1599999999989</v>
      </c>
      <c r="J27" s="71">
        <f t="shared" si="10"/>
        <v>3220.380000000001</v>
      </c>
      <c r="K27" s="71">
        <f t="shared" si="10"/>
        <v>2321.9100000000003</v>
      </c>
      <c r="L27" s="71">
        <f t="shared" si="10"/>
        <v>4014.4699999999966</v>
      </c>
      <c r="M27" s="71">
        <f t="shared" si="10"/>
        <v>4444.4399999999987</v>
      </c>
      <c r="N27" s="71">
        <f t="shared" si="10"/>
        <v>4872.6100000000024</v>
      </c>
    </row>
    <row r="28" spans="2:14" x14ac:dyDescent="0.3">
      <c r="B28" s="25" t="s">
        <v>95</v>
      </c>
      <c r="C28" s="25"/>
      <c r="D28" s="28">
        <f t="shared" ref="D28:N28" si="11">D27/D5</f>
        <v>0.1847308167642826</v>
      </c>
      <c r="E28" s="28">
        <f t="shared" si="11"/>
        <v>0.1976050233608817</v>
      </c>
      <c r="F28" s="28">
        <f t="shared" si="11"/>
        <v>0.19049105784293649</v>
      </c>
      <c r="G28" s="28">
        <f t="shared" si="11"/>
        <v>0.15443976169969148</v>
      </c>
      <c r="H28" s="28">
        <f t="shared" si="11"/>
        <v>0.15487146140595207</v>
      </c>
      <c r="I28" s="28">
        <f t="shared" si="11"/>
        <v>0.16743586783571249</v>
      </c>
      <c r="J28" s="28">
        <f t="shared" si="11"/>
        <v>0.1372974941047917</v>
      </c>
      <c r="K28" s="28">
        <f t="shared" si="11"/>
        <v>9.3416797490120856E-2</v>
      </c>
      <c r="L28" s="28">
        <f t="shared" si="11"/>
        <v>0.13842107422728248</v>
      </c>
      <c r="M28" s="28">
        <f t="shared" si="11"/>
        <v>0.14009827974201011</v>
      </c>
      <c r="N28" s="28">
        <f t="shared" si="11"/>
        <v>0.15359511633720252</v>
      </c>
    </row>
    <row r="30" spans="2:14" x14ac:dyDescent="0.3">
      <c r="B30" t="s">
        <v>12</v>
      </c>
      <c r="D30" s="24">
        <f>IFERROR('Data Sheet'!B29,0)</f>
        <v>720.71</v>
      </c>
      <c r="E30" s="24">
        <f>IFERROR('Data Sheet'!C29,0)</f>
        <v>759.65</v>
      </c>
      <c r="F30" s="24">
        <f>IFERROR('Data Sheet'!D29,0)</f>
        <v>818.27</v>
      </c>
      <c r="G30" s="24">
        <f>IFERROR('Data Sheet'!E29,0)</f>
        <v>726.85</v>
      </c>
      <c r="H30" s="24">
        <f>IFERROR('Data Sheet'!F29,0)</f>
        <v>899.35</v>
      </c>
      <c r="I30" s="24">
        <f>IFERROR('Data Sheet'!G29,0)</f>
        <v>2009.77</v>
      </c>
      <c r="J30" s="24">
        <f>IFERROR('Data Sheet'!H29,0)</f>
        <v>725.63</v>
      </c>
      <c r="K30" s="24">
        <f>IFERROR('Data Sheet'!I29,0)</f>
        <v>684.85</v>
      </c>
      <c r="L30" s="24">
        <f>IFERROR('Data Sheet'!J29,0)</f>
        <v>1211.02</v>
      </c>
      <c r="M30" s="24">
        <f>IFERROR('Data Sheet'!K29,0)</f>
        <v>1582.72</v>
      </c>
      <c r="N30" s="24">
        <f>IFERROR(SUM('Data Sheet'!H48:K48),0)</f>
        <v>1582.72</v>
      </c>
    </row>
    <row r="31" spans="2:14" x14ac:dyDescent="0.3">
      <c r="B31" s="25" t="s">
        <v>97</v>
      </c>
      <c r="C31" s="25"/>
      <c r="D31" s="26">
        <f>D30/D27</f>
        <v>0.28329238812130264</v>
      </c>
      <c r="E31" s="26">
        <f t="shared" ref="E31:N31" si="12">E30/E27</f>
        <v>0.25784060824112415</v>
      </c>
      <c r="F31" s="26">
        <f t="shared" si="12"/>
        <v>0.26092294152535356</v>
      </c>
      <c r="G31" s="26">
        <f t="shared" si="12"/>
        <v>0.24056808290224044</v>
      </c>
      <c r="H31" s="26">
        <f t="shared" si="12"/>
        <v>0.25140469068850829</v>
      </c>
      <c r="I31" s="26">
        <f t="shared" si="12"/>
        <v>0.48449674072359805</v>
      </c>
      <c r="J31" s="26">
        <f t="shared" si="12"/>
        <v>0.22532434060576695</v>
      </c>
      <c r="K31" s="26">
        <f t="shared" si="12"/>
        <v>0.29495113936371348</v>
      </c>
      <c r="L31" s="26">
        <f t="shared" si="12"/>
        <v>0.30166373145147451</v>
      </c>
      <c r="M31" s="26">
        <f t="shared" si="12"/>
        <v>0.3561123561123562</v>
      </c>
      <c r="N31" s="26">
        <f t="shared" si="12"/>
        <v>0.32481975778894662</v>
      </c>
    </row>
    <row r="33" spans="1:14" x14ac:dyDescent="0.3">
      <c r="B33" s="69" t="s">
        <v>98</v>
      </c>
      <c r="C33" s="69"/>
      <c r="D33" s="71">
        <f>IFERROR(D27-D30,0)</f>
        <v>1823.3400000000001</v>
      </c>
      <c r="E33" s="71">
        <f t="shared" ref="E33:N33" si="13">IFERROR(E27-E30,0)</f>
        <v>2186.5500000000002</v>
      </c>
      <c r="F33" s="71">
        <f t="shared" si="13"/>
        <v>2317.7899999999986</v>
      </c>
      <c r="G33" s="71">
        <f t="shared" si="13"/>
        <v>2294.5399999999991</v>
      </c>
      <c r="H33" s="71">
        <f t="shared" si="13"/>
        <v>2677.9499999999975</v>
      </c>
      <c r="I33" s="71">
        <f t="shared" si="13"/>
        <v>2138.389999999999</v>
      </c>
      <c r="J33" s="71">
        <f t="shared" si="13"/>
        <v>2494.7500000000009</v>
      </c>
      <c r="K33" s="71">
        <f t="shared" si="13"/>
        <v>1637.0600000000004</v>
      </c>
      <c r="L33" s="71">
        <f t="shared" si="13"/>
        <v>2803.4499999999966</v>
      </c>
      <c r="M33" s="71">
        <f t="shared" si="13"/>
        <v>2861.7199999999984</v>
      </c>
      <c r="N33" s="71">
        <f t="shared" si="13"/>
        <v>3289.8900000000021</v>
      </c>
    </row>
    <row r="34" spans="1:14" x14ac:dyDescent="0.3">
      <c r="B34" s="26" t="s">
        <v>99</v>
      </c>
      <c r="C34" s="26"/>
      <c r="D34" s="26">
        <f t="shared" ref="D34:N34" si="14">D33/D5</f>
        <v>0.13239798252353022</v>
      </c>
      <c r="E34" s="26">
        <f t="shared" si="14"/>
        <v>0.14665442394601041</v>
      </c>
      <c r="F34" s="26">
        <f t="shared" si="14"/>
        <v>0.14078757069628123</v>
      </c>
      <c r="G34" s="26">
        <f t="shared" si="14"/>
        <v>0.11728648430371784</v>
      </c>
      <c r="H34" s="26">
        <f t="shared" si="14"/>
        <v>0.11593604955471144</v>
      </c>
      <c r="I34" s="26">
        <f t="shared" si="14"/>
        <v>8.631373558908266E-2</v>
      </c>
      <c r="J34" s="26">
        <f t="shared" si="14"/>
        <v>0.10636102677880534</v>
      </c>
      <c r="K34" s="26">
        <f t="shared" si="14"/>
        <v>6.586340663470043E-2</v>
      </c>
      <c r="L34" s="26">
        <f t="shared" si="14"/>
        <v>9.6664456464358908E-2</v>
      </c>
      <c r="M34" s="26">
        <f t="shared" si="14"/>
        <v>9.020755125579491E-2</v>
      </c>
      <c r="N34" s="26">
        <f t="shared" si="14"/>
        <v>0.10370438785098732</v>
      </c>
    </row>
    <row r="36" spans="1:14" x14ac:dyDescent="0.3">
      <c r="B36" s="24" t="s">
        <v>63</v>
      </c>
      <c r="C36" s="24"/>
      <c r="D36" s="24">
        <f>IFERROR('Data Sheet'!B93,0)</f>
        <v>58.52</v>
      </c>
      <c r="E36" s="24">
        <f>IFERROR('Data Sheet'!C93,0)</f>
        <v>58.59</v>
      </c>
      <c r="F36" s="24">
        <f>IFERROR('Data Sheet'!D93,0)</f>
        <v>58.59</v>
      </c>
      <c r="G36" s="24">
        <f>IFERROR('Data Sheet'!E93,0)</f>
        <v>58.59</v>
      </c>
      <c r="H36" s="24">
        <f>IFERROR('Data Sheet'!F93,0)</f>
        <v>58.59</v>
      </c>
      <c r="I36" s="24">
        <f>IFERROR('Data Sheet'!G93,0)</f>
        <v>58.59</v>
      </c>
      <c r="J36" s="24">
        <f>IFERROR('Data Sheet'!H93,0)</f>
        <v>58.59</v>
      </c>
      <c r="K36" s="24">
        <f>IFERROR('Data Sheet'!I93,0)</f>
        <v>58.59</v>
      </c>
      <c r="L36" s="24">
        <f>IFERROR('Data Sheet'!J93,0)</f>
        <v>58.59</v>
      </c>
      <c r="M36" s="24">
        <f>IFERROR('Data Sheet'!K93,0)</f>
        <v>58.59</v>
      </c>
    </row>
    <row r="38" spans="1:14" x14ac:dyDescent="0.3">
      <c r="B38" t="s">
        <v>100</v>
      </c>
      <c r="D38" s="24">
        <f>IFERROR(D33/D36,0)</f>
        <v>31.157552973342447</v>
      </c>
      <c r="E38" s="24">
        <f t="shared" ref="E38:M38" si="15">IFERROR(E33/E36,0)</f>
        <v>37.319508448540709</v>
      </c>
      <c r="F38" s="24">
        <f t="shared" si="15"/>
        <v>39.559481140126273</v>
      </c>
      <c r="G38" s="24">
        <f t="shared" si="15"/>
        <v>39.162655743300888</v>
      </c>
      <c r="H38" s="24">
        <f t="shared" si="15"/>
        <v>45.706605222734211</v>
      </c>
      <c r="I38" s="24">
        <f t="shared" si="15"/>
        <v>36.497525174944506</v>
      </c>
      <c r="J38" s="24">
        <f t="shared" si="15"/>
        <v>42.579791773340176</v>
      </c>
      <c r="K38" s="24">
        <f t="shared" si="15"/>
        <v>27.940945553848785</v>
      </c>
      <c r="L38" s="24">
        <f t="shared" si="15"/>
        <v>47.848608977641177</v>
      </c>
      <c r="M38" s="24">
        <f t="shared" si="15"/>
        <v>48.843147294760172</v>
      </c>
    </row>
    <row r="39" spans="1:14" x14ac:dyDescent="0.3">
      <c r="B39" s="26" t="s">
        <v>102</v>
      </c>
      <c r="C39" s="26"/>
      <c r="D39" s="26"/>
      <c r="E39" s="26">
        <f>E38/D38-1</f>
        <v>0.19776763215231519</v>
      </c>
      <c r="F39" s="26">
        <f t="shared" ref="F39:M39" si="16">F38/E38-1</f>
        <v>6.0021495049277673E-2</v>
      </c>
      <c r="G39" s="26">
        <f t="shared" si="16"/>
        <v>-1.0031107218513857E-2</v>
      </c>
      <c r="H39" s="26">
        <f t="shared" si="16"/>
        <v>0.16709667297148822</v>
      </c>
      <c r="I39" s="26">
        <f t="shared" si="16"/>
        <v>-0.20148247726805923</v>
      </c>
      <c r="J39" s="26">
        <f t="shared" si="16"/>
        <v>0.1666487404075041</v>
      </c>
      <c r="K39" s="26">
        <f t="shared" si="16"/>
        <v>-0.34379797574907323</v>
      </c>
      <c r="L39" s="26">
        <f t="shared" si="16"/>
        <v>0.71249068451980757</v>
      </c>
      <c r="M39" s="26">
        <f t="shared" si="16"/>
        <v>2.0785104068202331E-2</v>
      </c>
    </row>
    <row r="40" spans="1:14" x14ac:dyDescent="0.3"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</row>
    <row r="41" spans="1:14" x14ac:dyDescent="0.3">
      <c r="B41" t="s">
        <v>101</v>
      </c>
      <c r="D41" s="24">
        <f>IFERROR('Data Sheet'!B31/'Historical FS'!D36,0)</f>
        <v>2.5</v>
      </c>
      <c r="E41" s="24">
        <f>IFERROR('Data Sheet'!C31/'Historical FS'!E36,0)</f>
        <v>2.5000853387950159</v>
      </c>
      <c r="F41" s="24">
        <f>IFERROR('Data Sheet'!D31/'Historical FS'!F36,0)</f>
        <v>2.5000853387950159</v>
      </c>
      <c r="G41" s="24">
        <f>IFERROR('Data Sheet'!E31/'Historical FS'!G36,0)</f>
        <v>2.5000853387950159</v>
      </c>
      <c r="H41" s="24">
        <f>IFERROR('Data Sheet'!F31/'Historical FS'!H36,0)</f>
        <v>3</v>
      </c>
      <c r="I41" s="24">
        <f>IFERROR('Data Sheet'!G31/'Historical FS'!I36,0)</f>
        <v>4</v>
      </c>
      <c r="J41" s="24">
        <f>IFERROR('Data Sheet'!H31/'Historical FS'!J36,0)</f>
        <v>8.9999999999999982</v>
      </c>
      <c r="K41" s="24">
        <f>IFERROR('Data Sheet'!I31/'Historical FS'!K36,0)</f>
        <v>7.4999146612049836</v>
      </c>
      <c r="L41" s="24">
        <f>IFERROR('Data Sheet'!J31/'Historical FS'!L36,0)</f>
        <v>4.5000853387950164</v>
      </c>
      <c r="M41" s="24">
        <f>IFERROR('Data Sheet'!K31/'Historical FS'!M36,0)</f>
        <v>0</v>
      </c>
    </row>
    <row r="42" spans="1:14" x14ac:dyDescent="0.3">
      <c r="B42" s="26" t="s">
        <v>103</v>
      </c>
      <c r="C42" s="26"/>
      <c r="D42" s="26">
        <f>IFERROR(D41/D38,0)</f>
        <v>8.0237366590981379E-2</v>
      </c>
      <c r="E42" s="26">
        <f t="shared" ref="E42:M42" si="17">IFERROR(E41/E38,0)</f>
        <v>6.6991379113214872E-2</v>
      </c>
      <c r="F42" s="26">
        <f t="shared" si="17"/>
        <v>6.3198132703998239E-2</v>
      </c>
      <c r="G42" s="26">
        <f t="shared" si="17"/>
        <v>6.3838503578059244E-2</v>
      </c>
      <c r="H42" s="26">
        <f t="shared" si="17"/>
        <v>6.5636027558393609E-2</v>
      </c>
      <c r="I42" s="26">
        <f t="shared" si="17"/>
        <v>0.10959647211219663</v>
      </c>
      <c r="J42" s="26">
        <f t="shared" si="17"/>
        <v>0.21136787253231776</v>
      </c>
      <c r="K42" s="26">
        <f t="shared" si="17"/>
        <v>0.2684202167299915</v>
      </c>
      <c r="L42" s="26">
        <f t="shared" si="17"/>
        <v>9.4048404644277703E-2</v>
      </c>
      <c r="M42" s="26">
        <f t="shared" si="17"/>
        <v>0</v>
      </c>
    </row>
    <row r="44" spans="1:14" x14ac:dyDescent="0.3">
      <c r="B44" s="30" t="s">
        <v>104</v>
      </c>
      <c r="D44" s="29">
        <f>IFERROR(IF(D41&lt;D38,1-D41/D38,0),0)</f>
        <v>0.91976263340901865</v>
      </c>
      <c r="E44" s="29">
        <f t="shared" ref="E44:M44" si="18">IFERROR(IF(E41&lt;E38,1-E41/E38,0),0)</f>
        <v>0.93300862088678516</v>
      </c>
      <c r="F44" s="29">
        <f t="shared" si="18"/>
        <v>0.93680186729600179</v>
      </c>
      <c r="G44" s="29">
        <f t="shared" si="18"/>
        <v>0.9361614964219408</v>
      </c>
      <c r="H44" s="29">
        <f t="shared" si="18"/>
        <v>0.93436397244160641</v>
      </c>
      <c r="I44" s="29">
        <f t="shared" si="18"/>
        <v>0.89040352788780341</v>
      </c>
      <c r="J44" s="29">
        <f t="shared" si="18"/>
        <v>0.78863212746768219</v>
      </c>
      <c r="K44" s="29">
        <f t="shared" si="18"/>
        <v>0.7315797832700085</v>
      </c>
      <c r="L44" s="29">
        <f t="shared" si="18"/>
        <v>0.90595159535572234</v>
      </c>
      <c r="M44" s="29">
        <f t="shared" si="18"/>
        <v>1</v>
      </c>
    </row>
    <row r="47" spans="1:14" x14ac:dyDescent="0.3">
      <c r="A47" t="s">
        <v>83</v>
      </c>
      <c r="B47" s="67" t="s">
        <v>105</v>
      </c>
      <c r="C47" s="67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</row>
    <row r="48" spans="1:14" x14ac:dyDescent="0.3">
      <c r="B48" s="6" t="s">
        <v>23</v>
      </c>
      <c r="D48" s="24">
        <f>IFERROR('Data Sheet'!B57,0)</f>
        <v>58.52</v>
      </c>
      <c r="E48" s="24">
        <f>IFERROR('Data Sheet'!C57,0)</f>
        <v>58.59</v>
      </c>
      <c r="F48" s="24">
        <f>IFERROR('Data Sheet'!D57,0)</f>
        <v>58.59</v>
      </c>
      <c r="G48" s="24">
        <f>IFERROR('Data Sheet'!E57,0)</f>
        <v>58.59</v>
      </c>
      <c r="H48" s="24">
        <f>IFERROR('Data Sheet'!F57,0)</f>
        <v>58.59</v>
      </c>
      <c r="I48" s="24">
        <f>IFERROR('Data Sheet'!G57,0)</f>
        <v>58.59</v>
      </c>
      <c r="J48" s="24">
        <f>IFERROR('Data Sheet'!H57,0)</f>
        <v>58.59</v>
      </c>
      <c r="K48" s="24">
        <f>IFERROR('Data Sheet'!I57,0)</f>
        <v>58.59</v>
      </c>
      <c r="L48" s="24">
        <f>IFERROR('Data Sheet'!J57,0)</f>
        <v>58.59</v>
      </c>
      <c r="M48" s="24">
        <f>IFERROR('Data Sheet'!K57,0)</f>
        <v>58.08</v>
      </c>
    </row>
    <row r="49" spans="1:13" x14ac:dyDescent="0.3">
      <c r="B49" s="6" t="s">
        <v>24</v>
      </c>
      <c r="D49" s="24">
        <f>IFERROR('Data Sheet'!B58,0)</f>
        <v>7228.78</v>
      </c>
      <c r="E49" s="24">
        <f>IFERROR('Data Sheet'!C58,0)</f>
        <v>9313.32</v>
      </c>
      <c r="F49" s="24">
        <f>IFERROR('Data Sheet'!D58,0)</f>
        <v>11621.83</v>
      </c>
      <c r="G49" s="24">
        <f>IFERROR('Data Sheet'!E58,0)</f>
        <v>13832.19</v>
      </c>
      <c r="H49" s="24">
        <f>IFERROR('Data Sheet'!F58,0)</f>
        <v>16766.080000000002</v>
      </c>
      <c r="I49" s="24">
        <f>IFERROR('Data Sheet'!G58,0)</f>
        <v>21871.279999999999</v>
      </c>
      <c r="J49" s="24">
        <f>IFERROR('Data Sheet'!H58,0)</f>
        <v>24517.39</v>
      </c>
      <c r="K49" s="24">
        <f>IFERROR('Data Sheet'!I58,0)</f>
        <v>26781.26</v>
      </c>
      <c r="L49" s="24">
        <f>IFERROR('Data Sheet'!J58,0)</f>
        <v>29784.21</v>
      </c>
      <c r="M49" s="24">
        <f>IFERROR('Data Sheet'!K58,0)</f>
        <v>32595.24</v>
      </c>
    </row>
    <row r="50" spans="1:13" x14ac:dyDescent="0.3">
      <c r="B50" s="6" t="s">
        <v>60</v>
      </c>
      <c r="D50" s="24">
        <f>IFERROR('Data Sheet'!B59,0)</f>
        <v>5041.07</v>
      </c>
      <c r="E50" s="24">
        <f>IFERROR('Data Sheet'!C59,0)</f>
        <v>3364.14</v>
      </c>
      <c r="F50" s="24">
        <f>IFERROR('Data Sheet'!D59,0)</f>
        <v>4769.93</v>
      </c>
      <c r="G50" s="24">
        <f>IFERROR('Data Sheet'!E59,0)</f>
        <v>6966.76</v>
      </c>
      <c r="H50" s="24">
        <f>IFERROR('Data Sheet'!F59,0)</f>
        <v>5826.38</v>
      </c>
      <c r="I50" s="24">
        <f>IFERROR('Data Sheet'!G59,0)</f>
        <v>5339.08</v>
      </c>
      <c r="J50" s="24">
        <f>IFERROR('Data Sheet'!H59,0)</f>
        <v>2851.27</v>
      </c>
      <c r="K50" s="24">
        <f>IFERROR('Data Sheet'!I59,0)</f>
        <v>5286.21</v>
      </c>
      <c r="L50" s="24">
        <f>IFERROR('Data Sheet'!J59,0)</f>
        <v>6647.63</v>
      </c>
      <c r="M50" s="24">
        <f>IFERROR('Data Sheet'!K59,0)</f>
        <v>8262.8700000000008</v>
      </c>
    </row>
    <row r="51" spans="1:13" x14ac:dyDescent="0.3">
      <c r="B51" s="6" t="s">
        <v>61</v>
      </c>
      <c r="D51" s="24">
        <f>IFERROR('Data Sheet'!B60,0)</f>
        <v>3567.87</v>
      </c>
      <c r="E51" s="24">
        <f>IFERROR('Data Sheet'!C60,0)</f>
        <v>3464.07</v>
      </c>
      <c r="F51" s="24">
        <f>IFERROR('Data Sheet'!D60,0)</f>
        <v>4491.8900000000003</v>
      </c>
      <c r="G51" s="24">
        <f>IFERROR('Data Sheet'!E60,0)</f>
        <v>5413.53</v>
      </c>
      <c r="H51" s="24">
        <f>IFERROR('Data Sheet'!F60,0)</f>
        <v>6113.49</v>
      </c>
      <c r="I51" s="24">
        <f>IFERROR('Data Sheet'!G60,0)</f>
        <v>6146.97</v>
      </c>
      <c r="J51" s="24">
        <f>IFERROR('Data Sheet'!H60,0)</f>
        <v>6211.11</v>
      </c>
      <c r="K51" s="24">
        <f>IFERROR('Data Sheet'!I60,0)</f>
        <v>7379.2</v>
      </c>
      <c r="L51" s="24">
        <f>IFERROR('Data Sheet'!J60,0)</f>
        <v>8226.76</v>
      </c>
      <c r="M51" s="24">
        <f>IFERROR('Data Sheet'!K60,0)</f>
        <v>8868.7800000000007</v>
      </c>
    </row>
    <row r="52" spans="1:13" ht="15" thickBot="1" x14ac:dyDescent="0.35">
      <c r="A52" s="54"/>
      <c r="B52" s="74" t="s">
        <v>106</v>
      </c>
      <c r="C52" s="75"/>
      <c r="D52" s="76">
        <f>IFERROR('Data Sheet'!B61,0)</f>
        <v>15896.24</v>
      </c>
      <c r="E52" s="76">
        <f>IFERROR('Data Sheet'!C61,0)</f>
        <v>16200.12</v>
      </c>
      <c r="F52" s="76">
        <f>IFERROR('Data Sheet'!D61,0)</f>
        <v>20942.240000000002</v>
      </c>
      <c r="G52" s="76">
        <f>IFERROR('Data Sheet'!E61,0)</f>
        <v>26271.07</v>
      </c>
      <c r="H52" s="76">
        <f>IFERROR('Data Sheet'!F61,0)</f>
        <v>28764.54</v>
      </c>
      <c r="I52" s="76">
        <f>IFERROR('Data Sheet'!G61,0)</f>
        <v>33415.919999999998</v>
      </c>
      <c r="J52" s="76">
        <f>IFERROR('Data Sheet'!H61,0)</f>
        <v>33638.36</v>
      </c>
      <c r="K52" s="76">
        <f>IFERROR('Data Sheet'!I61,0)</f>
        <v>39505.26</v>
      </c>
      <c r="L52" s="76">
        <f>IFERROR('Data Sheet'!J61,0)</f>
        <v>44717.19</v>
      </c>
      <c r="M52" s="76">
        <f>IFERROR('Data Sheet'!K61,0)</f>
        <v>49784.97</v>
      </c>
    </row>
    <row r="53" spans="1:13" x14ac:dyDescent="0.3">
      <c r="B53" s="1"/>
    </row>
    <row r="54" spans="1:13" x14ac:dyDescent="0.3">
      <c r="B54" s="6" t="s">
        <v>108</v>
      </c>
      <c r="D54" s="24">
        <f>IFERROR('Data Sheet'!B62,0)</f>
        <v>4179.6899999999996</v>
      </c>
      <c r="E54" s="24">
        <f>IFERROR('Data Sheet'!C62,0)</f>
        <v>4833.78</v>
      </c>
      <c r="F54" s="24">
        <f>IFERROR('Data Sheet'!D62,0)</f>
        <v>6520.68</v>
      </c>
      <c r="G54" s="24">
        <f>IFERROR('Data Sheet'!E62,0)</f>
        <v>8474.85</v>
      </c>
      <c r="H54" s="24">
        <f>IFERROR('Data Sheet'!F62,0)</f>
        <v>9396.4699999999993</v>
      </c>
      <c r="I54" s="24">
        <f>IFERROR('Data Sheet'!G62,0)</f>
        <v>9373.58</v>
      </c>
      <c r="J54" s="24">
        <f>IFERROR('Data Sheet'!H62,0)</f>
        <v>10532.09</v>
      </c>
      <c r="K54" s="24">
        <f>IFERROR('Data Sheet'!I62,0)</f>
        <v>11023.69</v>
      </c>
      <c r="L54" s="24">
        <f>IFERROR('Data Sheet'!J62,0)</f>
        <v>14492.79</v>
      </c>
      <c r="M54" s="24">
        <f>IFERROR('Data Sheet'!K62,0)</f>
        <v>16428.150000000001</v>
      </c>
    </row>
    <row r="55" spans="1:13" x14ac:dyDescent="0.3">
      <c r="B55" s="6" t="s">
        <v>27</v>
      </c>
      <c r="D55" s="24">
        <f>IFERROR('Data Sheet'!B63,0)</f>
        <v>848.14</v>
      </c>
      <c r="E55" s="24">
        <f>IFERROR('Data Sheet'!C63,0)</f>
        <v>1458.08</v>
      </c>
      <c r="F55" s="24">
        <f>IFERROR('Data Sheet'!D63,0)</f>
        <v>1583.04</v>
      </c>
      <c r="G55" s="24">
        <f>IFERROR('Data Sheet'!E63,0)</f>
        <v>1668.46</v>
      </c>
      <c r="H55" s="24">
        <f>IFERROR('Data Sheet'!F63,0)</f>
        <v>1985.92</v>
      </c>
      <c r="I55" s="24">
        <f>IFERROR('Data Sheet'!G63,0)</f>
        <v>3061.53</v>
      </c>
      <c r="J55" s="24">
        <f>IFERROR('Data Sheet'!H63,0)</f>
        <v>3747.2</v>
      </c>
      <c r="K55" s="24">
        <f>IFERROR('Data Sheet'!I63,0)</f>
        <v>5390.01</v>
      </c>
      <c r="L55" s="24">
        <f>IFERROR('Data Sheet'!J63,0)</f>
        <v>3868.72</v>
      </c>
      <c r="M55" s="24">
        <f>IFERROR('Data Sheet'!K63,0)</f>
        <v>3266</v>
      </c>
    </row>
    <row r="56" spans="1:13" x14ac:dyDescent="0.3">
      <c r="B56" s="6" t="s">
        <v>28</v>
      </c>
      <c r="D56" s="24">
        <f>IFERROR('Data Sheet'!B64,0)</f>
        <v>122.96</v>
      </c>
      <c r="E56" s="24">
        <f>IFERROR('Data Sheet'!C64,0)</f>
        <v>245.87</v>
      </c>
      <c r="F56" s="24">
        <f>IFERROR('Data Sheet'!D64,0)</f>
        <v>311.54000000000002</v>
      </c>
      <c r="G56" s="24">
        <f>IFERROR('Data Sheet'!E64,0)</f>
        <v>360.22</v>
      </c>
      <c r="H56" s="24">
        <f>IFERROR('Data Sheet'!F64,0)</f>
        <v>554.71</v>
      </c>
      <c r="I56" s="24">
        <f>IFERROR('Data Sheet'!G64,0)</f>
        <v>591.01</v>
      </c>
      <c r="J56" s="24">
        <f>IFERROR('Data Sheet'!H64,0)</f>
        <v>997.15</v>
      </c>
      <c r="K56" s="24">
        <f>IFERROR('Data Sheet'!I64,0)</f>
        <v>542.74</v>
      </c>
      <c r="L56" s="24">
        <f>IFERROR('Data Sheet'!J64,0)</f>
        <v>372.23</v>
      </c>
      <c r="M56" s="24">
        <f>IFERROR('Data Sheet'!K64,0)</f>
        <v>251.71</v>
      </c>
    </row>
    <row r="57" spans="1:13" x14ac:dyDescent="0.3">
      <c r="B57" s="6" t="s">
        <v>62</v>
      </c>
      <c r="D57" s="24">
        <f>IFERROR('Data Sheet'!B65-SUM('Data Sheet'!B67:B69),0)</f>
        <v>1282.3700000000008</v>
      </c>
      <c r="E57" s="24">
        <f>IFERROR('Data Sheet'!C65-SUM('Data Sheet'!C67:C69),0)</f>
        <v>2053.0399999999991</v>
      </c>
      <c r="F57" s="24">
        <f>IFERROR('Data Sheet'!D65-SUM('Data Sheet'!D67:D69),0)</f>
        <v>2326.119999999999</v>
      </c>
      <c r="G57" s="24">
        <f>IFERROR('Data Sheet'!E65-SUM('Data Sheet'!E67:E69),0)</f>
        <v>3150.9799999999996</v>
      </c>
      <c r="H57" s="24">
        <f>IFERROR('Data Sheet'!F65-SUM('Data Sheet'!F67:F69),0)</f>
        <v>1970.2600000000002</v>
      </c>
      <c r="I57" s="24">
        <f>IFERROR('Data Sheet'!G65-SUM('Data Sheet'!G67:G69),0)</f>
        <v>2371.0599999999977</v>
      </c>
      <c r="J57" s="24">
        <f>IFERROR('Data Sheet'!H65-SUM('Data Sheet'!H67:H69),0)</f>
        <v>2600.5699999999979</v>
      </c>
      <c r="K57" s="24">
        <f>IFERROR('Data Sheet'!I65-SUM('Data Sheet'!I67:I69),0)</f>
        <v>3482.1299999999974</v>
      </c>
      <c r="L57" s="24">
        <f>IFERROR('Data Sheet'!J65-SUM('Data Sheet'!J67:J69),0)</f>
        <v>5077.9400000000023</v>
      </c>
      <c r="M57" s="24">
        <f>IFERROR('Data Sheet'!K65-SUM('Data Sheet'!K67:K69),0)</f>
        <v>5313.9700000000012</v>
      </c>
    </row>
    <row r="58" spans="1:13" x14ac:dyDescent="0.3">
      <c r="B58" s="72" t="s">
        <v>109</v>
      </c>
      <c r="C58" s="73"/>
      <c r="D58" s="71">
        <f>IFERROR(SUM(D54:D57),0)</f>
        <v>6433.1600000000008</v>
      </c>
      <c r="E58" s="71">
        <f t="shared" ref="E58:M58" si="19">IFERROR(SUM(E54:E57),0)</f>
        <v>8590.7699999999986</v>
      </c>
      <c r="F58" s="71">
        <f t="shared" si="19"/>
        <v>10741.38</v>
      </c>
      <c r="G58" s="71">
        <f t="shared" si="19"/>
        <v>13654.51</v>
      </c>
      <c r="H58" s="71">
        <f t="shared" si="19"/>
        <v>13907.359999999999</v>
      </c>
      <c r="I58" s="71">
        <f t="shared" si="19"/>
        <v>15397.179999999998</v>
      </c>
      <c r="J58" s="71">
        <f t="shared" si="19"/>
        <v>17877.009999999998</v>
      </c>
      <c r="K58" s="71">
        <f t="shared" si="19"/>
        <v>20438.57</v>
      </c>
      <c r="L58" s="71">
        <f t="shared" si="19"/>
        <v>23811.680000000004</v>
      </c>
      <c r="M58" s="71">
        <f t="shared" si="19"/>
        <v>25259.83</v>
      </c>
    </row>
    <row r="59" spans="1:13" x14ac:dyDescent="0.3">
      <c r="B59" s="1"/>
    </row>
    <row r="60" spans="1:13" x14ac:dyDescent="0.3">
      <c r="B60" s="6" t="s">
        <v>67</v>
      </c>
      <c r="D60" s="24">
        <f>IFERROR('Data Sheet'!B67,0)</f>
        <v>4606.68</v>
      </c>
      <c r="E60" s="24">
        <f>IFERROR('Data Sheet'!C67,0)</f>
        <v>2765.33</v>
      </c>
      <c r="F60" s="24">
        <f>IFERROR('Data Sheet'!D67,0)</f>
        <v>3080.2</v>
      </c>
      <c r="G60" s="24">
        <f>IFERROR('Data Sheet'!E67,0)</f>
        <v>3413.78</v>
      </c>
      <c r="H60" s="24">
        <f>IFERROR('Data Sheet'!F67,0)</f>
        <v>4315.16</v>
      </c>
      <c r="I60" s="24">
        <f>IFERROR('Data Sheet'!G67,0)</f>
        <v>3503.28</v>
      </c>
      <c r="J60" s="24">
        <f>IFERROR('Data Sheet'!H67,0)</f>
        <v>4012.26</v>
      </c>
      <c r="K60" s="24">
        <f>IFERROR('Data Sheet'!I67,0)</f>
        <v>4466.38</v>
      </c>
      <c r="L60" s="24">
        <f>IFERROR('Data Sheet'!J67,0)</f>
        <v>4816.74</v>
      </c>
      <c r="M60" s="24">
        <f>IFERROR('Data Sheet'!K67,0)</f>
        <v>5745.93</v>
      </c>
    </row>
    <row r="61" spans="1:13" x14ac:dyDescent="0.3">
      <c r="B61" s="6" t="s">
        <v>43</v>
      </c>
      <c r="D61" s="24">
        <f>IFERROR('Data Sheet'!B68,0)</f>
        <v>4056.14</v>
      </c>
      <c r="E61" s="24">
        <f>IFERROR('Data Sheet'!C68,0)</f>
        <v>4330.54</v>
      </c>
      <c r="F61" s="24">
        <f>IFERROR('Data Sheet'!D68,0)</f>
        <v>5858.41</v>
      </c>
      <c r="G61" s="24">
        <f>IFERROR('Data Sheet'!E68,0)</f>
        <v>7245.6</v>
      </c>
      <c r="H61" s="24">
        <f>IFERROR('Data Sheet'!F68,0)</f>
        <v>7699.87</v>
      </c>
      <c r="I61" s="24">
        <f>IFERROR('Data Sheet'!G68,0)</f>
        <v>9041.18</v>
      </c>
      <c r="J61" s="24">
        <f>IFERROR('Data Sheet'!H68,0)</f>
        <v>7559.08</v>
      </c>
      <c r="K61" s="24">
        <f>IFERROR('Data Sheet'!I68,0)</f>
        <v>8516.11</v>
      </c>
      <c r="L61" s="24">
        <f>IFERROR('Data Sheet'!J68,0)</f>
        <v>9810.4699999999993</v>
      </c>
      <c r="M61" s="24">
        <f>IFERROR('Data Sheet'!K68,0)</f>
        <v>10543.72</v>
      </c>
    </row>
    <row r="62" spans="1:13" x14ac:dyDescent="0.3">
      <c r="B62" s="4" t="s">
        <v>76</v>
      </c>
      <c r="D62" s="24">
        <f>IFERROR('Data Sheet'!B69,0)</f>
        <v>800.26</v>
      </c>
      <c r="E62" s="24">
        <f>IFERROR('Data Sheet'!C69,0)</f>
        <v>513.48</v>
      </c>
      <c r="F62" s="24">
        <f>IFERROR('Data Sheet'!D69,0)</f>
        <v>1262.25</v>
      </c>
      <c r="G62" s="24">
        <f>IFERROR('Data Sheet'!E69,0)</f>
        <v>1957.18</v>
      </c>
      <c r="H62" s="24">
        <f>IFERROR('Data Sheet'!F69,0)</f>
        <v>2842.15</v>
      </c>
      <c r="I62" s="24">
        <f>IFERROR('Data Sheet'!G69,0)</f>
        <v>5474.28</v>
      </c>
      <c r="J62" s="24">
        <f>IFERROR('Data Sheet'!H69,0)</f>
        <v>4190.01</v>
      </c>
      <c r="K62" s="24">
        <f>IFERROR('Data Sheet'!I69,0)</f>
        <v>6084.2</v>
      </c>
      <c r="L62" s="24">
        <f>IFERROR('Data Sheet'!J69,0)</f>
        <v>6278.3</v>
      </c>
      <c r="M62" s="24">
        <f>IFERROR('Data Sheet'!K69,0)</f>
        <v>8235.49</v>
      </c>
    </row>
    <row r="63" spans="1:13" x14ac:dyDescent="0.3">
      <c r="B63" s="72" t="s">
        <v>110</v>
      </c>
      <c r="C63" s="73"/>
      <c r="D63" s="71">
        <f>IFERROR(SUM(D60:D62),0)</f>
        <v>9463.08</v>
      </c>
      <c r="E63" s="71">
        <f t="shared" ref="E63:M63" si="20">IFERROR(SUM(E60:E62),0)</f>
        <v>7609.35</v>
      </c>
      <c r="F63" s="71">
        <f t="shared" si="20"/>
        <v>10200.86</v>
      </c>
      <c r="G63" s="71">
        <f t="shared" si="20"/>
        <v>12616.560000000001</v>
      </c>
      <c r="H63" s="71">
        <f t="shared" si="20"/>
        <v>14857.179999999998</v>
      </c>
      <c r="I63" s="71">
        <f t="shared" si="20"/>
        <v>18018.740000000002</v>
      </c>
      <c r="J63" s="71">
        <f t="shared" si="20"/>
        <v>15761.35</v>
      </c>
      <c r="K63" s="71">
        <f t="shared" si="20"/>
        <v>19066.690000000002</v>
      </c>
      <c r="L63" s="71">
        <f t="shared" si="20"/>
        <v>20905.509999999998</v>
      </c>
      <c r="M63" s="71">
        <f t="shared" si="20"/>
        <v>24525.14</v>
      </c>
    </row>
    <row r="65" spans="1:14" ht="15" thickBot="1" x14ac:dyDescent="0.35">
      <c r="B65" s="74" t="s">
        <v>107</v>
      </c>
      <c r="C65" s="75"/>
      <c r="D65" s="76">
        <f>IFERROR(SUM(D63,D58),0)</f>
        <v>15896.240000000002</v>
      </c>
      <c r="E65" s="76">
        <f t="shared" ref="E65:M65" si="21">IFERROR(SUM(E63,E58),0)</f>
        <v>16200.119999999999</v>
      </c>
      <c r="F65" s="76">
        <f t="shared" si="21"/>
        <v>20942.239999999998</v>
      </c>
      <c r="G65" s="76">
        <f t="shared" si="21"/>
        <v>26271.07</v>
      </c>
      <c r="H65" s="76">
        <f t="shared" si="21"/>
        <v>28764.539999999997</v>
      </c>
      <c r="I65" s="76">
        <f t="shared" si="21"/>
        <v>33415.919999999998</v>
      </c>
      <c r="J65" s="76">
        <f t="shared" si="21"/>
        <v>33638.36</v>
      </c>
      <c r="K65" s="76">
        <f t="shared" si="21"/>
        <v>39505.26</v>
      </c>
      <c r="L65" s="76">
        <f t="shared" si="21"/>
        <v>44717.19</v>
      </c>
      <c r="M65" s="76">
        <f t="shared" si="21"/>
        <v>49784.97</v>
      </c>
    </row>
    <row r="67" spans="1:14" x14ac:dyDescent="0.3">
      <c r="B67" s="31" t="s">
        <v>111</v>
      </c>
      <c r="D67" t="b">
        <f>D65=D52</f>
        <v>1</v>
      </c>
      <c r="E67" t="b">
        <f t="shared" ref="E67:M67" si="22">E65=E52</f>
        <v>1</v>
      </c>
      <c r="F67" t="b">
        <f t="shared" si="22"/>
        <v>1</v>
      </c>
      <c r="G67" t="b">
        <f t="shared" si="22"/>
        <v>1</v>
      </c>
      <c r="H67" t="b">
        <f t="shared" si="22"/>
        <v>1</v>
      </c>
      <c r="I67" t="b">
        <f t="shared" si="22"/>
        <v>1</v>
      </c>
      <c r="J67" t="b">
        <f t="shared" si="22"/>
        <v>1</v>
      </c>
      <c r="K67" t="b">
        <f t="shared" si="22"/>
        <v>1</v>
      </c>
      <c r="L67" t="b">
        <f t="shared" si="22"/>
        <v>1</v>
      </c>
      <c r="M67" t="b">
        <f t="shared" si="22"/>
        <v>1</v>
      </c>
    </row>
    <row r="70" spans="1:14" x14ac:dyDescent="0.3">
      <c r="A70" t="s">
        <v>83</v>
      </c>
      <c r="B70" s="67" t="s">
        <v>139</v>
      </c>
      <c r="C70" s="67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</row>
    <row r="71" spans="1:14" x14ac:dyDescent="0.3">
      <c r="B71" s="2" t="s">
        <v>140</v>
      </c>
    </row>
    <row r="72" spans="1:14" x14ac:dyDescent="0.3">
      <c r="B72" t="s">
        <v>112</v>
      </c>
      <c r="D72" s="24">
        <f>IFERROR('Cash Flow Data'!E4,0)</f>
        <v>43397</v>
      </c>
      <c r="E72" s="24">
        <f>IFERROR('Cash Flow Data'!F4,0)</f>
        <v>38626</v>
      </c>
      <c r="F72" s="24">
        <f>IFERROR('Cash Flow Data'!G4,0)</f>
        <v>28840</v>
      </c>
      <c r="G72" s="24">
        <f>IFERROR('Cash Flow Data'!H4,0)</f>
        <v>33312</v>
      </c>
      <c r="H72" s="24">
        <f>IFERROR('Cash Flow Data'!I4,0)</f>
        <v>28771</v>
      </c>
      <c r="I72" s="24">
        <f>IFERROR('Cash Flow Data'!J4,0)</f>
        <v>23352</v>
      </c>
      <c r="J72" s="24">
        <f>IFERROR('Cash Flow Data'!K4,0)</f>
        <v>31198</v>
      </c>
      <c r="K72" s="24">
        <f>IFERROR('Cash Flow Data'!L4,0)</f>
        <v>26943</v>
      </c>
      <c r="L72" s="24">
        <f>IFERROR('Cash Flow Data'!M4,0)</f>
        <v>41694</v>
      </c>
      <c r="M72" s="24">
        <f>IFERROR('Cash Flow Data'!N4,0)</f>
        <v>65106</v>
      </c>
    </row>
    <row r="73" spans="1:14" x14ac:dyDescent="0.3">
      <c r="B73" t="s">
        <v>67</v>
      </c>
      <c r="D73" s="24">
        <f>IFERROR('Cash Flow Data'!E5,0)</f>
        <v>-3179</v>
      </c>
      <c r="E73" s="24">
        <f>IFERROR('Cash Flow Data'!F5,0)</f>
        <v>-2223</v>
      </c>
      <c r="F73" s="24">
        <f>IFERROR('Cash Flow Data'!G5,0)</f>
        <v>-4152</v>
      </c>
      <c r="G73" s="24">
        <f>IFERROR('Cash Flow Data'!H5,0)</f>
        <v>-10688</v>
      </c>
      <c r="H73" s="24">
        <f>IFERROR('Cash Flow Data'!I5,0)</f>
        <v>-9109</v>
      </c>
      <c r="I73" s="24">
        <f>IFERROR('Cash Flow Data'!J5,0)</f>
        <v>9950</v>
      </c>
      <c r="J73" s="24">
        <f>IFERROR('Cash Flow Data'!K5,0)</f>
        <v>-5505</v>
      </c>
      <c r="K73" s="24">
        <f>IFERROR('Cash Flow Data'!L5,0)</f>
        <v>185</v>
      </c>
      <c r="L73" s="24">
        <f>IFERROR('Cash Flow Data'!M5,0)</f>
        <v>-2213</v>
      </c>
      <c r="M73" s="24">
        <f>IFERROR('Cash Flow Data'!N5,0)</f>
        <v>-1875</v>
      </c>
    </row>
    <row r="74" spans="1:14" x14ac:dyDescent="0.3">
      <c r="B74" t="s">
        <v>43</v>
      </c>
      <c r="D74" s="24">
        <f>IFERROR('Cash Flow Data'!E6,0)</f>
        <v>-3692</v>
      </c>
      <c r="E74" s="24">
        <f>IFERROR('Cash Flow Data'!F6,0)</f>
        <v>-5743</v>
      </c>
      <c r="F74" s="24">
        <f>IFERROR('Cash Flow Data'!G6,0)</f>
        <v>-6621</v>
      </c>
      <c r="G74" s="24">
        <f>IFERROR('Cash Flow Data'!H6,0)</f>
        <v>-3560</v>
      </c>
      <c r="H74" s="24">
        <f>IFERROR('Cash Flow Data'!I6,0)</f>
        <v>2069</v>
      </c>
      <c r="I74" s="24">
        <f>IFERROR('Cash Flow Data'!J6,0)</f>
        <v>2326</v>
      </c>
      <c r="J74" s="24">
        <f>IFERROR('Cash Flow Data'!K6,0)</f>
        <v>3814</v>
      </c>
      <c r="K74" s="24">
        <f>IFERROR('Cash Flow Data'!L6,0)</f>
        <v>472</v>
      </c>
      <c r="L74" s="24">
        <f>IFERROR('Cash Flow Data'!M6,0)</f>
        <v>-5665</v>
      </c>
      <c r="M74" s="24">
        <f>IFERROR('Cash Flow Data'!N6,0)</f>
        <v>-7265</v>
      </c>
    </row>
    <row r="75" spans="1:14" x14ac:dyDescent="0.3">
      <c r="B75" t="s">
        <v>113</v>
      </c>
      <c r="D75" s="24">
        <f>IFERROR('Cash Flow Data'!E7,0)</f>
        <v>3598</v>
      </c>
      <c r="E75" s="24">
        <f>IFERROR('Cash Flow Data'!F7,0)</f>
        <v>3947</v>
      </c>
      <c r="F75" s="24">
        <f>IFERROR('Cash Flow Data'!G7,0)</f>
        <v>9301</v>
      </c>
      <c r="G75" s="24">
        <f>IFERROR('Cash Flow Data'!H7,0)</f>
        <v>7320</v>
      </c>
      <c r="H75" s="24">
        <f>IFERROR('Cash Flow Data'!I7,0)</f>
        <v>-4692</v>
      </c>
      <c r="I75" s="24">
        <f>IFERROR('Cash Flow Data'!J7,0)</f>
        <v>-8085</v>
      </c>
      <c r="J75" s="24">
        <f>IFERROR('Cash Flow Data'!K7,0)</f>
        <v>5748</v>
      </c>
      <c r="K75" s="24">
        <f>IFERROR('Cash Flow Data'!L7,0)</f>
        <v>-7012</v>
      </c>
      <c r="L75" s="24">
        <f>IFERROR('Cash Flow Data'!M7,0)</f>
        <v>6945</v>
      </c>
      <c r="M75" s="24">
        <f>IFERROR('Cash Flow Data'!N7,0)</f>
        <v>13706</v>
      </c>
    </row>
    <row r="76" spans="1:14" x14ac:dyDescent="0.3">
      <c r="B76" t="s">
        <v>114</v>
      </c>
      <c r="D76" s="24">
        <f>IFERROR('Cash Flow Data'!E8,0)</f>
        <v>0</v>
      </c>
      <c r="E76" s="24">
        <f>IFERROR('Cash Flow Data'!F8,0)</f>
        <v>-520</v>
      </c>
      <c r="F76" s="24">
        <f>IFERROR('Cash Flow Data'!G8,0)</f>
        <v>0</v>
      </c>
      <c r="G76" s="24">
        <f>IFERROR('Cash Flow Data'!H8,0)</f>
        <v>0</v>
      </c>
      <c r="H76" s="24">
        <f>IFERROR('Cash Flow Data'!I8,0)</f>
        <v>0</v>
      </c>
      <c r="I76" s="24">
        <f>IFERROR('Cash Flow Data'!J8,0)</f>
        <v>0</v>
      </c>
      <c r="J76" s="24">
        <f>IFERROR('Cash Flow Data'!K8,0)</f>
        <v>0</v>
      </c>
      <c r="K76" s="24">
        <f>IFERROR('Cash Flow Data'!L8,0)</f>
        <v>0</v>
      </c>
      <c r="L76" s="24">
        <f>IFERROR('Cash Flow Data'!M8,0)</f>
        <v>0</v>
      </c>
      <c r="M76" s="24">
        <f>IFERROR('Cash Flow Data'!N8,0)</f>
        <v>0</v>
      </c>
    </row>
    <row r="77" spans="1:14" x14ac:dyDescent="0.3">
      <c r="B77" t="s">
        <v>115</v>
      </c>
      <c r="D77" s="24">
        <f>IFERROR('Cash Flow Data'!E9,0)</f>
        <v>-398</v>
      </c>
      <c r="E77" s="24">
        <f>IFERROR('Cash Flow Data'!F9,0)</f>
        <v>5852</v>
      </c>
      <c r="F77" s="24">
        <f>IFERROR('Cash Flow Data'!G9,0)</f>
        <v>4727</v>
      </c>
      <c r="G77" s="24">
        <f>IFERROR('Cash Flow Data'!H9,0)</f>
        <v>494</v>
      </c>
      <c r="H77" s="24">
        <f>IFERROR('Cash Flow Data'!I9,0)</f>
        <v>4512</v>
      </c>
      <c r="I77" s="24">
        <f>IFERROR('Cash Flow Data'!J9,0)</f>
        <v>875</v>
      </c>
      <c r="J77" s="24">
        <f>IFERROR('Cash Flow Data'!K9,0)</f>
        <v>-4150</v>
      </c>
      <c r="K77" s="24">
        <f>IFERROR('Cash Flow Data'!L9,0)</f>
        <v>-4396</v>
      </c>
      <c r="L77" s="24">
        <f>IFERROR('Cash Flow Data'!M9,0)</f>
        <v>-2194</v>
      </c>
      <c r="M77" s="24">
        <f>IFERROR('Cash Flow Data'!N9,0)</f>
        <v>2760</v>
      </c>
    </row>
    <row r="78" spans="1:14" x14ac:dyDescent="0.3">
      <c r="B78" t="s">
        <v>116</v>
      </c>
      <c r="D78" s="24">
        <f>IFERROR('Cash Flow Data'!E10,0)</f>
        <v>-3672</v>
      </c>
      <c r="E78" s="24">
        <f>IFERROR('Cash Flow Data'!F10,0)</f>
        <v>1313</v>
      </c>
      <c r="F78" s="24">
        <f>IFERROR('Cash Flow Data'!G10,0)</f>
        <v>3254</v>
      </c>
      <c r="G78" s="24">
        <f>IFERROR('Cash Flow Data'!H10,0)</f>
        <v>-6434</v>
      </c>
      <c r="H78" s="24">
        <f>IFERROR('Cash Flow Data'!I10,0)</f>
        <v>-7221</v>
      </c>
      <c r="I78" s="24">
        <f>IFERROR('Cash Flow Data'!J10,0)</f>
        <v>5065</v>
      </c>
      <c r="J78" s="24">
        <f>IFERROR('Cash Flow Data'!K10,0)</f>
        <v>-93</v>
      </c>
      <c r="K78" s="24">
        <f>IFERROR('Cash Flow Data'!L10,0)</f>
        <v>-10750</v>
      </c>
      <c r="L78" s="24">
        <f>IFERROR('Cash Flow Data'!M10,0)</f>
        <v>-3127</v>
      </c>
      <c r="M78" s="24">
        <f>IFERROR('Cash Flow Data'!N10,0)</f>
        <v>7325</v>
      </c>
    </row>
    <row r="79" spans="1:14" x14ac:dyDescent="0.3">
      <c r="B79" t="s">
        <v>117</v>
      </c>
      <c r="D79" s="24">
        <f>IFERROR('Cash Flow Data'!E11,0)</f>
        <v>-4194</v>
      </c>
      <c r="E79" s="24">
        <f>IFERROR('Cash Flow Data'!F11,0)</f>
        <v>-2040</v>
      </c>
      <c r="F79" s="24">
        <f>IFERROR('Cash Flow Data'!G11,0)</f>
        <v>-1895</v>
      </c>
      <c r="G79" s="24">
        <f>IFERROR('Cash Flow Data'!H11,0)</f>
        <v>-3021</v>
      </c>
      <c r="H79" s="24">
        <f>IFERROR('Cash Flow Data'!I11,0)</f>
        <v>-2659</v>
      </c>
      <c r="I79" s="24">
        <f>IFERROR('Cash Flow Data'!J11,0)</f>
        <v>-1785</v>
      </c>
      <c r="J79" s="24">
        <f>IFERROR('Cash Flow Data'!K11,0)</f>
        <v>-2105</v>
      </c>
      <c r="K79" s="24">
        <f>IFERROR('Cash Flow Data'!L11,0)</f>
        <v>-1910</v>
      </c>
      <c r="L79" s="24">
        <f>IFERROR('Cash Flow Data'!M11,0)</f>
        <v>-3179</v>
      </c>
      <c r="M79" s="24">
        <f>IFERROR('Cash Flow Data'!N11,0)</f>
        <v>-4516</v>
      </c>
    </row>
    <row r="80" spans="1:14" x14ac:dyDescent="0.3">
      <c r="B80" s="69" t="s">
        <v>138</v>
      </c>
      <c r="C80" s="73"/>
      <c r="D80" s="71">
        <f>IFERROR(SUM(D72:D79),0)</f>
        <v>31860</v>
      </c>
      <c r="E80" s="71">
        <f t="shared" ref="E80:M80" si="23">IFERROR(SUM(E72:E79),0)</f>
        <v>39212</v>
      </c>
      <c r="F80" s="71">
        <f t="shared" si="23"/>
        <v>33454</v>
      </c>
      <c r="G80" s="71">
        <f t="shared" si="23"/>
        <v>17423</v>
      </c>
      <c r="H80" s="71">
        <f t="shared" si="23"/>
        <v>11671</v>
      </c>
      <c r="I80" s="71">
        <f t="shared" si="23"/>
        <v>31698</v>
      </c>
      <c r="J80" s="71">
        <f t="shared" si="23"/>
        <v>28907</v>
      </c>
      <c r="K80" s="71">
        <f t="shared" si="23"/>
        <v>3532</v>
      </c>
      <c r="L80" s="71">
        <f t="shared" si="23"/>
        <v>32261</v>
      </c>
      <c r="M80" s="71">
        <f t="shared" si="23"/>
        <v>75241</v>
      </c>
    </row>
    <row r="82" spans="2:13" x14ac:dyDescent="0.3">
      <c r="B82" s="2" t="s">
        <v>141</v>
      </c>
    </row>
    <row r="83" spans="2:13" x14ac:dyDescent="0.3">
      <c r="B83" t="s">
        <v>118</v>
      </c>
      <c r="D83" s="24">
        <f>IFERROR('Cash Flow Data'!E13,0)</f>
        <v>-31962</v>
      </c>
      <c r="E83" s="24">
        <f>IFERROR('Cash Flow Data'!F13,0)</f>
        <v>-31503</v>
      </c>
      <c r="F83" s="24">
        <f>IFERROR('Cash Flow Data'!G13,0)</f>
        <v>-16072</v>
      </c>
      <c r="G83" s="24">
        <f>IFERROR('Cash Flow Data'!H13,0)</f>
        <v>-35079</v>
      </c>
      <c r="H83" s="24">
        <f>IFERROR('Cash Flow Data'!I13,0)</f>
        <v>-35304</v>
      </c>
      <c r="I83" s="24">
        <f>IFERROR('Cash Flow Data'!J13,0)</f>
        <v>-29702</v>
      </c>
      <c r="J83" s="24">
        <f>IFERROR('Cash Flow Data'!K13,0)</f>
        <v>-20205</v>
      </c>
      <c r="K83" s="24">
        <f>IFERROR('Cash Flow Data'!L13,0)</f>
        <v>-15168</v>
      </c>
      <c r="L83" s="24">
        <f>IFERROR('Cash Flow Data'!M13,0)</f>
        <v>-19230</v>
      </c>
      <c r="M83" s="24">
        <f>IFERROR('Cash Flow Data'!N13,0)</f>
        <v>-31414</v>
      </c>
    </row>
    <row r="84" spans="2:13" x14ac:dyDescent="0.3">
      <c r="B84" t="s">
        <v>119</v>
      </c>
      <c r="D84" s="24">
        <f>IFERROR('Cash Flow Data'!E14,0)</f>
        <v>74</v>
      </c>
      <c r="E84" s="24">
        <f>IFERROR('Cash Flow Data'!F14,0)</f>
        <v>59</v>
      </c>
      <c r="F84" s="24">
        <f>IFERROR('Cash Flow Data'!G14,0)</f>
        <v>53</v>
      </c>
      <c r="G84" s="24">
        <f>IFERROR('Cash Flow Data'!H14,0)</f>
        <v>30</v>
      </c>
      <c r="H84" s="24">
        <f>IFERROR('Cash Flow Data'!I14,0)</f>
        <v>67</v>
      </c>
      <c r="I84" s="24">
        <f>IFERROR('Cash Flow Data'!J14,0)</f>
        <v>171</v>
      </c>
      <c r="J84" s="24">
        <f>IFERROR('Cash Flow Data'!K14,0)</f>
        <v>351</v>
      </c>
      <c r="K84" s="24">
        <f>IFERROR('Cash Flow Data'!L14,0)</f>
        <v>230</v>
      </c>
      <c r="L84" s="24">
        <f>IFERROR('Cash Flow Data'!M14,0)</f>
        <v>285</v>
      </c>
      <c r="M84" s="24">
        <f>IFERROR('Cash Flow Data'!N14,0)</f>
        <v>231</v>
      </c>
    </row>
    <row r="85" spans="2:13" x14ac:dyDescent="0.3">
      <c r="B85" t="s">
        <v>120</v>
      </c>
      <c r="D85" s="24">
        <f>IFERROR('Cash Flow Data'!E15,0)</f>
        <v>-5461</v>
      </c>
      <c r="E85" s="24">
        <f>IFERROR('Cash Flow Data'!F15,0)</f>
        <v>-4728</v>
      </c>
      <c r="F85" s="24">
        <f>IFERROR('Cash Flow Data'!G15,0)</f>
        <v>-6</v>
      </c>
      <c r="G85" s="24">
        <f>IFERROR('Cash Flow Data'!H15,0)</f>
        <v>-329</v>
      </c>
      <c r="H85" s="24">
        <f>IFERROR('Cash Flow Data'!I15,0)</f>
        <v>-130</v>
      </c>
      <c r="I85" s="24">
        <f>IFERROR('Cash Flow Data'!J15,0)</f>
        <v>-1439</v>
      </c>
      <c r="J85" s="24">
        <f>IFERROR('Cash Flow Data'!K15,0)</f>
        <v>-7530</v>
      </c>
      <c r="K85" s="24">
        <f>IFERROR('Cash Flow Data'!L15,0)</f>
        <v>-3008</v>
      </c>
      <c r="L85" s="24">
        <f>IFERROR('Cash Flow Data'!M15,0)</f>
        <v>-50</v>
      </c>
      <c r="M85" s="24">
        <f>IFERROR('Cash Flow Data'!N15,0)</f>
        <v>-74</v>
      </c>
    </row>
    <row r="86" spans="2:13" x14ac:dyDescent="0.3">
      <c r="B86" t="s">
        <v>121</v>
      </c>
      <c r="D86" s="24">
        <f>IFERROR('Cash Flow Data'!E16,0)</f>
        <v>42</v>
      </c>
      <c r="E86" s="24">
        <f>IFERROR('Cash Flow Data'!F16,0)</f>
        <v>89</v>
      </c>
      <c r="F86" s="24">
        <f>IFERROR('Cash Flow Data'!G16,0)</f>
        <v>1965</v>
      </c>
      <c r="G86" s="24">
        <f>IFERROR('Cash Flow Data'!H16,0)</f>
        <v>2381</v>
      </c>
      <c r="H86" s="24">
        <f>IFERROR('Cash Flow Data'!I16,0)</f>
        <v>5644</v>
      </c>
      <c r="I86" s="24">
        <f>IFERROR('Cash Flow Data'!J16,0)</f>
        <v>21</v>
      </c>
      <c r="J86" s="24">
        <f>IFERROR('Cash Flow Data'!K16,0)</f>
        <v>226</v>
      </c>
      <c r="K86" s="24">
        <f>IFERROR('Cash Flow Data'!L16,0)</f>
        <v>104</v>
      </c>
      <c r="L86" s="24">
        <f>IFERROR('Cash Flow Data'!M16,0)</f>
        <v>6895</v>
      </c>
      <c r="M86" s="24">
        <f>IFERROR('Cash Flow Data'!N16,0)</f>
        <v>10820</v>
      </c>
    </row>
    <row r="87" spans="2:13" x14ac:dyDescent="0.3">
      <c r="B87" t="s">
        <v>122</v>
      </c>
      <c r="D87" s="24">
        <f>IFERROR('Cash Flow Data'!E17,0)</f>
        <v>698</v>
      </c>
      <c r="E87" s="24">
        <f>IFERROR('Cash Flow Data'!F17,0)</f>
        <v>731</v>
      </c>
      <c r="F87" s="24">
        <f>IFERROR('Cash Flow Data'!G17,0)</f>
        <v>638</v>
      </c>
      <c r="G87" s="24">
        <f>IFERROR('Cash Flow Data'!H17,0)</f>
        <v>690</v>
      </c>
      <c r="H87" s="24">
        <f>IFERROR('Cash Flow Data'!I17,0)</f>
        <v>761</v>
      </c>
      <c r="I87" s="24">
        <f>IFERROR('Cash Flow Data'!J17,0)</f>
        <v>1104</v>
      </c>
      <c r="J87" s="24">
        <f>IFERROR('Cash Flow Data'!K17,0)</f>
        <v>428</v>
      </c>
      <c r="K87" s="24">
        <f>IFERROR('Cash Flow Data'!L17,0)</f>
        <v>653</v>
      </c>
      <c r="L87" s="24">
        <f>IFERROR('Cash Flow Data'!M17,0)</f>
        <v>973</v>
      </c>
      <c r="M87" s="24">
        <f>IFERROR('Cash Flow Data'!N17,0)</f>
        <v>2493</v>
      </c>
    </row>
    <row r="88" spans="2:13" x14ac:dyDescent="0.3">
      <c r="B88" t="s">
        <v>123</v>
      </c>
      <c r="D88" s="24">
        <f>IFERROR('Cash Flow Data'!E18,0)</f>
        <v>80</v>
      </c>
      <c r="E88" s="24">
        <f>IFERROR('Cash Flow Data'!F18,0)</f>
        <v>58</v>
      </c>
      <c r="F88" s="24">
        <f>IFERROR('Cash Flow Data'!G18,0)</f>
        <v>620</v>
      </c>
      <c r="G88" s="24">
        <f>IFERROR('Cash Flow Data'!H18,0)</f>
        <v>1797</v>
      </c>
      <c r="H88" s="24">
        <f>IFERROR('Cash Flow Data'!I18,0)</f>
        <v>232</v>
      </c>
      <c r="I88" s="24">
        <f>IFERROR('Cash Flow Data'!J18,0)</f>
        <v>21</v>
      </c>
      <c r="J88" s="24">
        <f>IFERROR('Cash Flow Data'!K18,0)</f>
        <v>18</v>
      </c>
      <c r="K88" s="24">
        <f>IFERROR('Cash Flow Data'!L18,0)</f>
        <v>32</v>
      </c>
      <c r="L88" s="24">
        <f>IFERROR('Cash Flow Data'!M18,0)</f>
        <v>46</v>
      </c>
      <c r="M88" s="24">
        <f>IFERROR('Cash Flow Data'!N18,0)</f>
        <v>47</v>
      </c>
    </row>
    <row r="89" spans="2:13" x14ac:dyDescent="0.3">
      <c r="B89" t="s">
        <v>124</v>
      </c>
      <c r="D89" s="24">
        <f>IFERROR('Cash Flow Data'!E19,0)</f>
        <v>-160</v>
      </c>
      <c r="E89" s="24">
        <f>IFERROR('Cash Flow Data'!F19,0)</f>
        <v>0</v>
      </c>
      <c r="F89" s="24">
        <f>IFERROR('Cash Flow Data'!G19,0)</f>
        <v>-107</v>
      </c>
      <c r="G89" s="24">
        <f>IFERROR('Cash Flow Data'!H19,0)</f>
        <v>-4</v>
      </c>
      <c r="H89" s="24">
        <f>IFERROR('Cash Flow Data'!I19,0)</f>
        <v>-9</v>
      </c>
      <c r="I89" s="24">
        <f>IFERROR('Cash Flow Data'!J19,0)</f>
        <v>-606</v>
      </c>
      <c r="J89" s="24">
        <f>IFERROR('Cash Flow Data'!K19,0)</f>
        <v>-10</v>
      </c>
      <c r="K89" s="24">
        <f>IFERROR('Cash Flow Data'!L19,0)</f>
        <v>0</v>
      </c>
      <c r="L89" s="24">
        <f>IFERROR('Cash Flow Data'!M19,0)</f>
        <v>0</v>
      </c>
      <c r="M89" s="24">
        <f>IFERROR('Cash Flow Data'!N19,0)</f>
        <v>-150</v>
      </c>
    </row>
    <row r="90" spans="2:13" x14ac:dyDescent="0.3">
      <c r="B90" t="s">
        <v>125</v>
      </c>
      <c r="D90" s="24">
        <f>IFERROR('Cash Flow Data'!E20,0)</f>
        <v>0</v>
      </c>
      <c r="E90" s="24">
        <f>IFERROR('Cash Flow Data'!F20,0)</f>
        <v>0</v>
      </c>
      <c r="F90" s="24">
        <f>IFERROR('Cash Flow Data'!G20,0)</f>
        <v>0</v>
      </c>
      <c r="G90" s="24">
        <f>IFERROR('Cash Flow Data'!H20,0)</f>
        <v>14</v>
      </c>
      <c r="H90" s="24">
        <f>IFERROR('Cash Flow Data'!I20,0)</f>
        <v>533</v>
      </c>
      <c r="I90" s="24">
        <f>IFERROR('Cash Flow Data'!J20,0)</f>
        <v>0</v>
      </c>
      <c r="J90" s="24">
        <f>IFERROR('Cash Flow Data'!K20,0)</f>
        <v>0</v>
      </c>
      <c r="K90" s="24">
        <f>IFERROR('Cash Flow Data'!L20,0)</f>
        <v>0</v>
      </c>
      <c r="L90" s="24">
        <f>IFERROR('Cash Flow Data'!M20,0)</f>
        <v>19</v>
      </c>
      <c r="M90" s="24">
        <f>IFERROR('Cash Flow Data'!N20,0)</f>
        <v>108</v>
      </c>
    </row>
    <row r="91" spans="2:13" x14ac:dyDescent="0.3">
      <c r="B91" t="s">
        <v>126</v>
      </c>
      <c r="D91" s="24">
        <f>IFERROR('Cash Flow Data'!E21,0)</f>
        <v>0</v>
      </c>
      <c r="E91" s="24">
        <f>IFERROR('Cash Flow Data'!F21,0)</f>
        <v>-111</v>
      </c>
      <c r="F91" s="24">
        <f>IFERROR('Cash Flow Data'!G21,0)</f>
        <v>0</v>
      </c>
      <c r="G91" s="24">
        <f>IFERROR('Cash Flow Data'!H21,0)</f>
        <v>0</v>
      </c>
      <c r="H91" s="24">
        <f>IFERROR('Cash Flow Data'!I21,0)</f>
        <v>-8</v>
      </c>
      <c r="I91" s="24">
        <f>IFERROR('Cash Flow Data'!J21,0)</f>
        <v>-27</v>
      </c>
      <c r="J91" s="24">
        <f>IFERROR('Cash Flow Data'!K21,0)</f>
        <v>0</v>
      </c>
      <c r="K91" s="24">
        <f>IFERROR('Cash Flow Data'!L21,0)</f>
        <v>-98</v>
      </c>
      <c r="L91" s="24">
        <f>IFERROR('Cash Flow Data'!M21,0)</f>
        <v>0</v>
      </c>
      <c r="M91" s="24">
        <f>IFERROR('Cash Flow Data'!N21,0)</f>
        <v>0</v>
      </c>
    </row>
    <row r="92" spans="2:13" x14ac:dyDescent="0.3">
      <c r="B92" t="s">
        <v>127</v>
      </c>
      <c r="D92" s="24">
        <f>IFERROR('Cash Flow Data'!E22,0)</f>
        <v>0</v>
      </c>
      <c r="E92" s="24">
        <f>IFERROR('Cash Flow Data'!F22,0)</f>
        <v>0</v>
      </c>
      <c r="F92" s="24">
        <f>IFERROR('Cash Flow Data'!G22,0)</f>
        <v>0</v>
      </c>
      <c r="G92" s="24">
        <f>IFERROR('Cash Flow Data'!H22,0)</f>
        <v>0</v>
      </c>
      <c r="H92" s="24">
        <f>IFERROR('Cash Flow Data'!I22,0)</f>
        <v>0</v>
      </c>
      <c r="I92" s="24">
        <f>IFERROR('Cash Flow Data'!J22,0)</f>
        <v>0</v>
      </c>
      <c r="J92" s="24">
        <f>IFERROR('Cash Flow Data'!K22,0)</f>
        <v>0</v>
      </c>
      <c r="K92" s="24">
        <f>IFERROR('Cash Flow Data'!L22,0)</f>
        <v>0</v>
      </c>
      <c r="L92" s="24">
        <f>IFERROR('Cash Flow Data'!M22,0)</f>
        <v>0</v>
      </c>
      <c r="M92" s="24">
        <f>IFERROR('Cash Flow Data'!N22,0)</f>
        <v>-24</v>
      </c>
    </row>
    <row r="93" spans="2:13" x14ac:dyDescent="0.3">
      <c r="B93" t="s">
        <v>128</v>
      </c>
      <c r="D93" s="24">
        <f>IFERROR('Cash Flow Data'!E23,0)</f>
        <v>456</v>
      </c>
      <c r="E93" s="24">
        <f>IFERROR('Cash Flow Data'!F23,0)</f>
        <v>-1289</v>
      </c>
      <c r="F93" s="24">
        <f>IFERROR('Cash Flow Data'!G23,0)</f>
        <v>-26663</v>
      </c>
      <c r="G93" s="24">
        <f>IFERROR('Cash Flow Data'!H23,0)</f>
        <v>5360</v>
      </c>
      <c r="H93" s="24">
        <f>IFERROR('Cash Flow Data'!I23,0)</f>
        <v>7335</v>
      </c>
      <c r="I93" s="24">
        <f>IFERROR('Cash Flow Data'!J23,0)</f>
        <v>-2659</v>
      </c>
      <c r="J93" s="24">
        <f>IFERROR('Cash Flow Data'!K23,0)</f>
        <v>1051</v>
      </c>
      <c r="K93" s="24">
        <f>IFERROR('Cash Flow Data'!L23,0)</f>
        <v>12813</v>
      </c>
      <c r="L93" s="24">
        <f>IFERROR('Cash Flow Data'!M23,0)</f>
        <v>-4357</v>
      </c>
      <c r="M93" s="24">
        <f>IFERROR('Cash Flow Data'!N23,0)</f>
        <v>-4817</v>
      </c>
    </row>
    <row r="94" spans="2:13" x14ac:dyDescent="0.3">
      <c r="B94" s="69" t="s">
        <v>142</v>
      </c>
      <c r="C94" s="73"/>
      <c r="D94" s="71">
        <f>SUM(D83:D93)</f>
        <v>-36233</v>
      </c>
      <c r="E94" s="71">
        <f t="shared" ref="E94:M94" si="24">SUM(E83:E93)</f>
        <v>-36694</v>
      </c>
      <c r="F94" s="71">
        <f t="shared" si="24"/>
        <v>-39572</v>
      </c>
      <c r="G94" s="71">
        <f t="shared" si="24"/>
        <v>-25140</v>
      </c>
      <c r="H94" s="71">
        <f t="shared" si="24"/>
        <v>-20879</v>
      </c>
      <c r="I94" s="71">
        <f t="shared" si="24"/>
        <v>-33116</v>
      </c>
      <c r="J94" s="71">
        <f t="shared" si="24"/>
        <v>-25671</v>
      </c>
      <c r="K94" s="71">
        <f t="shared" si="24"/>
        <v>-4442</v>
      </c>
      <c r="L94" s="71">
        <f t="shared" si="24"/>
        <v>-15419</v>
      </c>
      <c r="M94" s="71">
        <f t="shared" si="24"/>
        <v>-22780</v>
      </c>
    </row>
    <row r="96" spans="2:13" x14ac:dyDescent="0.3">
      <c r="B96" s="2" t="s">
        <v>143</v>
      </c>
    </row>
    <row r="97" spans="2:13" x14ac:dyDescent="0.3">
      <c r="B97" t="s">
        <v>129</v>
      </c>
      <c r="D97" s="24">
        <f>IFERROR('Cash Flow Data'!E25,0)</f>
        <v>0</v>
      </c>
      <c r="E97" s="24">
        <f>IFERROR('Cash Flow Data'!F25,0)</f>
        <v>7433</v>
      </c>
      <c r="F97" s="24">
        <f>IFERROR('Cash Flow Data'!G25,0)</f>
        <v>5</v>
      </c>
      <c r="G97" s="24">
        <f>IFERROR('Cash Flow Data'!H25,0)</f>
        <v>0</v>
      </c>
      <c r="H97" s="24">
        <f>IFERROR('Cash Flow Data'!I25,0)</f>
        <v>0</v>
      </c>
      <c r="I97" s="24">
        <f>IFERROR('Cash Flow Data'!J25,0)</f>
        <v>3889</v>
      </c>
      <c r="J97" s="24">
        <f>IFERROR('Cash Flow Data'!K25,0)</f>
        <v>2603</v>
      </c>
      <c r="K97" s="24">
        <f>IFERROR('Cash Flow Data'!L25,0)</f>
        <v>19</v>
      </c>
      <c r="L97" s="24">
        <f>IFERROR('Cash Flow Data'!M25,0)</f>
        <v>20</v>
      </c>
      <c r="M97" s="24">
        <f>IFERROR('Cash Flow Data'!N25,0)</f>
        <v>82</v>
      </c>
    </row>
    <row r="98" spans="2:13" x14ac:dyDescent="0.3">
      <c r="B98" t="s">
        <v>130</v>
      </c>
      <c r="D98" s="24">
        <f>IFERROR('Cash Flow Data'!E26,0)</f>
        <v>-744</v>
      </c>
      <c r="E98" s="24">
        <f>IFERROR('Cash Flow Data'!F26,0)</f>
        <v>0</v>
      </c>
      <c r="F98" s="24">
        <f>IFERROR('Cash Flow Data'!G26,0)</f>
        <v>0</v>
      </c>
      <c r="G98" s="24">
        <f>IFERROR('Cash Flow Data'!H26,0)</f>
        <v>0</v>
      </c>
      <c r="H98" s="24">
        <f>IFERROR('Cash Flow Data'!I26,0)</f>
        <v>0</v>
      </c>
      <c r="I98" s="24">
        <f>IFERROR('Cash Flow Data'!J26,0)</f>
        <v>0</v>
      </c>
      <c r="J98" s="24">
        <f>IFERROR('Cash Flow Data'!K26,0)</f>
        <v>0</v>
      </c>
      <c r="K98" s="24">
        <f>IFERROR('Cash Flow Data'!L26,0)</f>
        <v>0</v>
      </c>
      <c r="L98" s="24">
        <f>IFERROR('Cash Flow Data'!M26,0)</f>
        <v>0</v>
      </c>
      <c r="M98" s="24">
        <f>IFERROR('Cash Flow Data'!N26,0)</f>
        <v>0</v>
      </c>
    </row>
    <row r="99" spans="2:13" x14ac:dyDescent="0.3">
      <c r="B99" t="s">
        <v>131</v>
      </c>
      <c r="D99" s="24">
        <f>IFERROR('Cash Flow Data'!E27,0)</f>
        <v>36363</v>
      </c>
      <c r="E99" s="24">
        <f>IFERROR('Cash Flow Data'!F27,0)</f>
        <v>19519</v>
      </c>
      <c r="F99" s="24">
        <f>IFERROR('Cash Flow Data'!G27,0)</f>
        <v>33390</v>
      </c>
      <c r="G99" s="24">
        <f>IFERROR('Cash Flow Data'!H27,0)</f>
        <v>37482</v>
      </c>
      <c r="H99" s="24">
        <f>IFERROR('Cash Flow Data'!I27,0)</f>
        <v>51128</v>
      </c>
      <c r="I99" s="24">
        <f>IFERROR('Cash Flow Data'!J27,0)</f>
        <v>38297</v>
      </c>
      <c r="J99" s="24">
        <f>IFERROR('Cash Flow Data'!K27,0)</f>
        <v>46641</v>
      </c>
      <c r="K99" s="24">
        <f>IFERROR('Cash Flow Data'!L27,0)</f>
        <v>46578</v>
      </c>
      <c r="L99" s="24">
        <f>IFERROR('Cash Flow Data'!M27,0)</f>
        <v>43934</v>
      </c>
      <c r="M99" s="24">
        <f>IFERROR('Cash Flow Data'!N27,0)</f>
        <v>18747</v>
      </c>
    </row>
    <row r="100" spans="2:13" x14ac:dyDescent="0.3">
      <c r="B100" t="s">
        <v>132</v>
      </c>
      <c r="D100" s="24">
        <f>IFERROR('Cash Flow Data'!E28,0)</f>
        <v>-23332</v>
      </c>
      <c r="E100" s="24">
        <f>IFERROR('Cash Flow Data'!F28,0)</f>
        <v>-24924</v>
      </c>
      <c r="F100" s="24">
        <f>IFERROR('Cash Flow Data'!G28,0)</f>
        <v>-21732</v>
      </c>
      <c r="G100" s="24">
        <f>IFERROR('Cash Flow Data'!H28,0)</f>
        <v>-29964</v>
      </c>
      <c r="H100" s="24">
        <f>IFERROR('Cash Flow Data'!I28,0)</f>
        <v>-35198</v>
      </c>
      <c r="I100" s="24">
        <f>IFERROR('Cash Flow Data'!J28,0)</f>
        <v>-29847</v>
      </c>
      <c r="J100" s="24">
        <f>IFERROR('Cash Flow Data'!K28,0)</f>
        <v>-29709</v>
      </c>
      <c r="K100" s="24">
        <f>IFERROR('Cash Flow Data'!L28,0)</f>
        <v>-42816</v>
      </c>
      <c r="L100" s="24">
        <f>IFERROR('Cash Flow Data'!M28,0)</f>
        <v>-62557</v>
      </c>
      <c r="M100" s="24">
        <f>IFERROR('Cash Flow Data'!N28,0)</f>
        <v>-47332</v>
      </c>
    </row>
    <row r="101" spans="2:13" x14ac:dyDescent="0.3">
      <c r="B101" t="s">
        <v>133</v>
      </c>
      <c r="D101" s="24">
        <f>IFERROR('Cash Flow Data'!E29,0)</f>
        <v>-6307</v>
      </c>
      <c r="E101" s="24">
        <f>IFERROR('Cash Flow Data'!F29,0)</f>
        <v>-5716</v>
      </c>
      <c r="F101" s="24">
        <f>IFERROR('Cash Flow Data'!G29,0)</f>
        <v>-5336</v>
      </c>
      <c r="G101" s="24">
        <f>IFERROR('Cash Flow Data'!H29,0)</f>
        <v>-5411</v>
      </c>
      <c r="H101" s="24">
        <f>IFERROR('Cash Flow Data'!I29,0)</f>
        <v>-7005</v>
      </c>
      <c r="I101" s="24">
        <f>IFERROR('Cash Flow Data'!J29,0)</f>
        <v>-7518</v>
      </c>
      <c r="J101" s="24">
        <f>IFERROR('Cash Flow Data'!K29,0)</f>
        <v>-8123</v>
      </c>
      <c r="K101" s="24">
        <f>IFERROR('Cash Flow Data'!L29,0)</f>
        <v>-9251</v>
      </c>
      <c r="L101" s="24">
        <f>IFERROR('Cash Flow Data'!M29,0)</f>
        <v>-9336</v>
      </c>
      <c r="M101" s="24">
        <f>IFERROR('Cash Flow Data'!N29,0)</f>
        <v>-9332</v>
      </c>
    </row>
    <row r="102" spans="2:13" x14ac:dyDescent="0.3">
      <c r="B102" t="s">
        <v>134</v>
      </c>
      <c r="D102" s="24">
        <f>IFERROR('Cash Flow Data'!E30,0)</f>
        <v>-720</v>
      </c>
      <c r="E102" s="24">
        <f>IFERROR('Cash Flow Data'!F30,0)</f>
        <v>-108</v>
      </c>
      <c r="F102" s="24">
        <f>IFERROR('Cash Flow Data'!G30,0)</f>
        <v>-121</v>
      </c>
      <c r="G102" s="24">
        <f>IFERROR('Cash Flow Data'!H30,0)</f>
        <v>-96</v>
      </c>
      <c r="H102" s="24">
        <f>IFERROR('Cash Flow Data'!I30,0)</f>
        <v>-95</v>
      </c>
      <c r="I102" s="24">
        <f>IFERROR('Cash Flow Data'!J30,0)</f>
        <v>-57</v>
      </c>
      <c r="J102" s="24">
        <f>IFERROR('Cash Flow Data'!K30,0)</f>
        <v>-30</v>
      </c>
      <c r="K102" s="24">
        <f>IFERROR('Cash Flow Data'!L30,0)</f>
        <v>-100</v>
      </c>
      <c r="L102" s="24">
        <f>IFERROR('Cash Flow Data'!M30,0)</f>
        <v>-141</v>
      </c>
      <c r="M102" s="24">
        <f>IFERROR('Cash Flow Data'!N30,0)</f>
        <v>-1059</v>
      </c>
    </row>
    <row r="103" spans="2:13" x14ac:dyDescent="0.3">
      <c r="B103" t="s">
        <v>135</v>
      </c>
      <c r="D103" s="24">
        <f>IFERROR('Cash Flow Data'!E31,0)</f>
        <v>0</v>
      </c>
      <c r="E103" s="24">
        <f>IFERROR('Cash Flow Data'!F31,0)</f>
        <v>0</v>
      </c>
      <c r="F103" s="24">
        <f>IFERROR('Cash Flow Data'!G31,0)</f>
        <v>0</v>
      </c>
      <c r="G103" s="24">
        <f>IFERROR('Cash Flow Data'!H31,0)</f>
        <v>0</v>
      </c>
      <c r="H103" s="24">
        <f>IFERROR('Cash Flow Data'!I31,0)</f>
        <v>0</v>
      </c>
      <c r="I103" s="24">
        <f>IFERROR('Cash Flow Data'!J31,0)</f>
        <v>-1346</v>
      </c>
      <c r="J103" s="24">
        <f>IFERROR('Cash Flow Data'!K31,0)</f>
        <v>-1477</v>
      </c>
      <c r="K103" s="24">
        <f>IFERROR('Cash Flow Data'!L31,0)</f>
        <v>-1559</v>
      </c>
      <c r="L103" s="24">
        <f>IFERROR('Cash Flow Data'!M31,0)</f>
        <v>-1517</v>
      </c>
      <c r="M103" s="24">
        <f>IFERROR('Cash Flow Data'!N31,0)</f>
        <v>-1924</v>
      </c>
    </row>
    <row r="104" spans="2:13" x14ac:dyDescent="0.3">
      <c r="B104" t="s">
        <v>136</v>
      </c>
      <c r="D104" s="24">
        <f>IFERROR('Cash Flow Data'!E32,0)</f>
        <v>-57</v>
      </c>
      <c r="E104" s="24">
        <f>IFERROR('Cash Flow Data'!F32,0)</f>
        <v>0</v>
      </c>
      <c r="F104" s="24">
        <f>IFERROR('Cash Flow Data'!G32,0)</f>
        <v>0</v>
      </c>
      <c r="G104" s="24">
        <f>IFERROR('Cash Flow Data'!H32,0)</f>
        <v>0</v>
      </c>
      <c r="H104" s="24">
        <f>IFERROR('Cash Flow Data'!I32,0)</f>
        <v>0</v>
      </c>
      <c r="I104" s="24">
        <f>IFERROR('Cash Flow Data'!J32,0)</f>
        <v>-29</v>
      </c>
      <c r="J104" s="24">
        <f>IFERROR('Cash Flow Data'!K32,0)</f>
        <v>0</v>
      </c>
      <c r="K104" s="24">
        <f>IFERROR('Cash Flow Data'!L32,0)</f>
        <v>3750</v>
      </c>
      <c r="L104" s="24">
        <f>IFERROR('Cash Flow Data'!M32,0)</f>
        <v>3355</v>
      </c>
      <c r="M104" s="24">
        <f>IFERROR('Cash Flow Data'!N32,0)</f>
        <v>3812</v>
      </c>
    </row>
    <row r="105" spans="2:13" x14ac:dyDescent="0.3">
      <c r="B105" s="69" t="s">
        <v>144</v>
      </c>
      <c r="C105" s="73"/>
      <c r="D105" s="71">
        <f>SUM(D97:D104)</f>
        <v>5203</v>
      </c>
      <c r="E105" s="71">
        <f t="shared" ref="E105:M105" si="25">SUM(E97:E104)</f>
        <v>-3796</v>
      </c>
      <c r="F105" s="71">
        <f t="shared" si="25"/>
        <v>6206</v>
      </c>
      <c r="G105" s="71">
        <f t="shared" si="25"/>
        <v>2011</v>
      </c>
      <c r="H105" s="71">
        <f t="shared" si="25"/>
        <v>8830</v>
      </c>
      <c r="I105" s="71">
        <f t="shared" si="25"/>
        <v>3389</v>
      </c>
      <c r="J105" s="71">
        <f t="shared" si="25"/>
        <v>9905</v>
      </c>
      <c r="K105" s="71">
        <f t="shared" si="25"/>
        <v>-3379</v>
      </c>
      <c r="L105" s="71">
        <f t="shared" si="25"/>
        <v>-26242</v>
      </c>
      <c r="M105" s="71">
        <f t="shared" si="25"/>
        <v>-37006</v>
      </c>
    </row>
    <row r="107" spans="2:13" ht="15" thickBot="1" x14ac:dyDescent="0.35">
      <c r="B107" s="77" t="s">
        <v>34</v>
      </c>
      <c r="C107" s="75"/>
      <c r="D107" s="76">
        <f>IFERROR(D105+D94+D80,0)</f>
        <v>830</v>
      </c>
      <c r="E107" s="76">
        <f t="shared" ref="E107:M107" si="26">IFERROR(E105+E94+E80,0)</f>
        <v>-1278</v>
      </c>
      <c r="F107" s="76">
        <f t="shared" si="26"/>
        <v>88</v>
      </c>
      <c r="G107" s="76">
        <f t="shared" si="26"/>
        <v>-5706</v>
      </c>
      <c r="H107" s="76">
        <f t="shared" si="26"/>
        <v>-378</v>
      </c>
      <c r="I107" s="76">
        <f t="shared" si="26"/>
        <v>1971</v>
      </c>
      <c r="J107" s="76">
        <f t="shared" si="26"/>
        <v>13141</v>
      </c>
      <c r="K107" s="76">
        <f t="shared" si="26"/>
        <v>-4289</v>
      </c>
      <c r="L107" s="76">
        <f t="shared" si="26"/>
        <v>-9400</v>
      </c>
      <c r="M107" s="76">
        <f t="shared" si="26"/>
        <v>15455</v>
      </c>
    </row>
  </sheetData>
  <mergeCells count="1">
    <mergeCell ref="B2:N2"/>
  </mergeCells>
  <pageMargins left="0.7" right="0.7" top="0.75" bottom="0.75" header="0.3" footer="0.3"/>
  <ignoredErrors>
    <ignoredError sqref="N5 N8 D14:N14 N24 N30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EBC5A-351F-4054-AF2B-AA937EA3E4E4}">
  <dimension ref="B2:N33"/>
  <sheetViews>
    <sheetView workbookViewId="0">
      <selection activeCell="D16" sqref="D16"/>
    </sheetView>
  </sheetViews>
  <sheetFormatPr defaultRowHeight="14.4" x14ac:dyDescent="0.3"/>
  <cols>
    <col min="2" max="2" width="27" customWidth="1"/>
  </cols>
  <sheetData>
    <row r="2" spans="2:14" x14ac:dyDescent="0.3">
      <c r="B2" t="s">
        <v>96</v>
      </c>
      <c r="C2" s="63">
        <v>41334</v>
      </c>
      <c r="D2" s="63">
        <v>41699</v>
      </c>
      <c r="E2" s="63">
        <v>42064</v>
      </c>
      <c r="F2" s="63">
        <v>42430</v>
      </c>
      <c r="G2" s="63">
        <v>42795</v>
      </c>
      <c r="H2" s="63">
        <v>43160</v>
      </c>
      <c r="I2" s="63">
        <v>43525</v>
      </c>
      <c r="J2" s="63">
        <v>43891</v>
      </c>
      <c r="K2" s="63">
        <v>44256</v>
      </c>
      <c r="L2" s="63">
        <v>44621</v>
      </c>
      <c r="M2" s="63">
        <v>44986</v>
      </c>
      <c r="N2" s="63">
        <v>45352</v>
      </c>
    </row>
    <row r="3" spans="2:14" x14ac:dyDescent="0.3">
      <c r="B3" t="s">
        <v>31</v>
      </c>
      <c r="C3" s="64">
        <v>22163</v>
      </c>
      <c r="D3" s="64">
        <v>36151</v>
      </c>
      <c r="E3" s="64">
        <v>35531</v>
      </c>
      <c r="F3" s="64">
        <v>37900</v>
      </c>
      <c r="G3" s="64">
        <v>30199</v>
      </c>
      <c r="H3" s="64">
        <v>23857</v>
      </c>
      <c r="I3" s="64">
        <v>18891</v>
      </c>
      <c r="J3" s="64">
        <v>26633</v>
      </c>
      <c r="K3" s="64">
        <v>29001</v>
      </c>
      <c r="L3" s="64">
        <v>14283</v>
      </c>
      <c r="M3" s="64">
        <v>35388</v>
      </c>
      <c r="N3" s="64">
        <v>67915</v>
      </c>
    </row>
    <row r="4" spans="2:14" x14ac:dyDescent="0.3">
      <c r="B4" t="s">
        <v>112</v>
      </c>
      <c r="C4" s="64">
        <v>24406</v>
      </c>
      <c r="D4" s="64">
        <v>36303</v>
      </c>
      <c r="E4" s="64">
        <v>43397</v>
      </c>
      <c r="F4" s="64">
        <v>38626</v>
      </c>
      <c r="G4" s="64">
        <v>28840</v>
      </c>
      <c r="H4" s="64">
        <v>33312</v>
      </c>
      <c r="I4" s="64">
        <v>28771</v>
      </c>
      <c r="J4" s="64">
        <v>23352</v>
      </c>
      <c r="K4" s="64">
        <v>31198</v>
      </c>
      <c r="L4" s="64">
        <v>26943</v>
      </c>
      <c r="M4" s="64">
        <v>41694</v>
      </c>
      <c r="N4" s="64">
        <v>65106</v>
      </c>
    </row>
    <row r="5" spans="2:14" x14ac:dyDescent="0.3">
      <c r="B5" t="s">
        <v>67</v>
      </c>
      <c r="C5" s="64">
        <v>-5177</v>
      </c>
      <c r="D5" s="65">
        <v>445</v>
      </c>
      <c r="E5" s="64">
        <v>-3179</v>
      </c>
      <c r="F5" s="64">
        <v>-2223</v>
      </c>
      <c r="G5" s="64">
        <v>-4152</v>
      </c>
      <c r="H5" s="64">
        <v>-10688</v>
      </c>
      <c r="I5" s="64">
        <v>-9109</v>
      </c>
      <c r="J5" s="64">
        <v>9950</v>
      </c>
      <c r="K5" s="64">
        <v>-5505</v>
      </c>
      <c r="L5" s="65">
        <v>185</v>
      </c>
      <c r="M5" s="64">
        <v>-2213</v>
      </c>
      <c r="N5" s="64">
        <v>-1875</v>
      </c>
    </row>
    <row r="6" spans="2:14" x14ac:dyDescent="0.3">
      <c r="B6" t="s">
        <v>43</v>
      </c>
      <c r="C6" s="64">
        <v>-2656</v>
      </c>
      <c r="D6" s="64">
        <v>-2853</v>
      </c>
      <c r="E6" s="64">
        <v>-3692</v>
      </c>
      <c r="F6" s="64">
        <v>-5743</v>
      </c>
      <c r="G6" s="64">
        <v>-6621</v>
      </c>
      <c r="H6" s="64">
        <v>-3560</v>
      </c>
      <c r="I6" s="64">
        <v>2069</v>
      </c>
      <c r="J6" s="64">
        <v>2326</v>
      </c>
      <c r="K6" s="64">
        <v>3814</v>
      </c>
      <c r="L6" s="65">
        <v>472</v>
      </c>
      <c r="M6" s="64">
        <v>-5665</v>
      </c>
      <c r="N6" s="64">
        <v>-7265</v>
      </c>
    </row>
    <row r="7" spans="2:14" x14ac:dyDescent="0.3">
      <c r="B7" t="s">
        <v>113</v>
      </c>
      <c r="C7" s="64">
        <v>8132</v>
      </c>
      <c r="D7" s="64">
        <v>4694</v>
      </c>
      <c r="E7" s="64">
        <v>3598</v>
      </c>
      <c r="F7" s="64">
        <v>3947</v>
      </c>
      <c r="G7" s="64">
        <v>9301</v>
      </c>
      <c r="H7" s="64">
        <v>7320</v>
      </c>
      <c r="I7" s="64">
        <v>-4692</v>
      </c>
      <c r="J7" s="64">
        <v>-8085</v>
      </c>
      <c r="K7" s="64">
        <v>5748</v>
      </c>
      <c r="L7" s="64">
        <v>-7012</v>
      </c>
      <c r="M7" s="64">
        <v>6945</v>
      </c>
      <c r="N7" s="64">
        <v>13706</v>
      </c>
    </row>
    <row r="8" spans="2:14" x14ac:dyDescent="0.3">
      <c r="B8" t="s">
        <v>114</v>
      </c>
      <c r="C8" s="65">
        <v>0</v>
      </c>
      <c r="D8" s="65">
        <v>0</v>
      </c>
      <c r="E8" s="65">
        <v>0</v>
      </c>
      <c r="F8" s="65">
        <v>-520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 spans="2:14" x14ac:dyDescent="0.3">
      <c r="B9" t="s">
        <v>115</v>
      </c>
      <c r="C9" s="65">
        <v>-303</v>
      </c>
      <c r="D9" s="64">
        <v>1870</v>
      </c>
      <c r="E9" s="65">
        <v>-398</v>
      </c>
      <c r="F9" s="64">
        <v>5852</v>
      </c>
      <c r="G9" s="64">
        <v>4727</v>
      </c>
      <c r="H9" s="65">
        <v>494</v>
      </c>
      <c r="I9" s="64">
        <v>4512</v>
      </c>
      <c r="J9" s="65">
        <v>875</v>
      </c>
      <c r="K9" s="64">
        <v>-4150</v>
      </c>
      <c r="L9" s="64">
        <v>-4396</v>
      </c>
      <c r="M9" s="64">
        <v>-2194</v>
      </c>
      <c r="N9" s="64">
        <v>2760</v>
      </c>
    </row>
    <row r="10" spans="2:14" x14ac:dyDescent="0.3">
      <c r="B10" t="s">
        <v>116</v>
      </c>
      <c r="C10" s="65">
        <v>-3</v>
      </c>
      <c r="D10" s="64">
        <v>4157</v>
      </c>
      <c r="E10" s="64">
        <v>-3672</v>
      </c>
      <c r="F10" s="64">
        <v>1313</v>
      </c>
      <c r="G10" s="64">
        <v>3254</v>
      </c>
      <c r="H10" s="64">
        <v>-6434</v>
      </c>
      <c r="I10" s="64">
        <v>-7221</v>
      </c>
      <c r="J10" s="64">
        <v>5065</v>
      </c>
      <c r="K10" s="65">
        <v>-93</v>
      </c>
      <c r="L10" s="64">
        <v>-10750</v>
      </c>
      <c r="M10" s="64">
        <v>-3127</v>
      </c>
      <c r="N10" s="64">
        <v>7325</v>
      </c>
    </row>
    <row r="11" spans="2:14" x14ac:dyDescent="0.3">
      <c r="B11" t="s">
        <v>117</v>
      </c>
      <c r="C11" s="64">
        <v>-2240</v>
      </c>
      <c r="D11" s="64">
        <v>-4308</v>
      </c>
      <c r="E11" s="64">
        <v>-4194</v>
      </c>
      <c r="F11" s="64">
        <v>-2040</v>
      </c>
      <c r="G11" s="64">
        <v>-1895</v>
      </c>
      <c r="H11" s="64">
        <v>-3021</v>
      </c>
      <c r="I11" s="64">
        <v>-2659</v>
      </c>
      <c r="J11" s="64">
        <v>-1785</v>
      </c>
      <c r="K11" s="64">
        <v>-2105</v>
      </c>
      <c r="L11" s="64">
        <v>-1910</v>
      </c>
      <c r="M11" s="64">
        <v>-3179</v>
      </c>
      <c r="N11" s="64">
        <v>-4516</v>
      </c>
    </row>
    <row r="12" spans="2:14" x14ac:dyDescent="0.3">
      <c r="B12" t="s">
        <v>32</v>
      </c>
      <c r="C12" s="64">
        <v>-22969</v>
      </c>
      <c r="D12" s="64">
        <v>-27991</v>
      </c>
      <c r="E12" s="64">
        <v>-36232</v>
      </c>
      <c r="F12" s="64">
        <v>-36694</v>
      </c>
      <c r="G12" s="64">
        <v>-39571</v>
      </c>
      <c r="H12" s="64">
        <v>-25139</v>
      </c>
      <c r="I12" s="64">
        <v>-20878</v>
      </c>
      <c r="J12" s="64">
        <v>-33115</v>
      </c>
      <c r="K12" s="64">
        <v>-25672</v>
      </c>
      <c r="L12" s="64">
        <v>-4444</v>
      </c>
      <c r="M12" s="64">
        <v>-15417</v>
      </c>
      <c r="N12" s="64">
        <v>-22782</v>
      </c>
    </row>
    <row r="13" spans="2:14" x14ac:dyDescent="0.3">
      <c r="B13" t="s">
        <v>118</v>
      </c>
      <c r="C13" s="64">
        <v>-18863</v>
      </c>
      <c r="D13" s="64">
        <v>-26975</v>
      </c>
      <c r="E13" s="64">
        <v>-31962</v>
      </c>
      <c r="F13" s="64">
        <v>-31503</v>
      </c>
      <c r="G13" s="64">
        <v>-16072</v>
      </c>
      <c r="H13" s="64">
        <v>-35079</v>
      </c>
      <c r="I13" s="64">
        <v>-35304</v>
      </c>
      <c r="J13" s="64">
        <v>-29702</v>
      </c>
      <c r="K13" s="64">
        <v>-20205</v>
      </c>
      <c r="L13" s="64">
        <v>-15168</v>
      </c>
      <c r="M13" s="64">
        <v>-19230</v>
      </c>
      <c r="N13" s="64">
        <v>-31414</v>
      </c>
    </row>
    <row r="14" spans="2:14" x14ac:dyDescent="0.3">
      <c r="B14" t="s">
        <v>119</v>
      </c>
      <c r="C14" s="65">
        <v>37</v>
      </c>
      <c r="D14" s="65">
        <v>50</v>
      </c>
      <c r="E14" s="65">
        <v>74</v>
      </c>
      <c r="F14" s="65">
        <v>59</v>
      </c>
      <c r="G14" s="65">
        <v>53</v>
      </c>
      <c r="H14" s="65">
        <v>30</v>
      </c>
      <c r="I14" s="65">
        <v>67</v>
      </c>
      <c r="J14" s="65">
        <v>171</v>
      </c>
      <c r="K14" s="65">
        <v>351</v>
      </c>
      <c r="L14" s="65">
        <v>230</v>
      </c>
      <c r="M14" s="65">
        <v>285</v>
      </c>
      <c r="N14" s="65">
        <v>231</v>
      </c>
    </row>
    <row r="15" spans="2:14" x14ac:dyDescent="0.3">
      <c r="B15" t="s">
        <v>120</v>
      </c>
      <c r="C15" s="65">
        <v>73</v>
      </c>
      <c r="D15" s="65">
        <v>-429</v>
      </c>
      <c r="E15" s="64">
        <v>-5461</v>
      </c>
      <c r="F15" s="64">
        <v>-4728</v>
      </c>
      <c r="G15" s="65">
        <v>-6</v>
      </c>
      <c r="H15" s="65">
        <v>-329</v>
      </c>
      <c r="I15" s="65">
        <v>-130</v>
      </c>
      <c r="J15" s="64">
        <v>-1439</v>
      </c>
      <c r="K15" s="64">
        <v>-7530</v>
      </c>
      <c r="L15" s="64">
        <v>-3008</v>
      </c>
      <c r="M15" s="65">
        <v>-50</v>
      </c>
      <c r="N15" s="65">
        <v>-74</v>
      </c>
    </row>
    <row r="16" spans="2:14" x14ac:dyDescent="0.3">
      <c r="B16" t="s">
        <v>121</v>
      </c>
      <c r="C16" s="65">
        <v>34</v>
      </c>
      <c r="D16" s="65">
        <v>4</v>
      </c>
      <c r="E16" s="65">
        <v>42</v>
      </c>
      <c r="F16" s="65">
        <v>89</v>
      </c>
      <c r="G16" s="64">
        <v>1965</v>
      </c>
      <c r="H16" s="64">
        <v>2381</v>
      </c>
      <c r="I16" s="64">
        <v>5644</v>
      </c>
      <c r="J16" s="65">
        <v>21</v>
      </c>
      <c r="K16" s="65">
        <v>226</v>
      </c>
      <c r="L16" s="65">
        <v>104</v>
      </c>
      <c r="M16" s="64">
        <v>6895</v>
      </c>
      <c r="N16" s="64">
        <v>10820</v>
      </c>
    </row>
    <row r="17" spans="2:14" x14ac:dyDescent="0.3">
      <c r="B17" t="s">
        <v>122</v>
      </c>
      <c r="C17" s="65">
        <v>713</v>
      </c>
      <c r="D17" s="65">
        <v>653</v>
      </c>
      <c r="E17" s="65">
        <v>698</v>
      </c>
      <c r="F17" s="65">
        <v>731</v>
      </c>
      <c r="G17" s="65">
        <v>638</v>
      </c>
      <c r="H17" s="65">
        <v>690</v>
      </c>
      <c r="I17" s="65">
        <v>761</v>
      </c>
      <c r="J17" s="64">
        <v>1104</v>
      </c>
      <c r="K17" s="65">
        <v>428</v>
      </c>
      <c r="L17" s="65">
        <v>653</v>
      </c>
      <c r="M17" s="65">
        <v>973</v>
      </c>
      <c r="N17" s="64">
        <v>2493</v>
      </c>
    </row>
    <row r="18" spans="2:14" x14ac:dyDescent="0.3">
      <c r="B18" t="s">
        <v>123</v>
      </c>
      <c r="C18" s="65">
        <v>95</v>
      </c>
      <c r="D18" s="65">
        <v>40</v>
      </c>
      <c r="E18" s="65">
        <v>80</v>
      </c>
      <c r="F18" s="65">
        <v>58</v>
      </c>
      <c r="G18" s="65">
        <v>620</v>
      </c>
      <c r="H18" s="64">
        <v>1797</v>
      </c>
      <c r="I18" s="65">
        <v>232</v>
      </c>
      <c r="J18" s="65">
        <v>21</v>
      </c>
      <c r="K18" s="65">
        <v>18</v>
      </c>
      <c r="L18" s="65">
        <v>32</v>
      </c>
      <c r="M18" s="65">
        <v>46</v>
      </c>
      <c r="N18" s="65">
        <v>47</v>
      </c>
    </row>
    <row r="19" spans="2:14" x14ac:dyDescent="0.3">
      <c r="B19" t="s">
        <v>124</v>
      </c>
      <c r="C19" s="65">
        <v>0</v>
      </c>
      <c r="D19" s="65">
        <v>0</v>
      </c>
      <c r="E19" s="65">
        <v>-160</v>
      </c>
      <c r="F19" s="65">
        <v>0</v>
      </c>
      <c r="G19" s="65">
        <v>-107</v>
      </c>
      <c r="H19" s="65">
        <v>-4</v>
      </c>
      <c r="I19" s="65">
        <v>-9</v>
      </c>
      <c r="J19" s="65">
        <v>-606</v>
      </c>
      <c r="K19" s="65">
        <v>-10</v>
      </c>
      <c r="L19" s="65">
        <v>0</v>
      </c>
      <c r="M19" s="65">
        <v>0</v>
      </c>
      <c r="N19" s="65">
        <v>-150</v>
      </c>
    </row>
    <row r="20" spans="2:14" x14ac:dyDescent="0.3">
      <c r="B20" t="s">
        <v>125</v>
      </c>
      <c r="C20" s="65">
        <v>0</v>
      </c>
      <c r="D20" s="65">
        <v>0</v>
      </c>
      <c r="E20" s="65">
        <v>0</v>
      </c>
      <c r="F20" s="65">
        <v>0</v>
      </c>
      <c r="G20" s="65">
        <v>0</v>
      </c>
      <c r="H20" s="65">
        <v>14</v>
      </c>
      <c r="I20" s="65">
        <v>533</v>
      </c>
      <c r="J20" s="65">
        <v>0</v>
      </c>
      <c r="K20" s="65">
        <v>0</v>
      </c>
      <c r="L20" s="65">
        <v>0</v>
      </c>
      <c r="M20" s="65">
        <v>19</v>
      </c>
      <c r="N20" s="65">
        <v>108</v>
      </c>
    </row>
    <row r="21" spans="2:14" x14ac:dyDescent="0.3">
      <c r="B21" t="s">
        <v>126</v>
      </c>
      <c r="C21" s="65">
        <v>0</v>
      </c>
      <c r="D21" s="65">
        <v>-185</v>
      </c>
      <c r="E21" s="65">
        <v>0</v>
      </c>
      <c r="F21" s="65">
        <v>-111</v>
      </c>
      <c r="G21" s="65">
        <v>0</v>
      </c>
      <c r="H21" s="65">
        <v>0</v>
      </c>
      <c r="I21" s="65">
        <v>-8</v>
      </c>
      <c r="J21" s="65">
        <v>-27</v>
      </c>
      <c r="K21" s="65">
        <v>0</v>
      </c>
      <c r="L21" s="65">
        <v>-98</v>
      </c>
      <c r="M21" s="65">
        <v>0</v>
      </c>
      <c r="N21" s="65">
        <v>0</v>
      </c>
    </row>
    <row r="22" spans="2:14" x14ac:dyDescent="0.3">
      <c r="B22" t="s">
        <v>127</v>
      </c>
      <c r="C22" s="65">
        <v>45</v>
      </c>
      <c r="D22" s="65">
        <v>0</v>
      </c>
      <c r="E22" s="65">
        <v>0</v>
      </c>
      <c r="F22" s="65">
        <v>0</v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-24</v>
      </c>
    </row>
    <row r="23" spans="2:14" x14ac:dyDescent="0.3">
      <c r="B23" t="s">
        <v>128</v>
      </c>
      <c r="C23" s="64">
        <v>-5103</v>
      </c>
      <c r="D23" s="64">
        <v>-1149</v>
      </c>
      <c r="E23" s="65">
        <v>456</v>
      </c>
      <c r="F23" s="64">
        <v>-1289</v>
      </c>
      <c r="G23" s="64">
        <v>-26663</v>
      </c>
      <c r="H23" s="64">
        <v>5360</v>
      </c>
      <c r="I23" s="64">
        <v>7335</v>
      </c>
      <c r="J23" s="64">
        <v>-2659</v>
      </c>
      <c r="K23" s="64">
        <v>1051</v>
      </c>
      <c r="L23" s="64">
        <v>12813</v>
      </c>
      <c r="M23" s="64">
        <v>-4357</v>
      </c>
      <c r="N23" s="64">
        <v>-4817</v>
      </c>
    </row>
    <row r="24" spans="2:14" x14ac:dyDescent="0.3">
      <c r="B24" t="s">
        <v>33</v>
      </c>
      <c r="C24" s="64">
        <v>-1692</v>
      </c>
      <c r="D24" s="64">
        <v>-3883</v>
      </c>
      <c r="E24" s="64">
        <v>5201</v>
      </c>
      <c r="F24" s="64">
        <v>-3795</v>
      </c>
      <c r="G24" s="64">
        <v>6205</v>
      </c>
      <c r="H24" s="64">
        <v>2012</v>
      </c>
      <c r="I24" s="64">
        <v>8830</v>
      </c>
      <c r="J24" s="64">
        <v>3390</v>
      </c>
      <c r="K24" s="64">
        <v>9904</v>
      </c>
      <c r="L24" s="64">
        <v>-3380</v>
      </c>
      <c r="M24" s="64">
        <v>-26243</v>
      </c>
      <c r="N24" s="64">
        <v>-37006</v>
      </c>
    </row>
    <row r="25" spans="2:14" x14ac:dyDescent="0.3">
      <c r="B25" t="s">
        <v>129</v>
      </c>
      <c r="C25" s="65">
        <v>1</v>
      </c>
      <c r="D25" s="65">
        <v>0</v>
      </c>
      <c r="E25" s="65">
        <v>0</v>
      </c>
      <c r="F25" s="64">
        <v>7433</v>
      </c>
      <c r="G25" s="65">
        <v>5</v>
      </c>
      <c r="H25" s="65">
        <v>0</v>
      </c>
      <c r="I25" s="65">
        <v>0</v>
      </c>
      <c r="J25" s="64">
        <v>3889</v>
      </c>
      <c r="K25" s="64">
        <v>2603</v>
      </c>
      <c r="L25" s="65">
        <v>19</v>
      </c>
      <c r="M25" s="65">
        <v>20</v>
      </c>
      <c r="N25" s="65">
        <v>82</v>
      </c>
    </row>
    <row r="26" spans="2:14" x14ac:dyDescent="0.3">
      <c r="B26" t="s">
        <v>130</v>
      </c>
      <c r="C26" s="65">
        <v>-97</v>
      </c>
      <c r="D26" s="65">
        <v>-658</v>
      </c>
      <c r="E26" s="65">
        <v>-744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 spans="2:14" x14ac:dyDescent="0.3">
      <c r="B27" t="s">
        <v>131</v>
      </c>
      <c r="C27" s="64">
        <v>27863</v>
      </c>
      <c r="D27" s="64">
        <v>33258</v>
      </c>
      <c r="E27" s="64">
        <v>36363</v>
      </c>
      <c r="F27" s="64">
        <v>19519</v>
      </c>
      <c r="G27" s="64">
        <v>33390</v>
      </c>
      <c r="H27" s="64">
        <v>37482</v>
      </c>
      <c r="I27" s="64">
        <v>51128</v>
      </c>
      <c r="J27" s="64">
        <v>38297</v>
      </c>
      <c r="K27" s="64">
        <v>46641</v>
      </c>
      <c r="L27" s="64">
        <v>46578</v>
      </c>
      <c r="M27" s="64">
        <v>43934</v>
      </c>
      <c r="N27" s="64">
        <v>18747</v>
      </c>
    </row>
    <row r="28" spans="2:14" x14ac:dyDescent="0.3">
      <c r="B28" t="s">
        <v>132</v>
      </c>
      <c r="C28" s="64">
        <v>-20395</v>
      </c>
      <c r="D28" s="64">
        <v>-29141</v>
      </c>
      <c r="E28" s="64">
        <v>-23332</v>
      </c>
      <c r="F28" s="64">
        <v>-24924</v>
      </c>
      <c r="G28" s="64">
        <v>-21732</v>
      </c>
      <c r="H28" s="64">
        <v>-29964</v>
      </c>
      <c r="I28" s="64">
        <v>-35198</v>
      </c>
      <c r="J28" s="64">
        <v>-29847</v>
      </c>
      <c r="K28" s="64">
        <v>-29709</v>
      </c>
      <c r="L28" s="64">
        <v>-42816</v>
      </c>
      <c r="M28" s="64">
        <v>-62557</v>
      </c>
      <c r="N28" s="64">
        <v>-47332</v>
      </c>
    </row>
    <row r="29" spans="2:14" x14ac:dyDescent="0.3">
      <c r="B29" t="s">
        <v>133</v>
      </c>
      <c r="C29" s="64">
        <v>-4666</v>
      </c>
      <c r="D29" s="64">
        <v>-6171</v>
      </c>
      <c r="E29" s="64">
        <v>-6307</v>
      </c>
      <c r="F29" s="64">
        <v>-5716</v>
      </c>
      <c r="G29" s="64">
        <v>-5336</v>
      </c>
      <c r="H29" s="64">
        <v>-5411</v>
      </c>
      <c r="I29" s="64">
        <v>-7005</v>
      </c>
      <c r="J29" s="64">
        <v>-7518</v>
      </c>
      <c r="K29" s="64">
        <v>-8123</v>
      </c>
      <c r="L29" s="64">
        <v>-9251</v>
      </c>
      <c r="M29" s="64">
        <v>-9336</v>
      </c>
      <c r="N29" s="64">
        <v>-9332</v>
      </c>
    </row>
    <row r="30" spans="2:14" x14ac:dyDescent="0.3">
      <c r="B30" t="s">
        <v>134</v>
      </c>
      <c r="C30" s="64">
        <v>-1551</v>
      </c>
      <c r="D30" s="65">
        <v>-722</v>
      </c>
      <c r="E30" s="65">
        <v>-720</v>
      </c>
      <c r="F30" s="65">
        <v>-108</v>
      </c>
      <c r="G30" s="65">
        <v>-121</v>
      </c>
      <c r="H30" s="65">
        <v>-96</v>
      </c>
      <c r="I30" s="65">
        <v>-95</v>
      </c>
      <c r="J30" s="65">
        <v>-57</v>
      </c>
      <c r="K30" s="65">
        <v>-30</v>
      </c>
      <c r="L30" s="65">
        <v>-100</v>
      </c>
      <c r="M30" s="65">
        <v>-141</v>
      </c>
      <c r="N30" s="64">
        <v>-1059</v>
      </c>
    </row>
    <row r="31" spans="2:14" x14ac:dyDescent="0.3">
      <c r="B31" t="s">
        <v>135</v>
      </c>
      <c r="C31" s="65">
        <v>0</v>
      </c>
      <c r="D31" s="65">
        <v>0</v>
      </c>
      <c r="E31" s="65">
        <v>0</v>
      </c>
      <c r="F31" s="65">
        <v>0</v>
      </c>
      <c r="G31" s="65">
        <v>0</v>
      </c>
      <c r="H31" s="65">
        <v>0</v>
      </c>
      <c r="I31" s="65">
        <v>0</v>
      </c>
      <c r="J31" s="64">
        <v>-1346</v>
      </c>
      <c r="K31" s="64">
        <v>-1477</v>
      </c>
      <c r="L31" s="64">
        <v>-1559</v>
      </c>
      <c r="M31" s="64">
        <v>-1517</v>
      </c>
      <c r="N31" s="64">
        <v>-1924</v>
      </c>
    </row>
    <row r="32" spans="2:14" x14ac:dyDescent="0.3">
      <c r="B32" t="s">
        <v>136</v>
      </c>
      <c r="C32" s="64">
        <v>-2849</v>
      </c>
      <c r="D32" s="65">
        <v>-450</v>
      </c>
      <c r="E32" s="65">
        <v>-57</v>
      </c>
      <c r="F32" s="65">
        <v>0</v>
      </c>
      <c r="G32" s="65">
        <v>0</v>
      </c>
      <c r="H32" s="65">
        <v>0</v>
      </c>
      <c r="I32" s="65">
        <v>0</v>
      </c>
      <c r="J32" s="65">
        <v>-29</v>
      </c>
      <c r="K32" s="65">
        <v>0</v>
      </c>
      <c r="L32" s="64">
        <v>3750</v>
      </c>
      <c r="M32" s="64">
        <v>3355</v>
      </c>
      <c r="N32" s="64">
        <v>3812</v>
      </c>
    </row>
    <row r="33" spans="2:14" x14ac:dyDescent="0.3">
      <c r="B33" t="s">
        <v>137</v>
      </c>
      <c r="C33" s="64">
        <v>-2499</v>
      </c>
      <c r="D33" s="64">
        <v>4277</v>
      </c>
      <c r="E33" s="64">
        <v>4500</v>
      </c>
      <c r="F33" s="64">
        <v>-2589</v>
      </c>
      <c r="G33" s="64">
        <v>-3167</v>
      </c>
      <c r="H33" s="65">
        <v>730</v>
      </c>
      <c r="I33" s="64">
        <v>6843</v>
      </c>
      <c r="J33" s="64">
        <v>-3092</v>
      </c>
      <c r="K33" s="64">
        <v>13232</v>
      </c>
      <c r="L33" s="64">
        <v>6459</v>
      </c>
      <c r="M33" s="64">
        <v>-6272</v>
      </c>
      <c r="N33" s="64">
        <v>8128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C7AD4-A091-4065-A2ED-7AE3A4842C57}">
  <dimension ref="B2:P40"/>
  <sheetViews>
    <sheetView showGridLines="0" zoomScale="73" workbookViewId="0">
      <pane ySplit="3" topLeftCell="A8" activePane="bottomLeft" state="frozen"/>
      <selection pane="bottomLeft" activeCell="B38" sqref="B38:M40"/>
    </sheetView>
  </sheetViews>
  <sheetFormatPr defaultRowHeight="14.4" x14ac:dyDescent="0.3"/>
  <cols>
    <col min="1" max="1" width="1.88671875" customWidth="1"/>
    <col min="2" max="2" width="16.77734375" customWidth="1"/>
    <col min="4" max="9" width="9" bestFit="1" customWidth="1"/>
    <col min="10" max="10" width="9.6640625" bestFit="1" customWidth="1"/>
    <col min="11" max="11" width="9.77734375" customWidth="1"/>
    <col min="12" max="13" width="9" bestFit="1" customWidth="1"/>
    <col min="14" max="14" width="14.109375" customWidth="1"/>
  </cols>
  <sheetData>
    <row r="2" spans="2:16" x14ac:dyDescent="0.3">
      <c r="B2" s="51" t="str">
        <f>"Ratio Analysis of - "&amp;'Data Sheet'!B1</f>
        <v>Ratio Analysis of - AUROBINDO PHARMA LTD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</row>
    <row r="3" spans="2:16" x14ac:dyDescent="0.3">
      <c r="B3" s="21" t="s">
        <v>80</v>
      </c>
      <c r="C3" s="21"/>
      <c r="D3" s="22">
        <f>'Data Sheet'!B16</f>
        <v>42460</v>
      </c>
      <c r="E3" s="22">
        <f>'Data Sheet'!C16</f>
        <v>42825</v>
      </c>
      <c r="F3" s="22">
        <f>'Data Sheet'!D16</f>
        <v>43190</v>
      </c>
      <c r="G3" s="22">
        <f>'Data Sheet'!E16</f>
        <v>43555</v>
      </c>
      <c r="H3" s="22">
        <f>'Data Sheet'!F16</f>
        <v>43921</v>
      </c>
      <c r="I3" s="22">
        <f>'Data Sheet'!G16</f>
        <v>44286</v>
      </c>
      <c r="J3" s="22">
        <f>'Data Sheet'!H16</f>
        <v>44651</v>
      </c>
      <c r="K3" s="22">
        <f>'Data Sheet'!I16</f>
        <v>45016</v>
      </c>
      <c r="L3" s="22">
        <f>'Data Sheet'!J16</f>
        <v>45382</v>
      </c>
      <c r="M3" s="22">
        <f>'Data Sheet'!K16</f>
        <v>45747</v>
      </c>
      <c r="N3" s="23" t="s">
        <v>175</v>
      </c>
      <c r="O3" s="38" t="s">
        <v>173</v>
      </c>
      <c r="P3" s="38" t="s">
        <v>174</v>
      </c>
    </row>
    <row r="5" spans="2:16" x14ac:dyDescent="0.3">
      <c r="B5" s="52" t="s">
        <v>21</v>
      </c>
      <c r="C5" s="52"/>
      <c r="D5" s="52"/>
      <c r="E5" s="53">
        <f>IFERROR('Historical FS'!E6,0)</f>
        <v>8.2624752571585525E-2</v>
      </c>
      <c r="F5" s="53">
        <f>IFERROR('Historical FS'!F6,0)</f>
        <v>0.10419436146252647</v>
      </c>
      <c r="G5" s="53">
        <f>IFERROR('Historical FS'!G6,0)</f>
        <v>0.18833228148159842</v>
      </c>
      <c r="H5" s="53">
        <f>IFERROR('Historical FS'!H6,0)</f>
        <v>0.18069113223315814</v>
      </c>
      <c r="I5" s="53">
        <f>IFERROR('Historical FS'!I6,0)</f>
        <v>7.2563554965233701E-2</v>
      </c>
      <c r="J5" s="53">
        <f>IFERROR('Historical FS'!J6,0)</f>
        <v>-5.3245216273751006E-2</v>
      </c>
      <c r="K5" s="53">
        <f>IFERROR('Historical FS'!K6,0)</f>
        <v>5.9682829051961761E-2</v>
      </c>
      <c r="L5" s="53">
        <f>IFERROR('Historical FS'!L6,0)</f>
        <v>0.16682464721923385</v>
      </c>
      <c r="M5" s="53">
        <f>IFERROR('Historical FS'!M6,0)</f>
        <v>9.3851189595705486E-2</v>
      </c>
      <c r="N5" s="32"/>
      <c r="O5" s="32">
        <f>IFERROR(AVERAGE(E5:M5),0)</f>
        <v>9.9502170256361377E-2</v>
      </c>
      <c r="P5" s="5">
        <f>IFERROR(MEDIAN(E5:M5),0)</f>
        <v>9.3851189595705486E-2</v>
      </c>
    </row>
    <row r="6" spans="2:16" x14ac:dyDescent="0.3">
      <c r="B6" s="54" t="s">
        <v>146</v>
      </c>
      <c r="C6" s="54"/>
      <c r="D6" s="54"/>
      <c r="E6" s="33">
        <f>IFERROR('Historical FS'!E17/'Historical FS'!D17-1,0)</f>
        <v>7.7488475221726638E-2</v>
      </c>
      <c r="F6" s="33">
        <f>IFERROR('Historical FS'!F17/'Historical FS'!E17-1,0)</f>
        <v>9.6263678772288808E-2</v>
      </c>
      <c r="G6" s="33">
        <f>IFERROR('Historical FS'!G17/'Historical FS'!F17-1,0)</f>
        <v>4.7773579903228169E-2</v>
      </c>
      <c r="H6" s="33">
        <f>IFERROR('Historical FS'!H17/'Historical FS'!G17-1,0)</f>
        <v>0.22702773827537825</v>
      </c>
      <c r="I6" s="33">
        <f>IFERROR('Historical FS'!I17/'Historical FS'!H17-1,0)</f>
        <v>8.8448673373010767E-2</v>
      </c>
      <c r="J6" s="33">
        <f>IFERROR('Historical FS'!J17/'Historical FS'!I17-1,0)</f>
        <v>-0.16720221900553967</v>
      </c>
      <c r="K6" s="33">
        <f>IFERROR('Historical FS'!K17/'Historical FS'!J17-1,0)</f>
        <v>-0.15665196995135988</v>
      </c>
      <c r="L6" s="33">
        <f>IFERROR('Historical FS'!L17/'Historical FS'!K17-1,0)</f>
        <v>0.57159081406107859</v>
      </c>
      <c r="M6" s="33">
        <f>IFERROR('Historical FS'!M17/'Historical FS'!L17-1,0)</f>
        <v>0.12449020227126084</v>
      </c>
      <c r="N6" s="32"/>
      <c r="O6" s="32">
        <f t="shared" ref="O6:O9" si="0">IFERROR(AVERAGE(E6:M6),0)</f>
        <v>0.10102544143567473</v>
      </c>
      <c r="P6" s="5">
        <f t="shared" ref="P6:P9" si="1">IFERROR(MEDIAN(E6:M6),0)</f>
        <v>8.8448673373010767E-2</v>
      </c>
    </row>
    <row r="7" spans="2:16" x14ac:dyDescent="0.3">
      <c r="B7" s="54" t="s">
        <v>171</v>
      </c>
      <c r="C7" s="54"/>
      <c r="D7" s="54"/>
      <c r="E7" s="33">
        <f>IFERROR('Historical FS'!E27/'Historical FS'!D27-1,0)</f>
        <v>0.15807472337414752</v>
      </c>
      <c r="F7" s="33">
        <f>IFERROR('Historical FS'!F27/'Historical FS'!E27-1,0)</f>
        <v>6.44423324960961E-2</v>
      </c>
      <c r="G7" s="33">
        <f>IFERROR('Historical FS'!G27/'Historical FS'!F27-1,0)</f>
        <v>-3.6564989190257746E-2</v>
      </c>
      <c r="H7" s="33">
        <f>IFERROR('Historical FS'!H27/'Historical FS'!G27-1,0)</f>
        <v>0.18399147412283701</v>
      </c>
      <c r="I7" s="33">
        <f>IFERROR('Historical FS'!I27/'Historical FS'!H27-1,0)</f>
        <v>0.15957845302323026</v>
      </c>
      <c r="J7" s="33">
        <f>IFERROR('Historical FS'!J27/'Historical FS'!I27-1,0)</f>
        <v>-0.22366061096968248</v>
      </c>
      <c r="K7" s="33">
        <f>IFERROR('Historical FS'!K27/'Historical FS'!J27-1,0)</f>
        <v>-0.27899502543178145</v>
      </c>
      <c r="L7" s="33">
        <f>IFERROR('Historical FS'!L27/'Historical FS'!K27-1,0)</f>
        <v>0.72895159588442104</v>
      </c>
      <c r="M7" s="33">
        <f>IFERROR('Historical FS'!M27/'Historical FS'!L27-1,0)</f>
        <v>0.10710504749070293</v>
      </c>
      <c r="N7" s="32"/>
      <c r="O7" s="32">
        <f t="shared" si="0"/>
        <v>9.588033342219035E-2</v>
      </c>
      <c r="P7" s="5">
        <f t="shared" si="1"/>
        <v>0.10710504749070293</v>
      </c>
    </row>
    <row r="8" spans="2:16" x14ac:dyDescent="0.3">
      <c r="B8" s="54" t="s">
        <v>147</v>
      </c>
      <c r="C8" s="54"/>
      <c r="D8" s="54"/>
      <c r="E8" s="33">
        <f>IFERROR('Historical FS'!E33/'Historical FS'!D33-1,0)</f>
        <v>0.19920036855441103</v>
      </c>
      <c r="F8" s="33">
        <f>IFERROR('Historical FS'!F33/'Historical FS'!E33-1,0)</f>
        <v>6.0021495049277895E-2</v>
      </c>
      <c r="G8" s="33">
        <f>IFERROR('Historical FS'!G33/'Historical FS'!F33-1,0)</f>
        <v>-1.0031107218513968E-2</v>
      </c>
      <c r="H8" s="33">
        <f>IFERROR('Historical FS'!H33/'Historical FS'!G33-1,0)</f>
        <v>0.16709667297148822</v>
      </c>
      <c r="I8" s="33">
        <f>IFERROR('Historical FS'!I33/'Historical FS'!H33-1,0)</f>
        <v>-0.20148247726805912</v>
      </c>
      <c r="J8" s="33">
        <f>IFERROR('Historical FS'!J33/'Historical FS'!I33-1,0)</f>
        <v>0.16664874040750388</v>
      </c>
      <c r="K8" s="33">
        <f>IFERROR('Historical FS'!K33/'Historical FS'!J33-1,0)</f>
        <v>-0.34379797574907311</v>
      </c>
      <c r="L8" s="33">
        <f>IFERROR('Historical FS'!L33/'Historical FS'!K33-1,0)</f>
        <v>0.71249068451980735</v>
      </c>
      <c r="M8" s="33">
        <f>IFERROR('Historical FS'!M33/'Historical FS'!L33-1,0)</f>
        <v>2.0785104068202331E-2</v>
      </c>
      <c r="N8" s="32"/>
      <c r="O8" s="32">
        <f t="shared" si="0"/>
        <v>8.5659056148338283E-2</v>
      </c>
      <c r="P8" s="5">
        <f t="shared" si="1"/>
        <v>6.0021495049277895E-2</v>
      </c>
    </row>
    <row r="9" spans="2:16" x14ac:dyDescent="0.3">
      <c r="B9" s="55" t="s">
        <v>148</v>
      </c>
      <c r="C9" s="55"/>
      <c r="D9" s="55"/>
      <c r="E9" s="56">
        <f>IFERROR('Historical FS'!E41/'Historical FS'!D41-1,0)</f>
        <v>3.4135518006461751E-5</v>
      </c>
      <c r="F9" s="56">
        <f>IFERROR('Historical FS'!F41/'Historical FS'!E41-1,0)</f>
        <v>0</v>
      </c>
      <c r="G9" s="56">
        <f>IFERROR('Historical FS'!G41/'Historical FS'!F41-1,0)</f>
        <v>0</v>
      </c>
      <c r="H9" s="56">
        <f>IFERROR('Historical FS'!H41/'Historical FS'!G41-1,0)</f>
        <v>0.19995903877662502</v>
      </c>
      <c r="I9" s="56">
        <f>IFERROR('Historical FS'!I41/'Historical FS'!H41-1,0)</f>
        <v>0.33333333333333326</v>
      </c>
      <c r="J9" s="56">
        <f>IFERROR('Historical FS'!J41/'Historical FS'!I41-1,0)</f>
        <v>1.2499999999999996</v>
      </c>
      <c r="K9" s="56">
        <f>IFERROR('Historical FS'!K41/'Historical FS'!J41-1,0)</f>
        <v>-0.1666761487550017</v>
      </c>
      <c r="L9" s="56">
        <f>IFERROR('Historical FS'!L41/'Historical FS'!K41-1,0)</f>
        <v>-0.39998179418324153</v>
      </c>
      <c r="M9" s="56">
        <f>IFERROR('Historical FS'!M41/'Historical FS'!L41-1,0)</f>
        <v>-1</v>
      </c>
      <c r="N9" s="32"/>
      <c r="O9" s="32">
        <f t="shared" si="0"/>
        <v>2.4074284965524564E-2</v>
      </c>
      <c r="P9" s="5">
        <f t="shared" si="1"/>
        <v>0</v>
      </c>
    </row>
    <row r="11" spans="2:16" x14ac:dyDescent="0.3">
      <c r="B11" s="52" t="s">
        <v>145</v>
      </c>
      <c r="C11" s="52"/>
      <c r="D11" s="53">
        <f>IFERROR('Historical FS'!D12,0)</f>
        <v>0.36722878723407348</v>
      </c>
      <c r="E11" s="53">
        <f>IFERROR('Historical FS'!E12,0)</f>
        <v>0.37732150019383565</v>
      </c>
      <c r="F11" s="53">
        <f>IFERROR('Historical FS'!F12,0)</f>
        <v>0.38647320693699755</v>
      </c>
      <c r="G11" s="53">
        <f>IFERROR('Historical FS'!G12,0)</f>
        <v>0.34529980499449225</v>
      </c>
      <c r="H11" s="53">
        <f>IFERROR('Historical FS'!H12,0)</f>
        <v>0.37195213024563045</v>
      </c>
      <c r="I11" s="53">
        <f>IFERROR('Historical FS'!I12,0)</f>
        <v>0.38899163740957476</v>
      </c>
      <c r="J11" s="53">
        <f>IFERROR('Historical FS'!J12,0)</f>
        <v>0.34865398250047214</v>
      </c>
      <c r="K11" s="53">
        <f>IFERROR('Historical FS'!K12,0)</f>
        <v>0.32867773496120356</v>
      </c>
      <c r="L11" s="53">
        <f>IFERROR('Historical FS'!L12,0)</f>
        <v>0.36224077964627788</v>
      </c>
      <c r="M11" s="53">
        <f>IFERROR('Historical FS'!M12,0)</f>
        <v>0.44830384068960361</v>
      </c>
      <c r="O11" s="32">
        <f>IFERROR(AVERAGE(D11:M11),0)</f>
        <v>0.37251434048121618</v>
      </c>
      <c r="P11" s="5">
        <f>IFERROR(MEDIAN(D11:M11),0)</f>
        <v>0.36959045873985197</v>
      </c>
    </row>
    <row r="12" spans="2:16" x14ac:dyDescent="0.3">
      <c r="B12" s="54" t="s">
        <v>149</v>
      </c>
      <c r="C12" s="54"/>
      <c r="D12" s="33">
        <f>IFERROR('Historical FS'!D18,0)</f>
        <v>0.23186166373552647</v>
      </c>
      <c r="E12" s="33">
        <f>IFERROR('Historical FS'!E18,0)</f>
        <v>0.2307616465699143</v>
      </c>
      <c r="F12" s="33">
        <f>IFERROR('Historical FS'!F18,0)</f>
        <v>0.22910424144279631</v>
      </c>
      <c r="G12" s="33">
        <f>IFERROR('Historical FS'!G18,0)</f>
        <v>0.20200525978158357</v>
      </c>
      <c r="H12" s="33">
        <f>IFERROR('Historical FS'!H18,0)</f>
        <v>0.20993302165377759</v>
      </c>
      <c r="I12" s="33">
        <f>IFERROR('Historical FS'!I18,0)</f>
        <v>0.21304221820556679</v>
      </c>
      <c r="J12" s="33">
        <f>IFERROR('Historical FS'!J18,0)</f>
        <v>0.18739919737340813</v>
      </c>
      <c r="K12" s="33">
        <f>IFERROR('Historical FS'!K18,0)</f>
        <v>0.14914155406193749</v>
      </c>
      <c r="L12" s="33">
        <f>IFERROR('Historical FS'!L18,0)</f>
        <v>0.20087808130992921</v>
      </c>
      <c r="M12" s="33">
        <f>IFERROR('Historical FS'!M18,0)</f>
        <v>0.20650472059874417</v>
      </c>
      <c r="O12" s="32">
        <f t="shared" ref="O12:O15" si="2">IFERROR(AVERAGE(D12:M12),0)</f>
        <v>0.20606316047331838</v>
      </c>
      <c r="P12" s="5">
        <f t="shared" ref="P12:P15" si="3">IFERROR(MEDIAN(D12:M12),0)</f>
        <v>0.20821887112626086</v>
      </c>
    </row>
    <row r="13" spans="2:16" x14ac:dyDescent="0.3">
      <c r="B13" s="54" t="s">
        <v>150</v>
      </c>
      <c r="C13" s="54"/>
      <c r="D13" s="33">
        <f>IFERROR(('Historical FS'!D17-'Historical FS'!D24)/'Historical FS'!D5,0)</f>
        <v>0.20337054501781199</v>
      </c>
      <c r="E13" s="33">
        <f>IFERROR(('Historical FS'!E17-'Historical FS'!E24)/'Historical FS'!E5,0)</f>
        <v>0.20208001051675639</v>
      </c>
      <c r="F13" s="33">
        <f>IFERROR(('Historical FS'!F17-'Historical FS'!F24)/'Historical FS'!F5,0)</f>
        <v>0.195211938507067</v>
      </c>
      <c r="G13" s="33">
        <f>IFERROR(('Historical FS'!G17-'Historical FS'!G24)/'Historical FS'!G5,0)</f>
        <v>0.16786268340868599</v>
      </c>
      <c r="H13" s="33">
        <f>IFERROR(('Historical FS'!H17-'Historical FS'!H24)/'Historical FS'!H5,0)</f>
        <v>0.16808140438495808</v>
      </c>
      <c r="I13" s="33">
        <f>IFERROR(('Historical FS'!I17-'Historical FS'!I24)/'Historical FS'!I5,0)</f>
        <v>0.17044257389215248</v>
      </c>
      <c r="J13" s="33">
        <f>IFERROR(('Historical FS'!J17-'Historical FS'!J24)/'Historical FS'!J5,0)</f>
        <v>0.13937120904317074</v>
      </c>
      <c r="K13" s="33">
        <f>IFERROR(('Historical FS'!K17-'Historical FS'!K24)/'Historical FS'!K5,0)</f>
        <v>9.9068692572795117E-2</v>
      </c>
      <c r="L13" s="33">
        <f>IFERROR(('Historical FS'!L17-'Historical FS'!L24)/'Historical FS'!L5,0)</f>
        <v>0.14841043008605986</v>
      </c>
      <c r="M13" s="33">
        <f>IFERROR(('Historical FS'!M17-'Historical FS'!M24)/'Historical FS'!M5,0)</f>
        <v>0.15451146507677371</v>
      </c>
      <c r="O13" s="32">
        <f t="shared" si="2"/>
        <v>0.16484109525062313</v>
      </c>
      <c r="P13" s="5">
        <f t="shared" si="3"/>
        <v>0.16797204389682202</v>
      </c>
    </row>
    <row r="14" spans="2:16" x14ac:dyDescent="0.3">
      <c r="B14" s="54" t="s">
        <v>151</v>
      </c>
      <c r="C14" s="54"/>
      <c r="D14" s="33">
        <f>IFERROR('Historical FS'!D28,0)</f>
        <v>0.1847308167642826</v>
      </c>
      <c r="E14" s="33">
        <f>IFERROR('Historical FS'!E28,0)</f>
        <v>0.1976050233608817</v>
      </c>
      <c r="F14" s="33">
        <f>IFERROR('Historical FS'!F28,0)</f>
        <v>0.19049105784293649</v>
      </c>
      <c r="G14" s="33">
        <f>IFERROR('Historical FS'!G28,0)</f>
        <v>0.15443976169969148</v>
      </c>
      <c r="H14" s="33">
        <f>IFERROR('Historical FS'!H28,0)</f>
        <v>0.15487146140595207</v>
      </c>
      <c r="I14" s="33">
        <f>IFERROR('Historical FS'!I28,0)</f>
        <v>0.16743586783571249</v>
      </c>
      <c r="J14" s="33">
        <f>IFERROR('Historical FS'!J28,0)</f>
        <v>0.1372974941047917</v>
      </c>
      <c r="K14" s="33">
        <f>IFERROR('Historical FS'!K28,0)</f>
        <v>9.3416797490120856E-2</v>
      </c>
      <c r="L14" s="33">
        <f>IFERROR('Historical FS'!L28,0)</f>
        <v>0.13842107422728248</v>
      </c>
      <c r="M14" s="33">
        <f>IFERROR('Historical FS'!M28,0)</f>
        <v>0.14009827974201011</v>
      </c>
      <c r="O14" s="32">
        <f t="shared" si="2"/>
        <v>0.15588076344736618</v>
      </c>
      <c r="P14" s="5">
        <f t="shared" si="3"/>
        <v>0.15465561155282176</v>
      </c>
    </row>
    <row r="15" spans="2:16" x14ac:dyDescent="0.3">
      <c r="B15" s="55" t="s">
        <v>152</v>
      </c>
      <c r="C15" s="55"/>
      <c r="D15" s="56">
        <f>IFERROR('Historical FS'!D34,0)</f>
        <v>0.13239798252353022</v>
      </c>
      <c r="E15" s="56">
        <f>IFERROR('Historical FS'!E34,0)</f>
        <v>0.14665442394601041</v>
      </c>
      <c r="F15" s="56">
        <f>IFERROR('Historical FS'!F34,0)</f>
        <v>0.14078757069628123</v>
      </c>
      <c r="G15" s="56">
        <f>IFERROR('Historical FS'!G34,0)</f>
        <v>0.11728648430371784</v>
      </c>
      <c r="H15" s="56">
        <f>IFERROR('Historical FS'!H34,0)</f>
        <v>0.11593604955471144</v>
      </c>
      <c r="I15" s="56">
        <f>IFERROR('Historical FS'!I34,0)</f>
        <v>8.631373558908266E-2</v>
      </c>
      <c r="J15" s="56">
        <f>IFERROR('Historical FS'!J34,0)</f>
        <v>0.10636102677880534</v>
      </c>
      <c r="K15" s="56">
        <f>IFERROR('Historical FS'!K34,0)</f>
        <v>6.586340663470043E-2</v>
      </c>
      <c r="L15" s="56">
        <f>IFERROR('Historical FS'!L34,0)</f>
        <v>9.6664456464358908E-2</v>
      </c>
      <c r="M15" s="56">
        <f>IFERROR('Historical FS'!M34,0)</f>
        <v>9.020755125579491E-2</v>
      </c>
      <c r="O15" s="32">
        <f t="shared" si="2"/>
        <v>0.10984726877469934</v>
      </c>
      <c r="P15" s="5">
        <f t="shared" si="3"/>
        <v>0.11114853816675839</v>
      </c>
    </row>
    <row r="17" spans="2:16" x14ac:dyDescent="0.3">
      <c r="B17" s="52" t="s">
        <v>153</v>
      </c>
      <c r="C17" s="52"/>
      <c r="D17" s="53">
        <f>IFERROR('Historical FS'!D15,0)</f>
        <v>0.13536712349854702</v>
      </c>
      <c r="E17" s="53">
        <f>IFERROR('Historical FS'!E15,0)</f>
        <v>0.14655985362392135</v>
      </c>
      <c r="F17" s="53">
        <f>IFERROR('Historical FS'!F15,0)</f>
        <v>0.15736896549420126</v>
      </c>
      <c r="G17" s="53">
        <f>IFERROR('Historical FS'!G15,0)</f>
        <v>0.14329454521290871</v>
      </c>
      <c r="H17" s="53">
        <f>IFERROR('Historical FS'!H15,0)</f>
        <v>0.16201910859185292</v>
      </c>
      <c r="I17" s="53">
        <f>IFERROR('Historical FS'!I15,0)</f>
        <v>0.17594941920400797</v>
      </c>
      <c r="J17" s="53">
        <f>IFERROR('Historical FS'!J15,0)</f>
        <v>0.16125478512706407</v>
      </c>
      <c r="K17" s="53">
        <f>IFERROR('Historical FS'!K15,0)</f>
        <v>0.17953618089926604</v>
      </c>
      <c r="L17" s="53">
        <f>IFERROR('Historical FS'!L15,0)</f>
        <v>0.16136269833634864</v>
      </c>
      <c r="M17" s="53">
        <f>IFERROR('Historical FS'!M15,0)</f>
        <v>0.24179912009085944</v>
      </c>
      <c r="O17" s="32">
        <f>IFERROR(AVERAGE(D17:M17),0)</f>
        <v>0.16645118000789774</v>
      </c>
      <c r="P17" s="5">
        <f t="shared" ref="P17:P18" si="4">IFERROR(MEDIAN(D17:M17),0)</f>
        <v>0.16130874173170634</v>
      </c>
    </row>
    <row r="18" spans="2:16" x14ac:dyDescent="0.3">
      <c r="B18" s="54" t="s">
        <v>154</v>
      </c>
      <c r="C18" s="54"/>
      <c r="D18" s="33">
        <f>IFERROR('Historical FS'!D25,0)</f>
        <v>2.8491118717714495E-2</v>
      </c>
      <c r="E18" s="33">
        <f>IFERROR('Historical FS'!E25,0)</f>
        <v>2.8681636053157909E-2</v>
      </c>
      <c r="F18" s="33">
        <f>IFERROR('Historical FS'!F25,0)</f>
        <v>3.3892302935729333E-2</v>
      </c>
      <c r="G18" s="33">
        <f>IFERROR('Historical FS'!G25,0)</f>
        <v>3.4142576372897561E-2</v>
      </c>
      <c r="H18" s="33">
        <f>IFERROR('Historical FS'!H25,0)</f>
        <v>4.1851617268819509E-2</v>
      </c>
      <c r="I18" s="33">
        <f>IFERROR('Historical FS'!I25,0)</f>
        <v>4.25996443134143E-2</v>
      </c>
      <c r="J18" s="33">
        <f>IFERROR('Historical FS'!J25,0)</f>
        <v>4.8027988330237394E-2</v>
      </c>
      <c r="K18" s="33">
        <f>IFERROR('Historical FS'!K25,0)</f>
        <v>5.0072861489142383E-2</v>
      </c>
      <c r="L18" s="33">
        <f>IFERROR('Historical FS'!L25,0)</f>
        <v>5.2467651223869365E-2</v>
      </c>
      <c r="M18" s="33">
        <f>IFERROR('Historical FS'!M25,0)</f>
        <v>5.1993255521970462E-2</v>
      </c>
      <c r="O18" s="32">
        <f t="shared" ref="O18:O19" si="5">IFERROR(AVERAGE(D18:M18),0)</f>
        <v>4.1222065222695267E-2</v>
      </c>
      <c r="P18" s="5">
        <f t="shared" si="4"/>
        <v>4.2225630791116908E-2</v>
      </c>
    </row>
    <row r="19" spans="2:16" x14ac:dyDescent="0.3">
      <c r="B19" s="55" t="s">
        <v>155</v>
      </c>
      <c r="C19" s="55"/>
      <c r="D19" s="56">
        <f>D13</f>
        <v>0.20337054501781199</v>
      </c>
      <c r="E19" s="56">
        <f t="shared" ref="E19:M19" si="6">E13</f>
        <v>0.20208001051675639</v>
      </c>
      <c r="F19" s="56">
        <f t="shared" si="6"/>
        <v>0.195211938507067</v>
      </c>
      <c r="G19" s="56">
        <f t="shared" si="6"/>
        <v>0.16786268340868599</v>
      </c>
      <c r="H19" s="56">
        <f t="shared" si="6"/>
        <v>0.16808140438495808</v>
      </c>
      <c r="I19" s="56">
        <f t="shared" si="6"/>
        <v>0.17044257389215248</v>
      </c>
      <c r="J19" s="56">
        <f t="shared" si="6"/>
        <v>0.13937120904317074</v>
      </c>
      <c r="K19" s="56">
        <f t="shared" si="6"/>
        <v>9.9068692572795117E-2</v>
      </c>
      <c r="L19" s="56">
        <f t="shared" si="6"/>
        <v>0.14841043008605986</v>
      </c>
      <c r="M19" s="56">
        <f t="shared" si="6"/>
        <v>0.15451146507677371</v>
      </c>
      <c r="O19" s="32">
        <f t="shared" si="5"/>
        <v>0.16484109525062313</v>
      </c>
      <c r="P19" s="5">
        <f>IFERROR(MEDIAN(D19:M19),0)</f>
        <v>0.16797204389682202</v>
      </c>
    </row>
    <row r="21" spans="2:16" x14ac:dyDescent="0.3">
      <c r="B21" s="52" t="s">
        <v>156</v>
      </c>
      <c r="C21" s="52"/>
      <c r="D21" s="53">
        <f>IFERROR(('Historical FS'!D17-'Historical FS'!D24)/SUM('Historical FS'!D48:D50),0)</f>
        <v>0.22717926214089945</v>
      </c>
      <c r="E21" s="53">
        <f>IFERROR(('Historical FS'!E17-'Historical FS'!E24)/SUM('Historical FS'!E48:E50),0)</f>
        <v>0.2365662823245826</v>
      </c>
      <c r="F21" s="53">
        <f>IFERROR(('Historical FS'!F17-'Historical FS'!F24)/SUM('Historical FS'!F48:F50),0)</f>
        <v>0.19536240870255034</v>
      </c>
      <c r="G21" s="53">
        <f>IFERROR(('Historical FS'!G17-'Historical FS'!G24)/SUM('Historical FS'!G48:G50),0)</f>
        <v>0.15744857734900658</v>
      </c>
      <c r="H21" s="53">
        <f>IFERROR(('Historical FS'!H17-'Historical FS'!H24)/SUM('Historical FS'!H48:H50),0)</f>
        <v>0.17140176724699283</v>
      </c>
      <c r="I21" s="53">
        <f>IFERROR(('Historical FS'!I17-'Historical FS'!I24)/SUM('Historical FS'!I48:I50),0)</f>
        <v>0.15485194699465873</v>
      </c>
      <c r="J21" s="53">
        <f>IFERROR(('Historical FS'!J17-'Historical FS'!J24)/SUM('Historical FS'!J48:J50),0)</f>
        <v>0.11918876300030083</v>
      </c>
      <c r="K21" s="53">
        <f>IFERROR(('Historical FS'!K17-'Historical FS'!K24)/SUM('Historical FS'!K48:K50),0)</f>
        <v>7.6647743296252346E-2</v>
      </c>
      <c r="L21" s="53">
        <f>IFERROR(('Historical FS'!L17-'Historical FS'!L24)/SUM('Historical FS'!L48:L50),0)</f>
        <v>0.11795366620782481</v>
      </c>
      <c r="M21" s="53">
        <f>IFERROR(('Historical FS'!M17-'Historical FS'!M24)/SUM('Historical FS'!M48:M50),0)</f>
        <v>0.11979805548854862</v>
      </c>
      <c r="O21" s="32">
        <f>IFERROR(AVERAGE(D21:M21),0)</f>
        <v>0.15763984727516173</v>
      </c>
      <c r="P21" s="5">
        <f>IFERROR(MEDIAN(D21:M21),0)</f>
        <v>0.15615026217183264</v>
      </c>
    </row>
    <row r="22" spans="2:16" x14ac:dyDescent="0.3">
      <c r="B22" s="54" t="s">
        <v>157</v>
      </c>
      <c r="C22" s="54"/>
      <c r="D22" s="33">
        <f>IFERROR('Historical FS'!D44,0)</f>
        <v>0.91976263340901865</v>
      </c>
      <c r="E22" s="33">
        <f>IFERROR('Historical FS'!E44,0)</f>
        <v>0.93300862088678516</v>
      </c>
      <c r="F22" s="33">
        <f>IFERROR('Historical FS'!F44,0)</f>
        <v>0.93680186729600179</v>
      </c>
      <c r="G22" s="33">
        <f>IFERROR('Historical FS'!G44,0)</f>
        <v>0.9361614964219408</v>
      </c>
      <c r="H22" s="33">
        <f>IFERROR('Historical FS'!H44,0)</f>
        <v>0.93436397244160641</v>
      </c>
      <c r="I22" s="33">
        <f>IFERROR('Historical FS'!I44,0)</f>
        <v>0.89040352788780341</v>
      </c>
      <c r="J22" s="33">
        <f>IFERROR('Historical FS'!J44,0)</f>
        <v>0.78863212746768219</v>
      </c>
      <c r="K22" s="33">
        <f>IFERROR('Historical FS'!K44,0)</f>
        <v>0.7315797832700085</v>
      </c>
      <c r="L22" s="33">
        <f>IFERROR('Historical FS'!L44,0)</f>
        <v>0.90595159535572234</v>
      </c>
      <c r="M22" s="33">
        <f>IFERROR('Historical FS'!M44,0)</f>
        <v>1</v>
      </c>
      <c r="O22" s="32">
        <f t="shared" ref="O22:O24" si="7">IFERROR(AVERAGE(D22:M22),0)</f>
        <v>0.89766656244365706</v>
      </c>
      <c r="P22" s="5">
        <f t="shared" ref="P22:P24" si="8">IFERROR(MEDIAN(D22:M22),0)</f>
        <v>0.92638562714790185</v>
      </c>
    </row>
    <row r="23" spans="2:16" x14ac:dyDescent="0.3">
      <c r="B23" s="54" t="s">
        <v>158</v>
      </c>
      <c r="C23" s="54"/>
      <c r="D23" s="33">
        <f>IFERROR('Historical FS'!D33/SUM('Historical FS'!D48:D49),0)</f>
        <v>0.25020789592853321</v>
      </c>
      <c r="E23" s="33">
        <f>IFERROR('Historical FS'!E33/SUM('Historical FS'!E48:E49),0)</f>
        <v>0.23330889861298287</v>
      </c>
      <c r="F23" s="33">
        <f>IFERROR('Historical FS'!F33/SUM('Historical FS'!F48:F49),0)</f>
        <v>0.19843378919593632</v>
      </c>
      <c r="G23" s="33">
        <f>IFERROR('Historical FS'!G33/SUM('Historical FS'!G48:G49),0)</f>
        <v>0.16518438849366263</v>
      </c>
      <c r="H23" s="33">
        <f>IFERROR('Historical FS'!H33/SUM('Historical FS'!H48:H49),0)</f>
        <v>0.15916805500494199</v>
      </c>
      <c r="I23" s="33">
        <f>IFERROR('Historical FS'!I33/SUM('Historical FS'!I48:I49),0)</f>
        <v>9.7510381958488546E-2</v>
      </c>
      <c r="J23" s="33">
        <f>IFERROR('Historical FS'!J33/SUM('Historical FS'!J48:J49),0)</f>
        <v>0.1015117199802409</v>
      </c>
      <c r="K23" s="33">
        <f>IFERROR('Historical FS'!K33/SUM('Historical FS'!K48:K49),0)</f>
        <v>6.0993634465170275E-2</v>
      </c>
      <c r="L23" s="33">
        <f>IFERROR('Historical FS'!L33/SUM('Historical FS'!L48:L49),0)</f>
        <v>9.3940581982923738E-2</v>
      </c>
      <c r="M23" s="33">
        <f>IFERROR('Historical FS'!M33/SUM('Historical FS'!M48:M49),0)</f>
        <v>8.7639480457117322E-2</v>
      </c>
      <c r="O23" s="32">
        <f t="shared" si="7"/>
        <v>0.14478988260799977</v>
      </c>
      <c r="P23" s="5">
        <f t="shared" si="8"/>
        <v>0.13033988749259146</v>
      </c>
    </row>
    <row r="24" spans="2:16" x14ac:dyDescent="0.3">
      <c r="B24" s="54" t="s">
        <v>159</v>
      </c>
      <c r="C24" s="54"/>
      <c r="D24" s="33">
        <f>IFERROR(D22*D23,0)</f>
        <v>0.23013187325895737</v>
      </c>
      <c r="E24" s="33">
        <f t="shared" ref="E24:M24" si="9">IFERROR(E22*E23,0)</f>
        <v>0.21767921373551394</v>
      </c>
      <c r="F24" s="33">
        <f t="shared" si="9"/>
        <v>0.18589314425337433</v>
      </c>
      <c r="G24" s="33">
        <f t="shared" si="9"/>
        <v>0.15463926431777042</v>
      </c>
      <c r="H24" s="33">
        <f t="shared" si="9"/>
        <v>0.14872089616022172</v>
      </c>
      <c r="I24" s="33">
        <f t="shared" si="9"/>
        <v>8.682358810152542E-2</v>
      </c>
      <c r="J24" s="33">
        <f t="shared" si="9"/>
        <v>8.0055403690920998E-2</v>
      </c>
      <c r="K24" s="33">
        <f t="shared" si="9"/>
        <v>4.462170988287939E-2</v>
      </c>
      <c r="L24" s="33">
        <f t="shared" si="9"/>
        <v>8.5105620116074782E-2</v>
      </c>
      <c r="M24" s="33">
        <f t="shared" si="9"/>
        <v>8.7639480457117322E-2</v>
      </c>
      <c r="O24" s="32">
        <f t="shared" si="7"/>
        <v>0.13213101939743552</v>
      </c>
      <c r="P24" s="5">
        <f t="shared" si="8"/>
        <v>0.11818018830866953</v>
      </c>
    </row>
    <row r="25" spans="2:16" x14ac:dyDescent="0.3">
      <c r="B25" s="55" t="s">
        <v>172</v>
      </c>
      <c r="C25" s="55"/>
      <c r="D25" s="57">
        <f>IFERROR(('Historical FS'!D17-'Historical FS'!D24)/'Historical FS'!D21,0)</f>
        <v>10.910596026490069</v>
      </c>
      <c r="E25" s="57">
        <f>IFERROR(('Historical FS'!E17-'Historical FS'!E24)/'Historical FS'!E21,0)</f>
        <v>45.157673860911274</v>
      </c>
      <c r="F25" s="57">
        <f>IFERROR(('Historical FS'!F17-'Historical FS'!F24)/'Historical FS'!F21,0)</f>
        <v>41.3507462686567</v>
      </c>
      <c r="G25" s="57">
        <f>IFERROR(('Historical FS'!G17-'Historical FS'!G24)/'Historical FS'!G21,0)</f>
        <v>12.50567402894135</v>
      </c>
      <c r="H25" s="57">
        <f>IFERROR(('Historical FS'!H17-'Historical FS'!H24)/'Historical FS'!H21,0)</f>
        <v>12.723855405892563</v>
      </c>
      <c r="I25" s="57">
        <f>IFERROR(('Historical FS'!I17-'Historical FS'!I24)/'Historical FS'!I21,0)</f>
        <v>56.687474828836073</v>
      </c>
      <c r="J25" s="57">
        <f>IFERROR(('Historical FS'!J17-'Historical FS'!J24)/'Historical FS'!J21,0)</f>
        <v>67.208470394736864</v>
      </c>
      <c r="K25" s="57">
        <f>IFERROR(('Historical FS'!K17-'Historical FS'!K24)/'Historical FS'!K21,0)</f>
        <v>17.528402619589979</v>
      </c>
      <c r="L25" s="57">
        <f>IFERROR(('Historical FS'!L17-'Historical FS'!L24)/'Historical FS'!L21,0)</f>
        <v>14.856856856856846</v>
      </c>
      <c r="M25" s="57">
        <f>IFERROR(('Historical FS'!M17-'Historical FS'!M24)/'Historical FS'!M21,0)</f>
        <v>10.720146968769132</v>
      </c>
      <c r="O25" s="35">
        <f>IFERROR(AVERAGE(D25:M25),0)</f>
        <v>28.964989725968088</v>
      </c>
      <c r="P25" s="5">
        <f>IFERROR(MEDIAN(D25:M25),0)</f>
        <v>16.192629738223413</v>
      </c>
    </row>
    <row r="27" spans="2:16" x14ac:dyDescent="0.3">
      <c r="B27" s="52" t="s">
        <v>160</v>
      </c>
      <c r="C27" s="52"/>
      <c r="D27" s="58">
        <f>IFERROR('Historical FS'!D5/'Historical FS'!D60,0)</f>
        <v>2.9894978596299286</v>
      </c>
      <c r="E27" s="58">
        <f>IFERROR('Historical FS'!E5/'Historical FS'!E60,0)</f>
        <v>5.3915952164841094</v>
      </c>
      <c r="F27" s="58">
        <f>IFERROR('Historical FS'!F5/'Historical FS'!F60,0)</f>
        <v>5.3447925459385752</v>
      </c>
      <c r="G27" s="58">
        <f>IFERROR('Historical FS'!G5/'Historical FS'!G60,0)</f>
        <v>5.7307588655390793</v>
      </c>
      <c r="H27" s="58">
        <f>IFERROR('Historical FS'!H5/'Historical FS'!H60,0)</f>
        <v>5.35287451681977</v>
      </c>
      <c r="I27" s="58">
        <f>IFERROR('Historical FS'!I5/'Historical FS'!I60,0)</f>
        <v>7.0718355369824843</v>
      </c>
      <c r="J27" s="58">
        <f>IFERROR('Historical FS'!J5/'Historical FS'!J60,0)</f>
        <v>5.845954649000813</v>
      </c>
      <c r="K27" s="58">
        <f>IFERROR('Historical FS'!K5/'Historical FS'!K60,0)</f>
        <v>5.5649944697943301</v>
      </c>
      <c r="L27" s="58">
        <f>IFERROR('Historical FS'!L5/'Historical FS'!L60,0)</f>
        <v>6.0210578108845398</v>
      </c>
      <c r="M27" s="58">
        <f>IFERROR('Historical FS'!M5/'Historical FS'!M60,0)</f>
        <v>5.5210783981009159</v>
      </c>
      <c r="O27" s="35">
        <f>IFERROR(AVERAGE(D27:M27),0)</f>
        <v>5.4834439869174556</v>
      </c>
      <c r="P27" s="36">
        <f>IFERROR(MEDIAN(D27:M27),0)</f>
        <v>5.5430364339476235</v>
      </c>
    </row>
    <row r="28" spans="2:16" x14ac:dyDescent="0.3">
      <c r="B28" s="54" t="s">
        <v>161</v>
      </c>
      <c r="C28" s="54"/>
      <c r="D28" s="59">
        <f>IFERROR('Historical FS'!D5/'Historical FS'!D51,0)</f>
        <v>3.8599108151362018</v>
      </c>
      <c r="E28" s="59">
        <f>IFERROR('Historical FS'!E5/'Historical FS'!E51,0)</f>
        <v>4.3040527472019905</v>
      </c>
      <c r="F28" s="59">
        <f>IFERROR('Historical FS'!F5/'Historical FS'!F51,0)</f>
        <v>3.6650563571236154</v>
      </c>
      <c r="G28" s="59">
        <f>IFERROR('Historical FS'!G5/'Historical FS'!G51,0)</f>
        <v>3.6138249903482569</v>
      </c>
      <c r="H28" s="59">
        <f>IFERROR('Historical FS'!H5/'Historical FS'!H51,0)</f>
        <v>3.7782853983567488</v>
      </c>
      <c r="I28" s="59">
        <f>IFERROR('Historical FS'!I5/'Historical FS'!I51,0)</f>
        <v>4.0303791949529604</v>
      </c>
      <c r="J28" s="59">
        <f>IFERROR('Historical FS'!J5/'Historical FS'!J51,0)</f>
        <v>3.7763765252909711</v>
      </c>
      <c r="K28" s="59">
        <f>IFERROR('Historical FS'!K5/'Historical FS'!K51,0)</f>
        <v>3.3683027970511712</v>
      </c>
      <c r="L28" s="59">
        <f>IFERROR('Historical FS'!L5/'Historical FS'!L51,0)</f>
        <v>3.5253088700776489</v>
      </c>
      <c r="M28" s="59">
        <f>IFERROR('Historical FS'!M5/'Historical FS'!M51,0)</f>
        <v>3.5770117197630338</v>
      </c>
      <c r="O28" s="35">
        <f t="shared" ref="O28:O31" si="10">IFERROR(AVERAGE(D28:M28),0)</f>
        <v>3.7498509415302599</v>
      </c>
      <c r="P28" s="36">
        <f t="shared" ref="P28:P31" si="11">IFERROR(MEDIAN(D28:M28),0)</f>
        <v>3.7207164412072933</v>
      </c>
    </row>
    <row r="29" spans="2:16" x14ac:dyDescent="0.3">
      <c r="B29" s="54" t="s">
        <v>162</v>
      </c>
      <c r="C29" s="54"/>
      <c r="D29" s="59">
        <f>IFERROR('Historical FS'!D5/'Historical FS'!D61,0)</f>
        <v>3.395262490939662</v>
      </c>
      <c r="E29" s="59">
        <f>IFERROR('Historical FS'!E5/'Historical FS'!E61,0)</f>
        <v>3.4428824118932053</v>
      </c>
      <c r="F29" s="59">
        <f>IFERROR('Historical FS'!F5/'Historical FS'!F61,0)</f>
        <v>2.8101532668420268</v>
      </c>
      <c r="G29" s="59">
        <f>IFERROR('Historical FS'!G5/'Historical FS'!G61,0)</f>
        <v>2.7000593463619298</v>
      </c>
      <c r="H29" s="59">
        <f>IFERROR('Historical FS'!H5/'Historical FS'!H61,0)</f>
        <v>2.9998571404452283</v>
      </c>
      <c r="I29" s="59">
        <f>IFERROR('Historical FS'!I5/'Historical FS'!I61,0)</f>
        <v>2.7401976290705417</v>
      </c>
      <c r="J29" s="59">
        <f>IFERROR('Historical FS'!J5/'Historical FS'!J61,0)</f>
        <v>3.1029556506876501</v>
      </c>
      <c r="K29" s="59">
        <f>IFERROR('Historical FS'!K5/'Historical FS'!K61,0)</f>
        <v>2.9186306893640404</v>
      </c>
      <c r="L29" s="59">
        <f>IFERROR('Historical FS'!L5/'Historical FS'!L61,0)</f>
        <v>2.9562161649747667</v>
      </c>
      <c r="M29" s="59">
        <f>IFERROR('Historical FS'!M5/'Historical FS'!M61,0)</f>
        <v>3.008779633753552</v>
      </c>
      <c r="O29" s="35">
        <f t="shared" si="10"/>
        <v>3.00749944243326</v>
      </c>
      <c r="P29" s="36">
        <f t="shared" si="11"/>
        <v>2.9780366527099975</v>
      </c>
    </row>
    <row r="30" spans="2:16" x14ac:dyDescent="0.3">
      <c r="B30" s="54" t="s">
        <v>163</v>
      </c>
      <c r="C30" s="54"/>
      <c r="D30" s="59">
        <f>IFERROR('Historical FS'!D5/'Historical FS'!D54,0)</f>
        <v>3.2948998609944757</v>
      </c>
      <c r="E30" s="59">
        <f>IFERROR('Historical FS'!E5/'Historical FS'!E54,0)</f>
        <v>3.08444736831217</v>
      </c>
      <c r="F30" s="59">
        <f>IFERROR('Historical FS'!F5/'Historical FS'!F54,0)</f>
        <v>2.5247412846512938</v>
      </c>
      <c r="G30" s="59">
        <f>IFERROR('Historical FS'!G5/'Historical FS'!G54,0)</f>
        <v>2.3084243378938858</v>
      </c>
      <c r="H30" s="59">
        <f>IFERROR('Historical FS'!H5/'Historical FS'!H54,0)</f>
        <v>2.458211434719634</v>
      </c>
      <c r="I30" s="59">
        <f>IFERROR('Historical FS'!I5/'Historical FS'!I54,0)</f>
        <v>2.643026463741708</v>
      </c>
      <c r="J30" s="59">
        <f>IFERROR('Historical FS'!J5/'Historical FS'!J54,0)</f>
        <v>2.2270499017763807</v>
      </c>
      <c r="K30" s="59">
        <f>IFERROR('Historical FS'!K5/'Historical FS'!K54,0)</f>
        <v>2.2547241440933119</v>
      </c>
      <c r="L30" s="59">
        <f>IFERROR('Historical FS'!L5/'Historical FS'!L54,0)</f>
        <v>2.0011240071787419</v>
      </c>
      <c r="M30" s="59">
        <f>IFERROR('Historical FS'!M5/'Historical FS'!M54,0)</f>
        <v>1.9310591880400407</v>
      </c>
      <c r="O30" s="35">
        <f t="shared" si="10"/>
        <v>2.4727707991401648</v>
      </c>
      <c r="P30" s="36">
        <f t="shared" si="11"/>
        <v>2.3833178863067599</v>
      </c>
    </row>
    <row r="31" spans="2:16" x14ac:dyDescent="0.3">
      <c r="B31" s="55" t="s">
        <v>164</v>
      </c>
      <c r="C31" s="55"/>
      <c r="D31" s="57">
        <f>IFERROR('Historical FS'!D5/SUM('Historical FS'!D48:D49),0)</f>
        <v>1.8898165301277565</v>
      </c>
      <c r="E31" s="57">
        <f>IFERROR('Historical FS'!E5/SUM('Historical FS'!E48:E49),0)</f>
        <v>1.5908752858275421</v>
      </c>
      <c r="F31" s="57">
        <f>IFERROR('Historical FS'!F5/SUM('Historical FS'!F48:F49),0)</f>
        <v>1.4094553106823213</v>
      </c>
      <c r="G31" s="57">
        <f>IFERROR('Historical FS'!G5/SUM('Historical FS'!G48:G49),0)</f>
        <v>1.4083838344571002</v>
      </c>
      <c r="H31" s="57">
        <f>IFERROR('Historical FS'!H5/SUM('Historical FS'!H48:H49),0)</f>
        <v>1.372895278183762</v>
      </c>
      <c r="I31" s="57">
        <f>IFERROR('Historical FS'!I5/SUM('Historical FS'!I48:I49),0)</f>
        <v>1.1297203312194737</v>
      </c>
      <c r="J31" s="57">
        <f>IFERROR('Historical FS'!J5/SUM('Historical FS'!J48:J49),0)</f>
        <v>0.95440710807870133</v>
      </c>
      <c r="K31" s="57">
        <f>IFERROR('Historical FS'!K5/SUM('Historical FS'!K48:K49),0)</f>
        <v>0.92606255251053948</v>
      </c>
      <c r="L31" s="57">
        <f>IFERROR('Historical FS'!L5/SUM('Historical FS'!L48:L49),0)</f>
        <v>0.97182134384173069</v>
      </c>
      <c r="M31" s="57">
        <f>IFERROR('Historical FS'!M5/SUM('Historical FS'!M48:M49),0)</f>
        <v>0.97153153186260988</v>
      </c>
      <c r="O31" s="35">
        <f t="shared" si="10"/>
        <v>1.2624969106791537</v>
      </c>
      <c r="P31" s="36">
        <f t="shared" si="11"/>
        <v>1.251307804701618</v>
      </c>
    </row>
    <row r="33" spans="2:16" x14ac:dyDescent="0.3">
      <c r="B33" s="52" t="s">
        <v>44</v>
      </c>
      <c r="C33" s="52"/>
      <c r="D33" s="60">
        <f>IFERROR(365/D27,0)</f>
        <v>122.09408306623894</v>
      </c>
      <c r="E33" s="60">
        <f t="shared" ref="E33:M33" si="12">IFERROR(365/E27,0)</f>
        <v>67.69796050045808</v>
      </c>
      <c r="F33" s="60">
        <f t="shared" si="12"/>
        <v>68.290770289551801</v>
      </c>
      <c r="G33" s="60">
        <f t="shared" si="12"/>
        <v>63.691390366267889</v>
      </c>
      <c r="H33" s="60">
        <f t="shared" si="12"/>
        <v>68.187662321076118</v>
      </c>
      <c r="I33" s="60">
        <f t="shared" si="12"/>
        <v>51.613191241682017</v>
      </c>
      <c r="J33" s="60">
        <f t="shared" si="12"/>
        <v>62.436337931972425</v>
      </c>
      <c r="K33" s="60">
        <f t="shared" si="12"/>
        <v>65.588564729245746</v>
      </c>
      <c r="L33" s="60">
        <f t="shared" si="12"/>
        <v>60.620577224847921</v>
      </c>
      <c r="M33" s="60">
        <f t="shared" si="12"/>
        <v>66.110272972314419</v>
      </c>
      <c r="O33" s="34">
        <f>IFERROR(AVERAGE(D33:M33),0)</f>
        <v>69.633081064365541</v>
      </c>
      <c r="P33" s="37">
        <f>IFERROR(MEDIAN(D33:M33),0)</f>
        <v>65.849418850780083</v>
      </c>
    </row>
    <row r="34" spans="2:16" x14ac:dyDescent="0.3">
      <c r="B34" s="54" t="s">
        <v>165</v>
      </c>
      <c r="C34" s="54"/>
      <c r="D34" s="61">
        <f>IFERROR(365/D28,0)</f>
        <v>94.561770331245469</v>
      </c>
      <c r="E34" s="61">
        <f t="shared" ref="E34:M34" si="13">IFERROR(365/E28,0)</f>
        <v>84.803793410125337</v>
      </c>
      <c r="F34" s="61">
        <f t="shared" si="13"/>
        <v>99.589191661559283</v>
      </c>
      <c r="G34" s="61">
        <f t="shared" si="13"/>
        <v>101.00101719779897</v>
      </c>
      <c r="H34" s="61">
        <f t="shared" si="13"/>
        <v>96.604666275010814</v>
      </c>
      <c r="I34" s="61">
        <f t="shared" si="13"/>
        <v>90.562198330388114</v>
      </c>
      <c r="J34" s="61">
        <f t="shared" si="13"/>
        <v>96.653497752551729</v>
      </c>
      <c r="K34" s="61">
        <f t="shared" si="13"/>
        <v>108.36317931972876</v>
      </c>
      <c r="L34" s="61">
        <f t="shared" si="13"/>
        <v>103.53702709514938</v>
      </c>
      <c r="M34" s="61">
        <f t="shared" si="13"/>
        <v>102.04048199880657</v>
      </c>
      <c r="O34" s="34">
        <f t="shared" ref="O34:O36" si="14">IFERROR(AVERAGE(D34:M34),0)</f>
        <v>97.771682337236442</v>
      </c>
      <c r="P34" s="37">
        <f t="shared" ref="P34:P36" si="15">IFERROR(MEDIAN(D34:M34),0)</f>
        <v>98.121344707055499</v>
      </c>
    </row>
    <row r="35" spans="2:16" x14ac:dyDescent="0.3">
      <c r="B35" s="54" t="s">
        <v>166</v>
      </c>
      <c r="C35" s="54"/>
      <c r="D35" s="61">
        <f>IFERROR(365/D29,0)</f>
        <v>107.50273387521911</v>
      </c>
      <c r="E35" s="61">
        <f t="shared" ref="E35:M35" si="16">IFERROR(365/E29,0)</f>
        <v>106.01581940153753</v>
      </c>
      <c r="F35" s="61">
        <f t="shared" si="16"/>
        <v>129.88615400688695</v>
      </c>
      <c r="G35" s="61">
        <f t="shared" si="16"/>
        <v>135.18221386200358</v>
      </c>
      <c r="H35" s="61">
        <f t="shared" si="16"/>
        <v>121.67246069118744</v>
      </c>
      <c r="I35" s="61">
        <f t="shared" si="16"/>
        <v>133.20207131330369</v>
      </c>
      <c r="J35" s="61">
        <f t="shared" si="16"/>
        <v>117.62978304865939</v>
      </c>
      <c r="K35" s="61">
        <f t="shared" si="16"/>
        <v>125.05864525104828</v>
      </c>
      <c r="L35" s="61">
        <f t="shared" si="16"/>
        <v>123.46864357367301</v>
      </c>
      <c r="M35" s="61">
        <f t="shared" si="16"/>
        <v>121.31164273557995</v>
      </c>
      <c r="O35" s="34">
        <f t="shared" si="14"/>
        <v>122.09301677590989</v>
      </c>
      <c r="P35" s="37">
        <f t="shared" si="15"/>
        <v>122.57055213243022</v>
      </c>
    </row>
    <row r="36" spans="2:16" x14ac:dyDescent="0.3">
      <c r="B36" s="55" t="s">
        <v>167</v>
      </c>
      <c r="C36" s="55"/>
      <c r="D36" s="62">
        <f>IFERROR(SUM(D33,D35)-D34,0)</f>
        <v>135.03504661021256</v>
      </c>
      <c r="E36" s="62">
        <f t="shared" ref="E36:M36" si="17">IFERROR(SUM(E33,E35)-E34,0)</f>
        <v>88.909986491870285</v>
      </c>
      <c r="F36" s="62">
        <f t="shared" si="17"/>
        <v>98.587732634879472</v>
      </c>
      <c r="G36" s="62">
        <f t="shared" si="17"/>
        <v>97.872587030472488</v>
      </c>
      <c r="H36" s="62">
        <f t="shared" si="17"/>
        <v>93.255456737252743</v>
      </c>
      <c r="I36" s="62">
        <f t="shared" si="17"/>
        <v>94.253064224597594</v>
      </c>
      <c r="J36" s="62">
        <f t="shared" si="17"/>
        <v>83.412623228080079</v>
      </c>
      <c r="K36" s="62">
        <f t="shared" si="17"/>
        <v>82.28403066056525</v>
      </c>
      <c r="L36" s="62">
        <f t="shared" si="17"/>
        <v>80.552193703371543</v>
      </c>
      <c r="M36" s="62">
        <f t="shared" si="17"/>
        <v>85.381433709087787</v>
      </c>
      <c r="O36" s="34">
        <f t="shared" si="14"/>
        <v>93.954415503038973</v>
      </c>
      <c r="P36" s="37">
        <f t="shared" si="15"/>
        <v>91.082721614561507</v>
      </c>
    </row>
    <row r="38" spans="2:16" x14ac:dyDescent="0.3">
      <c r="B38" s="52" t="s">
        <v>168</v>
      </c>
      <c r="C38" s="52"/>
      <c r="D38" s="53">
        <f>IFERROR('Historical FS'!D80/'Historical FS'!D5,0)</f>
        <v>2.3134465997563112</v>
      </c>
      <c r="E38" s="53">
        <f>IFERROR('Historical FS'!E80/'Historical FS'!E5,0)</f>
        <v>2.6299939501822323</v>
      </c>
      <c r="F38" s="53">
        <f>IFERROR('Historical FS'!F80/'Historical FS'!F5,0)</f>
        <v>2.0320682158752068</v>
      </c>
      <c r="G38" s="53">
        <f>IFERROR('Historical FS'!G80/'Historical FS'!G5,0)</f>
        <v>0.89058478650347206</v>
      </c>
      <c r="H38" s="53">
        <f>IFERROR('Historical FS'!H80/'Historical FS'!H5,0)</f>
        <v>0.50527068629102057</v>
      </c>
      <c r="I38" s="53">
        <f>IFERROR('Historical FS'!I80/'Historical FS'!I5,0)</f>
        <v>1.2794545385559901</v>
      </c>
      <c r="J38" s="53">
        <f>IFERROR('Historical FS'!J80/'Historical FS'!J5,0)</f>
        <v>1.2324193610962721</v>
      </c>
      <c r="K38" s="53">
        <f>IFERROR('Historical FS'!K80/'Historical FS'!K5,0)</f>
        <v>0.14210203183375189</v>
      </c>
      <c r="L38" s="53">
        <f>IFERROR('Historical FS'!L80/'Historical FS'!L5,0)</f>
        <v>1.1123765467537094</v>
      </c>
      <c r="M38" s="53">
        <f>IFERROR('Historical FS'!M80/'Historical FS'!M5,0)</f>
        <v>2.3717576716231035</v>
      </c>
      <c r="O38" s="32">
        <f>IFERROR(AVERAGE(D38:M38),0)</f>
        <v>1.4509474388471069</v>
      </c>
      <c r="P38" s="5">
        <f>IFERROR(MEDIAN(D38:M38),0)</f>
        <v>1.2559369498261312</v>
      </c>
    </row>
    <row r="39" spans="2:16" x14ac:dyDescent="0.3">
      <c r="B39" s="54" t="s">
        <v>169</v>
      </c>
      <c r="C39" s="54"/>
      <c r="D39" s="33">
        <f>IFERROR('Historical FS'!D80/'Historical FS'!D65,0)</f>
        <v>2.0042475453314745</v>
      </c>
      <c r="E39" s="33">
        <f>IFERROR('Historical FS'!E80/'Historical FS'!E65,0)</f>
        <v>2.4204758977093999</v>
      </c>
      <c r="F39" s="33">
        <f>IFERROR('Historical FS'!F80/'Historical FS'!F65,0)</f>
        <v>1.5974413434284014</v>
      </c>
      <c r="G39" s="33">
        <f>IFERROR('Historical FS'!G80/'Historical FS'!G65,0)</f>
        <v>0.6632010039941274</v>
      </c>
      <c r="H39" s="33">
        <f>IFERROR('Historical FS'!H80/'Historical FS'!H65,0)</f>
        <v>0.40574262616402007</v>
      </c>
      <c r="I39" s="33">
        <f>IFERROR('Historical FS'!I80/'Historical FS'!I65,0)</f>
        <v>0.94858977397599709</v>
      </c>
      <c r="J39" s="33">
        <f>IFERROR('Historical FS'!J80/'Historical FS'!J65,0)</f>
        <v>0.8593462939334735</v>
      </c>
      <c r="K39" s="33">
        <f>IFERROR('Historical FS'!K80/'Historical FS'!K65,0)</f>
        <v>8.9405815833132091E-2</v>
      </c>
      <c r="L39" s="33">
        <f>IFERROR('Historical FS'!L80/'Historical FS'!L65,0)</f>
        <v>0.72144515341862936</v>
      </c>
      <c r="M39" s="33">
        <f>IFERROR('Historical FS'!M80/'Historical FS'!M65,0)</f>
        <v>1.5113195809900055</v>
      </c>
      <c r="O39" s="32">
        <f t="shared" ref="O39:O40" si="18">IFERROR(AVERAGE(D39:M39),0)</f>
        <v>1.122121503477866</v>
      </c>
      <c r="P39" s="5">
        <f t="shared" ref="P39:P40" si="19">IFERROR(MEDIAN(D39:M39),0)</f>
        <v>0.90396803395473535</v>
      </c>
    </row>
    <row r="40" spans="2:16" x14ac:dyDescent="0.3">
      <c r="B40" s="55" t="s">
        <v>170</v>
      </c>
      <c r="C40" s="55"/>
      <c r="D40" s="56">
        <f>IFERROR('Historical FS'!D80/'Historical FS'!D50,0)</f>
        <v>6.3200868069675691</v>
      </c>
      <c r="E40" s="56">
        <f>IFERROR('Historical FS'!E80/'Historical FS'!E50,0)</f>
        <v>11.655876390399925</v>
      </c>
      <c r="F40" s="56">
        <f>IFERROR('Historical FS'!F80/'Historical FS'!F50,0)</f>
        <v>7.0135201145509471</v>
      </c>
      <c r="G40" s="56">
        <f>IFERROR('Historical FS'!G80/'Historical FS'!G50,0)</f>
        <v>2.500875586355781</v>
      </c>
      <c r="H40" s="56">
        <f>IFERROR('Historical FS'!H80/'Historical FS'!H50,0)</f>
        <v>2.0031305888047122</v>
      </c>
      <c r="I40" s="56">
        <f>IFERROR('Historical FS'!I80/'Historical FS'!I50,0)</f>
        <v>5.9369779063059553</v>
      </c>
      <c r="J40" s="56">
        <f>IFERROR('Historical FS'!J80/'Historical FS'!J50,0)</f>
        <v>10.138289253560695</v>
      </c>
      <c r="K40" s="56">
        <f>IFERROR('Historical FS'!K80/'Historical FS'!K50,0)</f>
        <v>0.66815355424775025</v>
      </c>
      <c r="L40" s="56">
        <f>IFERROR('Historical FS'!L80/'Historical FS'!L50,0)</f>
        <v>4.8530077636691571</v>
      </c>
      <c r="M40" s="56">
        <f>IFERROR('Historical FS'!M80/'Historical FS'!M50,0)</f>
        <v>9.1059159831874386</v>
      </c>
      <c r="O40" s="32">
        <f t="shared" si="18"/>
        <v>6.0195833948049922</v>
      </c>
      <c r="P40" s="5">
        <f t="shared" si="19"/>
        <v>6.1285323566367627</v>
      </c>
    </row>
  </sheetData>
  <mergeCells count="1">
    <mergeCell ref="B2:P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508E476B-3467-421F-96B7-D51E9C81F8C0}">
          <x14:colorSeries theme="2" tint="-0.499984740745262"/>
          <x14:colorNegative theme="5"/>
          <x14:colorAxis rgb="FF000000"/>
          <x14:colorMarkers theme="1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'Ratio Analysis'!E5:M5</xm:f>
              <xm:sqref>N5</xm:sqref>
            </x14:sparkline>
            <x14:sparkline>
              <xm:f>'Ratio Analysis'!E6:M6</xm:f>
              <xm:sqref>N6</xm:sqref>
            </x14:sparkline>
            <x14:sparkline>
              <xm:f>'Ratio Analysis'!E7:M7</xm:f>
              <xm:sqref>N7</xm:sqref>
            </x14:sparkline>
            <x14:sparkline>
              <xm:f>'Ratio Analysis'!E8:M8</xm:f>
              <xm:sqref>N8</xm:sqref>
            </x14:sparkline>
            <x14:sparkline>
              <xm:f>'Ratio Analysis'!E9:M9</xm:f>
              <xm:sqref>N9</xm:sqref>
            </x14:sparkline>
          </x14:sparklines>
        </x14:sparklineGroup>
        <x14:sparklineGroup displayEmptyCellsAs="gap" markers="1" xr2:uid="{F518F338-9286-44AF-B081-22646AD0D2C8}">
          <x14:colorSeries theme="2" tint="-0.499984740745262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Analysis'!D11:M11</xm:f>
              <xm:sqref>N11</xm:sqref>
            </x14:sparkline>
            <x14:sparkline>
              <xm:f>'Ratio Analysis'!D12:M12</xm:f>
              <xm:sqref>N12</xm:sqref>
            </x14:sparkline>
            <x14:sparkline>
              <xm:f>'Ratio Analysis'!D13:M13</xm:f>
              <xm:sqref>N13</xm:sqref>
            </x14:sparkline>
            <x14:sparkline>
              <xm:f>'Ratio Analysis'!D14:M14</xm:f>
              <xm:sqref>N14</xm:sqref>
            </x14:sparkline>
            <x14:sparkline>
              <xm:f>'Ratio Analysis'!D15:M15</xm:f>
              <xm:sqref>N15</xm:sqref>
            </x14:sparkline>
            <x14:sparkline>
              <xm:f>'Ratio Analysis'!D16:M16</xm:f>
              <xm:sqref>N16</xm:sqref>
            </x14:sparkline>
            <x14:sparkline>
              <xm:f>'Ratio Analysis'!D17:M17</xm:f>
              <xm:sqref>N17</xm:sqref>
            </x14:sparkline>
            <x14:sparkline>
              <xm:f>'Ratio Analysis'!D18:M18</xm:f>
              <xm:sqref>N18</xm:sqref>
            </x14:sparkline>
            <x14:sparkline>
              <xm:f>'Ratio Analysis'!D19:M19</xm:f>
              <xm:sqref>N19</xm:sqref>
            </x14:sparkline>
            <x14:sparkline>
              <xm:f>'Ratio Analysis'!D20:M20</xm:f>
              <xm:sqref>N20</xm:sqref>
            </x14:sparkline>
            <x14:sparkline>
              <xm:f>'Ratio Analysis'!D21:M21</xm:f>
              <xm:sqref>N21</xm:sqref>
            </x14:sparkline>
            <x14:sparkline>
              <xm:f>'Ratio Analysis'!D22:M22</xm:f>
              <xm:sqref>N22</xm:sqref>
            </x14:sparkline>
            <x14:sparkline>
              <xm:f>'Ratio Analysis'!D23:M23</xm:f>
              <xm:sqref>N23</xm:sqref>
            </x14:sparkline>
            <x14:sparkline>
              <xm:f>'Ratio Analysis'!D24:M24</xm:f>
              <xm:sqref>N24</xm:sqref>
            </x14:sparkline>
            <x14:sparkline>
              <xm:f>'Ratio Analysis'!D25:M25</xm:f>
              <xm:sqref>N25</xm:sqref>
            </x14:sparkline>
            <x14:sparkline>
              <xm:f>'Ratio Analysis'!D26:M26</xm:f>
              <xm:sqref>N26</xm:sqref>
            </x14:sparkline>
            <x14:sparkline>
              <xm:f>'Ratio Analysis'!D27:M27</xm:f>
              <xm:sqref>N27</xm:sqref>
            </x14:sparkline>
            <x14:sparkline>
              <xm:f>'Ratio Analysis'!D28:M28</xm:f>
              <xm:sqref>N28</xm:sqref>
            </x14:sparkline>
            <x14:sparkline>
              <xm:f>'Ratio Analysis'!D29:M29</xm:f>
              <xm:sqref>N29</xm:sqref>
            </x14:sparkline>
            <x14:sparkline>
              <xm:f>'Ratio Analysis'!D30:M30</xm:f>
              <xm:sqref>N30</xm:sqref>
            </x14:sparkline>
            <x14:sparkline>
              <xm:f>'Ratio Analysis'!D31:M31</xm:f>
              <xm:sqref>N31</xm:sqref>
            </x14:sparkline>
            <x14:sparkline>
              <xm:f>'Ratio Analysis'!D32:M32</xm:f>
              <xm:sqref>N32</xm:sqref>
            </x14:sparkline>
            <x14:sparkline>
              <xm:f>'Ratio Analysis'!D33:M33</xm:f>
              <xm:sqref>N33</xm:sqref>
            </x14:sparkline>
            <x14:sparkline>
              <xm:f>'Ratio Analysis'!D34:M34</xm:f>
              <xm:sqref>N34</xm:sqref>
            </x14:sparkline>
            <x14:sparkline>
              <xm:f>'Ratio Analysis'!D35:M35</xm:f>
              <xm:sqref>N35</xm:sqref>
            </x14:sparkline>
            <x14:sparkline>
              <xm:f>'Ratio Analysis'!D36:M36</xm:f>
              <xm:sqref>N36</xm:sqref>
            </x14:sparkline>
            <x14:sparkline>
              <xm:f>'Ratio Analysis'!D37:M37</xm:f>
              <xm:sqref>N37</xm:sqref>
            </x14:sparkline>
            <x14:sparkline>
              <xm:f>'Ratio Analysis'!D38:M38</xm:f>
              <xm:sqref>N38</xm:sqref>
            </x14:sparkline>
            <x14:sparkline>
              <xm:f>'Ratio Analysis'!D39:M39</xm:f>
              <xm:sqref>N39</xm:sqref>
            </x14:sparkline>
            <x14:sparkline>
              <xm:f>'Ratio Analysis'!D40:M40</xm:f>
              <xm:sqref>N40</xm:sqref>
            </x14:sparkline>
          </x14:sparklines>
        </x14:sparklineGroup>
      </x14:sparklineGroup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43D59-AF85-4E5C-AB94-4B7E0B8C7D5C}">
  <dimension ref="B2:O18"/>
  <sheetViews>
    <sheetView showGridLines="0" tabSelected="1" workbookViewId="0">
      <selection activeCell="H10" sqref="H10"/>
    </sheetView>
  </sheetViews>
  <sheetFormatPr defaultRowHeight="14.4" x14ac:dyDescent="0.3"/>
  <cols>
    <col min="1" max="1" width="2.33203125" customWidth="1"/>
    <col min="2" max="2" width="12.88671875" customWidth="1"/>
    <col min="4" max="4" width="9.5546875" bestFit="1" customWidth="1"/>
    <col min="5" max="5" width="11.6640625" bestFit="1" customWidth="1"/>
    <col min="7" max="7" width="14.77734375" customWidth="1"/>
    <col min="9" max="9" width="8.77734375" customWidth="1"/>
    <col min="10" max="10" width="17.6640625" customWidth="1"/>
    <col min="12" max="12" width="13" customWidth="1"/>
    <col min="14" max="14" width="8.6640625" customWidth="1"/>
    <col min="15" max="15" width="14.44140625" customWidth="1"/>
  </cols>
  <sheetData>
    <row r="2" spans="2:15" x14ac:dyDescent="0.3">
      <c r="B2" s="42" t="str">
        <f>'Data Sheet'!$B$1&amp;" -" &amp;'Data Sheet'!A17</f>
        <v>AUROBINDO PHARMA LTD -Sales</v>
      </c>
      <c r="C2" s="42"/>
      <c r="D2" s="42"/>
      <c r="E2" s="42"/>
      <c r="G2" s="43" t="str">
        <f>'Data Sheet'!$B$1&amp;" - "&amp;'Historical FS'!B17</f>
        <v>AUROBINDO PHARMA LTD - EBITDA</v>
      </c>
      <c r="H2" s="43"/>
      <c r="I2" s="43"/>
      <c r="J2" s="43"/>
      <c r="L2" s="43" t="str">
        <f>'Data Sheet'!B1&amp; " - " &amp;'Historical FS'!B38</f>
        <v>AUROBINDO PHARMA LTD - EPS(Earning per share)</v>
      </c>
      <c r="M2" s="43"/>
      <c r="N2" s="43"/>
      <c r="O2" s="43"/>
    </row>
    <row r="3" spans="2:15" x14ac:dyDescent="0.3">
      <c r="B3" s="44" t="s">
        <v>176</v>
      </c>
      <c r="C3" s="44" t="s">
        <v>177</v>
      </c>
      <c r="D3" s="45" t="s">
        <v>5</v>
      </c>
      <c r="E3" s="45" t="s">
        <v>21</v>
      </c>
      <c r="G3" s="44" t="s">
        <v>176</v>
      </c>
      <c r="H3" s="44" t="s">
        <v>177</v>
      </c>
      <c r="I3" s="45" t="s">
        <v>5</v>
      </c>
      <c r="J3" s="45" t="s">
        <v>21</v>
      </c>
      <c r="L3" s="44" t="s">
        <v>176</v>
      </c>
      <c r="M3" s="44" t="s">
        <v>177</v>
      </c>
      <c r="N3" s="45" t="s">
        <v>5</v>
      </c>
      <c r="O3" s="45" t="s">
        <v>21</v>
      </c>
    </row>
    <row r="4" spans="2:15" x14ac:dyDescent="0.3">
      <c r="B4">
        <v>1</v>
      </c>
      <c r="C4" s="39">
        <v>2015</v>
      </c>
      <c r="D4" s="40">
        <f t="array" ref="D4:D13">TRANSPOSE('Data Sheet'!B17:K17)</f>
        <v>13771.66</v>
      </c>
      <c r="G4">
        <v>1</v>
      </c>
      <c r="H4" s="39">
        <v>2015</v>
      </c>
      <c r="I4" s="40">
        <f t="array" ref="I4:I13">TRANSPOSE('Historical FS'!D17:M17)</f>
        <v>3193.1200000000003</v>
      </c>
      <c r="L4">
        <v>1</v>
      </c>
      <c r="M4" s="39">
        <v>2015</v>
      </c>
      <c r="N4">
        <f t="array" ref="N4:N13">TRANSPOSE('Historical FS'!D38:M38)</f>
        <v>31.157552973342447</v>
      </c>
    </row>
    <row r="5" spans="2:15" x14ac:dyDescent="0.3">
      <c r="B5">
        <f>B4+1</f>
        <v>2</v>
      </c>
      <c r="C5" s="39">
        <f>C4+1</f>
        <v>2016</v>
      </c>
      <c r="D5" s="40">
        <v>14909.54</v>
      </c>
      <c r="E5" s="29">
        <f>D5/D4-1</f>
        <v>8.2624752571585525E-2</v>
      </c>
      <c r="G5">
        <f>G4+1</f>
        <v>2</v>
      </c>
      <c r="H5" s="39">
        <f>H4+1</f>
        <v>2016</v>
      </c>
      <c r="I5" s="40">
        <v>3440.55</v>
      </c>
      <c r="J5" s="29">
        <f>I5/I4-1</f>
        <v>7.7488475221726638E-2</v>
      </c>
      <c r="L5">
        <f>L4+1</f>
        <v>2</v>
      </c>
      <c r="M5" s="39">
        <f>M4+1</f>
        <v>2016</v>
      </c>
      <c r="N5">
        <v>37.319508448540709</v>
      </c>
      <c r="O5" s="29">
        <f>N5/N4-1</f>
        <v>0.19776763215231519</v>
      </c>
    </row>
    <row r="6" spans="2:15" x14ac:dyDescent="0.3">
      <c r="B6">
        <f t="shared" ref="B6:B18" si="0">B5+1</f>
        <v>3</v>
      </c>
      <c r="C6" s="39">
        <f t="shared" ref="C6:C18" si="1">C5+1</f>
        <v>2017</v>
      </c>
      <c r="D6" s="40">
        <v>16463.03</v>
      </c>
      <c r="E6" s="29">
        <f t="shared" ref="E6:E18" si="2">D6/D5-1</f>
        <v>0.10419436146252647</v>
      </c>
      <c r="G6">
        <f t="shared" ref="G6:H18" si="3">G5+1</f>
        <v>3</v>
      </c>
      <c r="H6" s="39">
        <f t="shared" si="3"/>
        <v>2017</v>
      </c>
      <c r="I6" s="40">
        <v>3771.7499999999986</v>
      </c>
      <c r="J6" s="29">
        <f t="shared" ref="J6:J18" si="4">I6/I5-1</f>
        <v>9.6263678772288808E-2</v>
      </c>
      <c r="L6">
        <f t="shared" ref="L6:M6" si="5">L5+1</f>
        <v>3</v>
      </c>
      <c r="M6" s="39">
        <f t="shared" si="5"/>
        <v>2017</v>
      </c>
      <c r="N6">
        <v>39.559481140126273</v>
      </c>
      <c r="O6" s="29">
        <f t="shared" ref="O6:O18" si="6">N6/N5-1</f>
        <v>6.0021495049277673E-2</v>
      </c>
    </row>
    <row r="7" spans="2:15" x14ac:dyDescent="0.3">
      <c r="B7">
        <f t="shared" si="0"/>
        <v>4</v>
      </c>
      <c r="C7" s="39">
        <f t="shared" si="1"/>
        <v>2018</v>
      </c>
      <c r="D7" s="40">
        <v>19563.55</v>
      </c>
      <c r="E7" s="29">
        <f t="shared" si="2"/>
        <v>0.18833228148159842</v>
      </c>
      <c r="G7">
        <f t="shared" si="3"/>
        <v>4</v>
      </c>
      <c r="H7" s="39">
        <f t="shared" si="3"/>
        <v>2018</v>
      </c>
      <c r="I7" s="40">
        <v>3951.9399999999991</v>
      </c>
      <c r="J7" s="29">
        <f t="shared" si="4"/>
        <v>4.7773579903228169E-2</v>
      </c>
      <c r="L7">
        <f t="shared" ref="L7:M7" si="7">L6+1</f>
        <v>4</v>
      </c>
      <c r="M7" s="39">
        <f t="shared" si="7"/>
        <v>2018</v>
      </c>
      <c r="N7">
        <v>39.162655743300888</v>
      </c>
      <c r="O7" s="29">
        <f t="shared" si="6"/>
        <v>-1.0031107218513857E-2</v>
      </c>
    </row>
    <row r="8" spans="2:15" x14ac:dyDescent="0.3">
      <c r="B8">
        <f t="shared" si="0"/>
        <v>5</v>
      </c>
      <c r="C8" s="39">
        <f t="shared" si="1"/>
        <v>2019</v>
      </c>
      <c r="D8" s="40">
        <v>23098.51</v>
      </c>
      <c r="E8" s="29">
        <f t="shared" si="2"/>
        <v>0.18069113223315814</v>
      </c>
      <c r="G8">
        <f t="shared" si="3"/>
        <v>5</v>
      </c>
      <c r="H8" s="39">
        <f t="shared" si="3"/>
        <v>2019</v>
      </c>
      <c r="I8" s="40">
        <v>4849.1399999999976</v>
      </c>
      <c r="J8" s="29">
        <f t="shared" si="4"/>
        <v>0.22702773827537825</v>
      </c>
      <c r="L8">
        <f t="shared" ref="L8:M8" si="8">L7+1</f>
        <v>5</v>
      </c>
      <c r="M8" s="39">
        <f t="shared" si="8"/>
        <v>2019</v>
      </c>
      <c r="N8">
        <v>45.706605222734211</v>
      </c>
      <c r="O8" s="29">
        <f t="shared" si="6"/>
        <v>0.16709667297148822</v>
      </c>
    </row>
    <row r="9" spans="2:15" x14ac:dyDescent="0.3">
      <c r="B9">
        <f t="shared" si="0"/>
        <v>6</v>
      </c>
      <c r="C9" s="39">
        <f t="shared" si="1"/>
        <v>2020</v>
      </c>
      <c r="D9" s="40">
        <v>24774.62</v>
      </c>
      <c r="E9" s="29">
        <f t="shared" si="2"/>
        <v>7.2563554965233701E-2</v>
      </c>
      <c r="G9">
        <f t="shared" si="3"/>
        <v>6</v>
      </c>
      <c r="H9" s="39">
        <f t="shared" si="3"/>
        <v>2020</v>
      </c>
      <c r="I9" s="40">
        <v>5278.0399999999991</v>
      </c>
      <c r="J9" s="29">
        <f t="shared" si="4"/>
        <v>8.8448673373010767E-2</v>
      </c>
      <c r="L9">
        <f t="shared" ref="L9:M9" si="9">L8+1</f>
        <v>6</v>
      </c>
      <c r="M9" s="39">
        <f t="shared" si="9"/>
        <v>2020</v>
      </c>
      <c r="N9">
        <v>36.497525174944506</v>
      </c>
      <c r="O9" s="29">
        <f t="shared" si="6"/>
        <v>-0.20148247726805923</v>
      </c>
    </row>
    <row r="10" spans="2:15" x14ac:dyDescent="0.3">
      <c r="B10">
        <f t="shared" si="0"/>
        <v>7</v>
      </c>
      <c r="C10" s="39">
        <f t="shared" si="1"/>
        <v>2021</v>
      </c>
      <c r="D10" s="40">
        <v>23455.49</v>
      </c>
      <c r="E10" s="29">
        <f t="shared" si="2"/>
        <v>-5.3245216273751006E-2</v>
      </c>
      <c r="G10">
        <f t="shared" si="3"/>
        <v>7</v>
      </c>
      <c r="H10" s="39">
        <f t="shared" si="3"/>
        <v>2021</v>
      </c>
      <c r="I10" s="40">
        <v>4395.5400000000009</v>
      </c>
      <c r="J10" s="29">
        <f t="shared" si="4"/>
        <v>-0.16720221900553967</v>
      </c>
      <c r="L10">
        <f t="shared" ref="L10:M10" si="10">L9+1</f>
        <v>7</v>
      </c>
      <c r="M10" s="39">
        <f t="shared" si="10"/>
        <v>2021</v>
      </c>
      <c r="N10">
        <v>42.579791773340176</v>
      </c>
      <c r="O10" s="29">
        <f t="shared" si="6"/>
        <v>0.1666487404075041</v>
      </c>
    </row>
    <row r="11" spans="2:15" x14ac:dyDescent="0.3">
      <c r="B11">
        <f t="shared" si="0"/>
        <v>8</v>
      </c>
      <c r="C11" s="39">
        <f t="shared" si="1"/>
        <v>2022</v>
      </c>
      <c r="D11" s="40">
        <v>24855.38</v>
      </c>
      <c r="E11" s="29">
        <f t="shared" si="2"/>
        <v>5.9682829051961761E-2</v>
      </c>
      <c r="G11">
        <f t="shared" si="3"/>
        <v>8</v>
      </c>
      <c r="H11" s="39">
        <f t="shared" si="3"/>
        <v>2022</v>
      </c>
      <c r="I11" s="40">
        <v>3706.9700000000003</v>
      </c>
      <c r="J11" s="29">
        <f t="shared" si="4"/>
        <v>-0.15665196995135988</v>
      </c>
      <c r="L11">
        <f t="shared" ref="L11:M11" si="11">L10+1</f>
        <v>8</v>
      </c>
      <c r="M11" s="39">
        <f t="shared" si="11"/>
        <v>2022</v>
      </c>
      <c r="N11">
        <v>27.940945553848785</v>
      </c>
      <c r="O11" s="29">
        <f t="shared" si="6"/>
        <v>-0.34379797574907323</v>
      </c>
    </row>
    <row r="12" spans="2:15" x14ac:dyDescent="0.3">
      <c r="B12">
        <f t="shared" si="0"/>
        <v>9</v>
      </c>
      <c r="C12" s="39">
        <f t="shared" si="1"/>
        <v>2023</v>
      </c>
      <c r="D12" s="40">
        <v>29001.87</v>
      </c>
      <c r="E12" s="29">
        <f t="shared" si="2"/>
        <v>0.16682464721923385</v>
      </c>
      <c r="G12">
        <f t="shared" si="3"/>
        <v>9</v>
      </c>
      <c r="H12" s="39">
        <f t="shared" si="3"/>
        <v>2023</v>
      </c>
      <c r="I12" s="40">
        <v>5825.8399999999965</v>
      </c>
      <c r="J12" s="29">
        <f t="shared" si="4"/>
        <v>0.57159081406107859</v>
      </c>
      <c r="L12">
        <f t="shared" ref="L12:M12" si="12">L11+1</f>
        <v>9</v>
      </c>
      <c r="M12" s="39">
        <f t="shared" si="12"/>
        <v>2023</v>
      </c>
      <c r="N12">
        <v>47.848608977641177</v>
      </c>
      <c r="O12" s="29">
        <f t="shared" si="6"/>
        <v>0.71249068451980757</v>
      </c>
    </row>
    <row r="13" spans="2:15" x14ac:dyDescent="0.3">
      <c r="B13">
        <f t="shared" si="0"/>
        <v>10</v>
      </c>
      <c r="C13" s="39">
        <f t="shared" si="1"/>
        <v>2024</v>
      </c>
      <c r="D13" s="40">
        <v>31723.73</v>
      </c>
      <c r="E13" s="29">
        <f t="shared" si="2"/>
        <v>9.3851189595705486E-2</v>
      </c>
      <c r="G13" s="46">
        <f t="shared" si="3"/>
        <v>10</v>
      </c>
      <c r="H13" s="49">
        <f t="shared" si="3"/>
        <v>2024</v>
      </c>
      <c r="I13" s="50">
        <v>6551.0999999999985</v>
      </c>
      <c r="J13" s="48">
        <f t="shared" si="4"/>
        <v>0.12449020227126084</v>
      </c>
      <c r="L13">
        <f t="shared" ref="L13:M13" si="13">L12+1</f>
        <v>10</v>
      </c>
      <c r="M13" s="39">
        <f t="shared" si="13"/>
        <v>2024</v>
      </c>
      <c r="N13">
        <v>48.843147294760172</v>
      </c>
      <c r="O13" s="29">
        <f t="shared" si="6"/>
        <v>2.0785104068202331E-2</v>
      </c>
    </row>
    <row r="14" spans="2:15" x14ac:dyDescent="0.3">
      <c r="B14" s="46">
        <f t="shared" si="0"/>
        <v>11</v>
      </c>
      <c r="C14" s="47">
        <f t="shared" si="1"/>
        <v>2025</v>
      </c>
      <c r="D14" s="50">
        <f>FORECAST(B14,$D$4:$D$13,$B$4:$B$13)</f>
        <v>32679.358666666667</v>
      </c>
      <c r="E14" s="48">
        <f t="shared" si="2"/>
        <v>3.0123464884698858E-2</v>
      </c>
      <c r="G14" s="46">
        <f t="shared" si="3"/>
        <v>11</v>
      </c>
      <c r="H14" s="47">
        <f t="shared" si="3"/>
        <v>2025</v>
      </c>
      <c r="I14" s="50">
        <f>FORECAST(G14,$I$4:$I$13,$G$4:$G$13)</f>
        <v>6108.2206666666652</v>
      </c>
      <c r="J14" s="48">
        <f t="shared" si="4"/>
        <v>-6.7603812082449255E-2</v>
      </c>
      <c r="L14" s="46">
        <f>L13+1</f>
        <v>11</v>
      </c>
      <c r="M14" s="47">
        <f t="shared" ref="L14:M14" si="14">M13+1</f>
        <v>2025</v>
      </c>
      <c r="N14" s="46">
        <f>FORECAST(L14,$N$4:$N$13,$L$4:$L$13)</f>
        <v>45.522372320504722</v>
      </c>
      <c r="O14" s="48">
        <f t="shared" si="6"/>
        <v>-6.7988554345507879E-2</v>
      </c>
    </row>
    <row r="15" spans="2:15" x14ac:dyDescent="0.3">
      <c r="B15" s="46">
        <f t="shared" si="0"/>
        <v>12</v>
      </c>
      <c r="C15" s="47">
        <f t="shared" si="1"/>
        <v>2026</v>
      </c>
      <c r="D15" s="50">
        <f t="shared" ref="D15:D18" si="15">FORECAST(B15,$D$4:$D$13,$B$4:$B$13)</f>
        <v>34591.653333333335</v>
      </c>
      <c r="E15" s="48">
        <f t="shared" si="2"/>
        <v>5.8516897047224958E-2</v>
      </c>
      <c r="G15" s="46">
        <f t="shared" si="3"/>
        <v>12</v>
      </c>
      <c r="H15" s="47">
        <f t="shared" si="3"/>
        <v>2026</v>
      </c>
      <c r="I15" s="50">
        <f t="shared" ref="I15:I18" si="16">FORECAST(G15,$I$4:$I$13,$G$4:$G$13)</f>
        <v>6401.2791515151494</v>
      </c>
      <c r="J15" s="48">
        <f t="shared" si="4"/>
        <v>4.7977717381387563E-2</v>
      </c>
      <c r="L15" s="46">
        <f t="shared" ref="L15:M15" si="17">L14+1</f>
        <v>12</v>
      </c>
      <c r="M15" s="47">
        <f t="shared" si="17"/>
        <v>2026</v>
      </c>
      <c r="N15" s="46">
        <f t="shared" ref="N15:N18" si="18">FORECAST(L15,$N$4:$N$13,$L$4:$L$13)</f>
        <v>46.58797051873141</v>
      </c>
      <c r="O15" s="48">
        <f t="shared" si="6"/>
        <v>2.3408230808452668E-2</v>
      </c>
    </row>
    <row r="16" spans="2:15" x14ac:dyDescent="0.3">
      <c r="B16" s="46">
        <f t="shared" si="0"/>
        <v>13</v>
      </c>
      <c r="C16" s="47">
        <f t="shared" si="1"/>
        <v>2027</v>
      </c>
      <c r="D16" s="50">
        <f t="shared" si="15"/>
        <v>36503.948000000004</v>
      </c>
      <c r="E16" s="48">
        <f t="shared" si="2"/>
        <v>5.5281967827306433E-2</v>
      </c>
      <c r="G16" s="46">
        <f t="shared" si="3"/>
        <v>13</v>
      </c>
      <c r="H16" s="47">
        <f t="shared" si="3"/>
        <v>2027</v>
      </c>
      <c r="I16" s="50">
        <f t="shared" si="16"/>
        <v>6694.3376363636344</v>
      </c>
      <c r="J16" s="48">
        <f t="shared" si="4"/>
        <v>4.5781238079442232E-2</v>
      </c>
      <c r="L16" s="46">
        <f t="shared" ref="L16:M16" si="19">L15+1</f>
        <v>13</v>
      </c>
      <c r="M16" s="47">
        <f t="shared" si="19"/>
        <v>2027</v>
      </c>
      <c r="N16" s="46">
        <f t="shared" si="18"/>
        <v>47.653568716958098</v>
      </c>
      <c r="O16" s="48">
        <f t="shared" si="6"/>
        <v>2.2872818591620048E-2</v>
      </c>
    </row>
    <row r="17" spans="2:15" x14ac:dyDescent="0.3">
      <c r="B17" s="46">
        <f t="shared" si="0"/>
        <v>14</v>
      </c>
      <c r="C17" s="47">
        <f t="shared" si="1"/>
        <v>2028</v>
      </c>
      <c r="D17" s="50">
        <f t="shared" si="15"/>
        <v>38416.242666666672</v>
      </c>
      <c r="E17" s="48">
        <f t="shared" si="2"/>
        <v>5.2385968407216321E-2</v>
      </c>
      <c r="G17" s="46">
        <f t="shared" si="3"/>
        <v>14</v>
      </c>
      <c r="H17" s="47">
        <f t="shared" si="3"/>
        <v>2028</v>
      </c>
      <c r="I17" s="50">
        <f t="shared" si="16"/>
        <v>6987.3961212121194</v>
      </c>
      <c r="J17" s="48">
        <f t="shared" si="4"/>
        <v>4.3777069632190635E-2</v>
      </c>
      <c r="L17" s="46">
        <f t="shared" ref="L17:M17" si="20">L16+1</f>
        <v>14</v>
      </c>
      <c r="M17" s="47">
        <f t="shared" si="20"/>
        <v>2028</v>
      </c>
      <c r="N17" s="46">
        <f t="shared" si="18"/>
        <v>48.719166915184786</v>
      </c>
      <c r="O17" s="48">
        <f t="shared" si="6"/>
        <v>2.2361351456296807E-2</v>
      </c>
    </row>
    <row r="18" spans="2:15" x14ac:dyDescent="0.3">
      <c r="B18" s="46">
        <f t="shared" si="0"/>
        <v>15</v>
      </c>
      <c r="C18" s="47">
        <f t="shared" si="1"/>
        <v>2029</v>
      </c>
      <c r="D18" s="50">
        <f t="shared" si="15"/>
        <v>40328.537333333334</v>
      </c>
      <c r="E18" s="48">
        <f t="shared" si="2"/>
        <v>4.9778284754691482E-2</v>
      </c>
      <c r="G18" s="46">
        <f t="shared" si="3"/>
        <v>15</v>
      </c>
      <c r="H18" s="47">
        <f t="shared" si="3"/>
        <v>2029</v>
      </c>
      <c r="I18" s="50">
        <f t="shared" si="16"/>
        <v>7280.4546060606035</v>
      </c>
      <c r="J18" s="48">
        <f t="shared" si="4"/>
        <v>4.1941014902364904E-2</v>
      </c>
      <c r="L18" s="46">
        <f t="shared" ref="L18:M18" si="21">L17+1</f>
        <v>15</v>
      </c>
      <c r="M18" s="47">
        <f t="shared" si="21"/>
        <v>2029</v>
      </c>
      <c r="N18" s="46">
        <f t="shared" si="18"/>
        <v>49.784765113411474</v>
      </c>
      <c r="O18" s="48">
        <f t="shared" si="6"/>
        <v>2.1872258203466277E-2</v>
      </c>
    </row>
  </sheetData>
  <mergeCells count="3">
    <mergeCell ref="B2:E2"/>
    <mergeCell ref="G2:J2"/>
    <mergeCell ref="L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Profit &amp; Loss</vt:lpstr>
      <vt:lpstr>Quarters</vt:lpstr>
      <vt:lpstr>Balance Sheet</vt:lpstr>
      <vt:lpstr>Cash Flow</vt:lpstr>
      <vt:lpstr>Data&gt;</vt:lpstr>
      <vt:lpstr>Data Sheet</vt:lpstr>
      <vt:lpstr>Financials&gt;</vt:lpstr>
      <vt:lpstr>Historical FS</vt:lpstr>
      <vt:lpstr>Cash Flow Data</vt:lpstr>
      <vt:lpstr>Ratio Analysis</vt:lpstr>
      <vt:lpstr>Forecasting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Dell Laptop</cp:lastModifiedBy>
  <cp:lastPrinted>2012-12-06T18:14:13Z</cp:lastPrinted>
  <dcterms:created xsi:type="dcterms:W3CDTF">2012-08-17T09:55:37Z</dcterms:created>
  <dcterms:modified xsi:type="dcterms:W3CDTF">2025-06-17T22:09:58Z</dcterms:modified>
</cp:coreProperties>
</file>